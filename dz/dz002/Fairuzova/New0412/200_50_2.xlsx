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Зульфия\Desktop\Бамонка\Зульфия\New0412\"/>
    </mc:Choice>
  </mc:AlternateContent>
  <xr:revisionPtr revIDLastSave="0" documentId="8_{A55AF4C8-FF14-4C43-87A4-19581AAC3ECF}" xr6:coauthVersionLast="45" xr6:coauthVersionMax="45" xr10:uidLastSave="{00000000-0000-0000-0000-000000000000}"/>
  <bookViews>
    <workbookView xWindow="-110" yWindow="-110" windowWidth="25420" windowHeight="1630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73" i="1" l="1"/>
  <c r="N74" i="1"/>
  <c r="N75" i="1"/>
  <c r="N76" i="1"/>
  <c r="N77" i="1"/>
  <c r="N85" i="1"/>
  <c r="N86" i="1"/>
  <c r="N87" i="1"/>
  <c r="M109" i="1"/>
  <c r="L90" i="1"/>
  <c r="L106" i="1"/>
  <c r="O106" i="1" s="1"/>
  <c r="L109" i="1"/>
  <c r="O109" i="1" s="1"/>
  <c r="L110" i="1"/>
  <c r="K57" i="1"/>
  <c r="K58" i="1"/>
  <c r="K69" i="1"/>
  <c r="K70" i="1"/>
  <c r="K71" i="1"/>
  <c r="K89" i="1"/>
  <c r="K90" i="1"/>
  <c r="K91" i="1"/>
  <c r="K96" i="1"/>
  <c r="L96" i="1" s="1"/>
  <c r="K97" i="1"/>
  <c r="L97" i="1" s="1"/>
  <c r="K109" i="1"/>
  <c r="K110" i="1"/>
  <c r="K111" i="1"/>
  <c r="J57" i="1"/>
  <c r="N57" i="1" s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N96" i="1" s="1"/>
  <c r="J97" i="1"/>
  <c r="N97" i="1" s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N113" i="1" s="1"/>
  <c r="J114" i="1"/>
  <c r="N114" i="1" s="1"/>
  <c r="J115" i="1"/>
  <c r="N115" i="1" s="1"/>
  <c r="I61" i="1"/>
  <c r="I62" i="1"/>
  <c r="I69" i="1"/>
  <c r="I70" i="1"/>
  <c r="L70" i="1" s="1"/>
  <c r="I71" i="1"/>
  <c r="L71" i="1" s="1"/>
  <c r="I89" i="1"/>
  <c r="I90" i="1"/>
  <c r="I91" i="1"/>
  <c r="I92" i="1"/>
  <c r="I93" i="1"/>
  <c r="I96" i="1"/>
  <c r="I97" i="1"/>
  <c r="I98" i="1"/>
  <c r="I99" i="1"/>
  <c r="I100" i="1"/>
  <c r="I109" i="1"/>
  <c r="I110" i="1"/>
  <c r="I111" i="1"/>
  <c r="I112" i="1"/>
  <c r="I113" i="1"/>
  <c r="H57" i="1"/>
  <c r="I57" i="1" s="1"/>
  <c r="H58" i="1"/>
  <c r="I58" i="1" s="1"/>
  <c r="L58" i="1" s="1"/>
  <c r="H59" i="1"/>
  <c r="I59" i="1" s="1"/>
  <c r="H60" i="1"/>
  <c r="H61" i="1"/>
  <c r="H62" i="1"/>
  <c r="H63" i="1"/>
  <c r="H64" i="1"/>
  <c r="H65" i="1"/>
  <c r="H66" i="1"/>
  <c r="I66" i="1" s="1"/>
  <c r="L66" i="1" s="1"/>
  <c r="H67" i="1"/>
  <c r="I67" i="1" s="1"/>
  <c r="H68" i="1"/>
  <c r="H69" i="1"/>
  <c r="H70" i="1"/>
  <c r="H71" i="1"/>
  <c r="H72" i="1"/>
  <c r="I72" i="1" s="1"/>
  <c r="H73" i="1"/>
  <c r="I73" i="1" s="1"/>
  <c r="H74" i="1"/>
  <c r="H75" i="1"/>
  <c r="H76" i="1"/>
  <c r="I76" i="1" s="1"/>
  <c r="L76" i="1" s="1"/>
  <c r="O76" i="1" s="1"/>
  <c r="H77" i="1"/>
  <c r="I77" i="1" s="1"/>
  <c r="L77" i="1" s="1"/>
  <c r="O77" i="1" s="1"/>
  <c r="H78" i="1"/>
  <c r="I78" i="1" s="1"/>
  <c r="L78" i="1" s="1"/>
  <c r="O78" i="1" s="1"/>
  <c r="H79" i="1"/>
  <c r="I79" i="1" s="1"/>
  <c r="H80" i="1"/>
  <c r="H81" i="1"/>
  <c r="I81" i="1" s="1"/>
  <c r="H82" i="1"/>
  <c r="H83" i="1"/>
  <c r="H84" i="1"/>
  <c r="H85" i="1"/>
  <c r="H86" i="1"/>
  <c r="I86" i="1" s="1"/>
  <c r="H87" i="1"/>
  <c r="I87" i="1" s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I101" i="1" s="1"/>
  <c r="H102" i="1"/>
  <c r="H103" i="1"/>
  <c r="H104" i="1"/>
  <c r="H105" i="1"/>
  <c r="H106" i="1"/>
  <c r="I106" i="1" s="1"/>
  <c r="H107" i="1"/>
  <c r="I107" i="1" s="1"/>
  <c r="H108" i="1"/>
  <c r="H109" i="1"/>
  <c r="H110" i="1"/>
  <c r="H111" i="1"/>
  <c r="H112" i="1"/>
  <c r="H113" i="1"/>
  <c r="H114" i="1"/>
  <c r="H115" i="1"/>
  <c r="G57" i="1"/>
  <c r="G58" i="1"/>
  <c r="G59" i="1"/>
  <c r="N59" i="1" s="1"/>
  <c r="G60" i="1"/>
  <c r="N60" i="1" s="1"/>
  <c r="G61" i="1"/>
  <c r="G62" i="1"/>
  <c r="G63" i="1"/>
  <c r="G64" i="1"/>
  <c r="G65" i="1"/>
  <c r="G66" i="1"/>
  <c r="K66" i="1" s="1"/>
  <c r="G67" i="1"/>
  <c r="G68" i="1"/>
  <c r="G69" i="1"/>
  <c r="G70" i="1"/>
  <c r="G71" i="1"/>
  <c r="G72" i="1"/>
  <c r="G73" i="1"/>
  <c r="G74" i="1"/>
  <c r="G75" i="1"/>
  <c r="G76" i="1"/>
  <c r="K76" i="1" s="1"/>
  <c r="G77" i="1"/>
  <c r="K77" i="1" s="1"/>
  <c r="G78" i="1"/>
  <c r="K78" i="1" s="1"/>
  <c r="G79" i="1"/>
  <c r="G80" i="1"/>
  <c r="N80" i="1" s="1"/>
  <c r="G81" i="1"/>
  <c r="G82" i="1"/>
  <c r="G83" i="1"/>
  <c r="G84" i="1"/>
  <c r="G85" i="1"/>
  <c r="G86" i="1"/>
  <c r="K86" i="1" s="1"/>
  <c r="G87" i="1"/>
  <c r="K87" i="1" s="1"/>
  <c r="G88" i="1"/>
  <c r="I88" i="1" s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K106" i="1" s="1"/>
  <c r="G107" i="1"/>
  <c r="G108" i="1"/>
  <c r="G109" i="1"/>
  <c r="G110" i="1"/>
  <c r="G111" i="1"/>
  <c r="G112" i="1"/>
  <c r="G113" i="1"/>
  <c r="G114" i="1"/>
  <c r="G115" i="1"/>
  <c r="J56" i="1"/>
  <c r="H56" i="1"/>
  <c r="G56" i="1"/>
  <c r="J55" i="1"/>
  <c r="H55" i="1"/>
  <c r="I55" i="1" s="1"/>
  <c r="G55" i="1"/>
  <c r="J54" i="1"/>
  <c r="H54" i="1"/>
  <c r="G54" i="1"/>
  <c r="K54" i="1" s="1"/>
  <c r="J53" i="1"/>
  <c r="H53" i="1"/>
  <c r="G53" i="1"/>
  <c r="K53" i="1" s="1"/>
  <c r="J52" i="1"/>
  <c r="H52" i="1"/>
  <c r="G52" i="1"/>
  <c r="J51" i="1"/>
  <c r="H51" i="1"/>
  <c r="G51" i="1"/>
  <c r="J50" i="1"/>
  <c r="H50" i="1"/>
  <c r="G50" i="1"/>
  <c r="K50" i="1" s="1"/>
  <c r="J49" i="1"/>
  <c r="H49" i="1"/>
  <c r="G49" i="1"/>
  <c r="J48" i="1"/>
  <c r="N48" i="1" s="1"/>
  <c r="H48" i="1"/>
  <c r="G48" i="1"/>
  <c r="J47" i="1"/>
  <c r="H47" i="1"/>
  <c r="G47" i="1"/>
  <c r="I47" i="1" s="1"/>
  <c r="J46" i="1"/>
  <c r="H46" i="1"/>
  <c r="G46" i="1"/>
  <c r="K46" i="1" s="1"/>
  <c r="J45" i="1"/>
  <c r="H45" i="1"/>
  <c r="G45" i="1"/>
  <c r="K45" i="1" s="1"/>
  <c r="J44" i="1"/>
  <c r="H44" i="1"/>
  <c r="G44" i="1"/>
  <c r="K44" i="1" s="1"/>
  <c r="J43" i="1"/>
  <c r="H43" i="1"/>
  <c r="G43" i="1"/>
  <c r="J42" i="1"/>
  <c r="N42" i="1" s="1"/>
  <c r="H42" i="1"/>
  <c r="G42" i="1"/>
  <c r="J41" i="1"/>
  <c r="H41" i="1"/>
  <c r="G41" i="1"/>
  <c r="K41" i="1" s="1"/>
  <c r="J40" i="1"/>
  <c r="H40" i="1"/>
  <c r="G40" i="1"/>
  <c r="J39" i="1"/>
  <c r="H39" i="1"/>
  <c r="G39" i="1"/>
  <c r="K39" i="1" s="1"/>
  <c r="J38" i="1"/>
  <c r="H38" i="1"/>
  <c r="G38" i="1"/>
  <c r="J37" i="1"/>
  <c r="H37" i="1"/>
  <c r="G37" i="1"/>
  <c r="K37" i="1" s="1"/>
  <c r="J36" i="1"/>
  <c r="H36" i="1"/>
  <c r="G36" i="1"/>
  <c r="J35" i="1"/>
  <c r="H35" i="1"/>
  <c r="G35" i="1"/>
  <c r="J34" i="1"/>
  <c r="H34" i="1"/>
  <c r="G34" i="1"/>
  <c r="I34" i="1" s="1"/>
  <c r="J33" i="1"/>
  <c r="N33" i="1" s="1"/>
  <c r="H33" i="1"/>
  <c r="I33" i="1" s="1"/>
  <c r="G33" i="1"/>
  <c r="J32" i="1"/>
  <c r="H32" i="1"/>
  <c r="G32" i="1"/>
  <c r="K32" i="1" s="1"/>
  <c r="J31" i="1"/>
  <c r="H31" i="1"/>
  <c r="G31" i="1"/>
  <c r="K31" i="1" s="1"/>
  <c r="J30" i="1"/>
  <c r="H30" i="1"/>
  <c r="G30" i="1"/>
  <c r="K30" i="1" s="1"/>
  <c r="J29" i="1"/>
  <c r="H29" i="1"/>
  <c r="G29" i="1"/>
  <c r="K29" i="1" s="1"/>
  <c r="J28" i="1"/>
  <c r="H28" i="1"/>
  <c r="G28" i="1"/>
  <c r="K28" i="1" s="1"/>
  <c r="J27" i="1"/>
  <c r="H27" i="1"/>
  <c r="G27" i="1"/>
  <c r="I27" i="1" s="1"/>
  <c r="J26" i="1"/>
  <c r="H26" i="1"/>
  <c r="G26" i="1"/>
  <c r="J25" i="1"/>
  <c r="H25" i="1"/>
  <c r="G25" i="1"/>
  <c r="J24" i="1"/>
  <c r="H24" i="1"/>
  <c r="G24" i="1"/>
  <c r="K24" i="1" s="1"/>
  <c r="J23" i="1"/>
  <c r="H23" i="1"/>
  <c r="G23" i="1"/>
  <c r="J22" i="1"/>
  <c r="H22" i="1"/>
  <c r="G22" i="1"/>
  <c r="J21" i="1"/>
  <c r="H21" i="1"/>
  <c r="G21" i="1"/>
  <c r="K21" i="1" s="1"/>
  <c r="J20" i="1"/>
  <c r="H20" i="1"/>
  <c r="I20" i="1" s="1"/>
  <c r="G20" i="1"/>
  <c r="J19" i="1"/>
  <c r="H19" i="1"/>
  <c r="G19" i="1"/>
  <c r="K19" i="1" s="1"/>
  <c r="J18" i="1"/>
  <c r="H18" i="1"/>
  <c r="G18" i="1"/>
  <c r="J17" i="1"/>
  <c r="H17" i="1"/>
  <c r="G17" i="1"/>
  <c r="K17" i="1" s="1"/>
  <c r="J16" i="1"/>
  <c r="H16" i="1"/>
  <c r="G16" i="1"/>
  <c r="J15" i="1"/>
  <c r="H15" i="1"/>
  <c r="G15" i="1"/>
  <c r="K15" i="1" s="1"/>
  <c r="J14" i="1"/>
  <c r="H14" i="1"/>
  <c r="G14" i="1"/>
  <c r="K14" i="1" s="1"/>
  <c r="O66" i="1" l="1"/>
  <c r="M66" i="1"/>
  <c r="L100" i="1"/>
  <c r="M100" i="1" s="1"/>
  <c r="I108" i="1"/>
  <c r="N108" i="1"/>
  <c r="K108" i="1"/>
  <c r="L88" i="1"/>
  <c r="O88" i="1" s="1"/>
  <c r="K68" i="1"/>
  <c r="N68" i="1"/>
  <c r="L87" i="1"/>
  <c r="N107" i="1"/>
  <c r="K107" i="1"/>
  <c r="L107" i="1" s="1"/>
  <c r="K67" i="1"/>
  <c r="L67" i="1" s="1"/>
  <c r="N67" i="1"/>
  <c r="L86" i="1"/>
  <c r="I53" i="1"/>
  <c r="L53" i="1" s="1"/>
  <c r="M53" i="1" s="1"/>
  <c r="K88" i="1"/>
  <c r="M106" i="1"/>
  <c r="N53" i="1"/>
  <c r="I105" i="1"/>
  <c r="K105" i="1"/>
  <c r="I85" i="1"/>
  <c r="I65" i="1"/>
  <c r="K65" i="1"/>
  <c r="L91" i="1"/>
  <c r="N27" i="1"/>
  <c r="N106" i="1"/>
  <c r="N66" i="1"/>
  <c r="L89" i="1"/>
  <c r="O89" i="1" s="1"/>
  <c r="N105" i="1"/>
  <c r="N65" i="1"/>
  <c r="K85" i="1"/>
  <c r="M78" i="1"/>
  <c r="K35" i="1"/>
  <c r="K48" i="1"/>
  <c r="I102" i="1"/>
  <c r="I82" i="1"/>
  <c r="M77" i="1"/>
  <c r="N15" i="1"/>
  <c r="K42" i="1"/>
  <c r="L42" i="1" s="1"/>
  <c r="I48" i="1"/>
  <c r="L48" i="1" s="1"/>
  <c r="K55" i="1"/>
  <c r="N88" i="1"/>
  <c r="N100" i="1"/>
  <c r="K100" i="1"/>
  <c r="N99" i="1"/>
  <c r="K99" i="1"/>
  <c r="L99" i="1" s="1"/>
  <c r="N79" i="1"/>
  <c r="K79" i="1"/>
  <c r="L79" i="1" s="1"/>
  <c r="I68" i="1"/>
  <c r="L68" i="1" s="1"/>
  <c r="O68" i="1" s="1"/>
  <c r="K59" i="1"/>
  <c r="L59" i="1" s="1"/>
  <c r="L57" i="1"/>
  <c r="O57" i="1" s="1"/>
  <c r="N36" i="1"/>
  <c r="N58" i="1"/>
  <c r="N98" i="1"/>
  <c r="N78" i="1"/>
  <c r="N30" i="1"/>
  <c r="I24" i="1"/>
  <c r="N95" i="1"/>
  <c r="L111" i="1"/>
  <c r="N94" i="1"/>
  <c r="K113" i="1"/>
  <c r="L113" i="1" s="1"/>
  <c r="K93" i="1"/>
  <c r="L93" i="1" s="1"/>
  <c r="K73" i="1"/>
  <c r="L73" i="1" s="1"/>
  <c r="L69" i="1"/>
  <c r="O69" i="1" s="1"/>
  <c r="K112" i="1"/>
  <c r="L112" i="1" s="1"/>
  <c r="K92" i="1"/>
  <c r="L92" i="1" s="1"/>
  <c r="K72" i="1"/>
  <c r="L72" i="1" s="1"/>
  <c r="I19" i="1"/>
  <c r="L19" i="1" s="1"/>
  <c r="I45" i="1"/>
  <c r="L45" i="1" s="1"/>
  <c r="N111" i="1"/>
  <c r="N91" i="1"/>
  <c r="N71" i="1"/>
  <c r="N19" i="1"/>
  <c r="K26" i="1"/>
  <c r="K52" i="1"/>
  <c r="N110" i="1"/>
  <c r="N90" i="1"/>
  <c r="N70" i="1"/>
  <c r="K33" i="1"/>
  <c r="L33" i="1" s="1"/>
  <c r="N39" i="1"/>
  <c r="N109" i="1"/>
  <c r="N89" i="1"/>
  <c r="N69" i="1"/>
  <c r="K98" i="1"/>
  <c r="L98" i="1" s="1"/>
  <c r="M96" i="1"/>
  <c r="O96" i="1"/>
  <c r="O58" i="1"/>
  <c r="M58" i="1"/>
  <c r="O97" i="1"/>
  <c r="M97" i="1"/>
  <c r="M91" i="1"/>
  <c r="O91" i="1"/>
  <c r="N49" i="1"/>
  <c r="K49" i="1"/>
  <c r="I49" i="1"/>
  <c r="M110" i="1"/>
  <c r="O110" i="1"/>
  <c r="M70" i="1"/>
  <c r="O70" i="1"/>
  <c r="I37" i="1"/>
  <c r="N37" i="1"/>
  <c r="I115" i="1"/>
  <c r="K115" i="1"/>
  <c r="I75" i="1"/>
  <c r="K75" i="1"/>
  <c r="K80" i="1"/>
  <c r="I114" i="1"/>
  <c r="K114" i="1"/>
  <c r="I74" i="1"/>
  <c r="K74" i="1"/>
  <c r="I25" i="1"/>
  <c r="K51" i="1"/>
  <c r="N51" i="1"/>
  <c r="M76" i="1"/>
  <c r="N93" i="1"/>
  <c r="N25" i="1"/>
  <c r="I51" i="1"/>
  <c r="I80" i="1"/>
  <c r="I43" i="1"/>
  <c r="I60" i="1"/>
  <c r="L60" i="1" s="1"/>
  <c r="I31" i="1"/>
  <c r="L31" i="1" s="1"/>
  <c r="I95" i="1"/>
  <c r="K95" i="1"/>
  <c r="K20" i="1"/>
  <c r="L20" i="1" s="1"/>
  <c r="M20" i="1" s="1"/>
  <c r="N20" i="1"/>
  <c r="I26" i="1"/>
  <c r="L26" i="1" s="1"/>
  <c r="M88" i="1"/>
  <c r="N43" i="1"/>
  <c r="M111" i="1"/>
  <c r="O111" i="1"/>
  <c r="I94" i="1"/>
  <c r="K94" i="1"/>
  <c r="N31" i="1"/>
  <c r="K40" i="1"/>
  <c r="N40" i="1"/>
  <c r="I40" i="1"/>
  <c r="M90" i="1"/>
  <c r="O90" i="1"/>
  <c r="M71" i="1"/>
  <c r="O71" i="1"/>
  <c r="I28" i="1"/>
  <c r="L28" i="1" s="1"/>
  <c r="N104" i="1"/>
  <c r="I104" i="1"/>
  <c r="K104" i="1"/>
  <c r="I84" i="1"/>
  <c r="K84" i="1"/>
  <c r="N84" i="1"/>
  <c r="K64" i="1"/>
  <c r="N64" i="1"/>
  <c r="I64" i="1"/>
  <c r="K22" i="1"/>
  <c r="N22" i="1"/>
  <c r="I54" i="1"/>
  <c r="I103" i="1"/>
  <c r="K103" i="1"/>
  <c r="N103" i="1"/>
  <c r="I83" i="1"/>
  <c r="N83" i="1"/>
  <c r="K83" i="1"/>
  <c r="I63" i="1"/>
  <c r="N63" i="1"/>
  <c r="K63" i="1"/>
  <c r="K60" i="1"/>
  <c r="I22" i="1"/>
  <c r="L22" i="1" s="1"/>
  <c r="N102" i="1"/>
  <c r="K102" i="1"/>
  <c r="K82" i="1"/>
  <c r="N82" i="1"/>
  <c r="N62" i="1"/>
  <c r="K62" i="1"/>
  <c r="L62" i="1" s="1"/>
  <c r="I16" i="1"/>
  <c r="L16" i="1" s="1"/>
  <c r="K101" i="1"/>
  <c r="L101" i="1" s="1"/>
  <c r="N101" i="1"/>
  <c r="K81" i="1"/>
  <c r="L81" i="1" s="1"/>
  <c r="N81" i="1"/>
  <c r="K61" i="1"/>
  <c r="L61" i="1" s="1"/>
  <c r="N61" i="1"/>
  <c r="I14" i="1"/>
  <c r="I11" i="1" s="1"/>
  <c r="N26" i="1"/>
  <c r="I38" i="1"/>
  <c r="N55" i="1"/>
  <c r="N112" i="1"/>
  <c r="N92" i="1"/>
  <c r="N72" i="1"/>
  <c r="I32" i="1"/>
  <c r="L32" i="1" s="1"/>
  <c r="N38" i="1"/>
  <c r="I44" i="1"/>
  <c r="L44" i="1" s="1"/>
  <c r="N44" i="1"/>
  <c r="I56" i="1"/>
  <c r="I15" i="1"/>
  <c r="L15" i="1" s="1"/>
  <c r="I21" i="1"/>
  <c r="L21" i="1" s="1"/>
  <c r="O21" i="1" s="1"/>
  <c r="I39" i="1"/>
  <c r="L39" i="1" s="1"/>
  <c r="M39" i="1" s="1"/>
  <c r="N56" i="1"/>
  <c r="N16" i="1"/>
  <c r="N28" i="1"/>
  <c r="N34" i="1"/>
  <c r="I52" i="1"/>
  <c r="I35" i="1"/>
  <c r="I18" i="1"/>
  <c r="N29" i="1"/>
  <c r="N35" i="1"/>
  <c r="N41" i="1"/>
  <c r="I46" i="1"/>
  <c r="L46" i="1" s="1"/>
  <c r="I17" i="1"/>
  <c r="L17" i="1" s="1"/>
  <c r="I23" i="1"/>
  <c r="L23" i="1" s="1"/>
  <c r="N18" i="1"/>
  <c r="N47" i="1"/>
  <c r="I29" i="1"/>
  <c r="L29" i="1" s="1"/>
  <c r="O29" i="1" s="1"/>
  <c r="N46" i="1"/>
  <c r="N17" i="1"/>
  <c r="N23" i="1"/>
  <c r="I41" i="1"/>
  <c r="L41" i="1" s="1"/>
  <c r="O41" i="1" s="1"/>
  <c r="N24" i="1"/>
  <c r="I30" i="1"/>
  <c r="L30" i="1" s="1"/>
  <c r="O30" i="1" s="1"/>
  <c r="I36" i="1"/>
  <c r="I42" i="1"/>
  <c r="O45" i="1"/>
  <c r="M45" i="1"/>
  <c r="L54" i="1"/>
  <c r="L27" i="1"/>
  <c r="O28" i="1"/>
  <c r="M28" i="1"/>
  <c r="L55" i="1"/>
  <c r="K36" i="1"/>
  <c r="N21" i="1"/>
  <c r="O19" i="1"/>
  <c r="M19" i="1"/>
  <c r="K34" i="1"/>
  <c r="L34" i="1" s="1"/>
  <c r="K16" i="1"/>
  <c r="K23" i="1"/>
  <c r="K27" i="1"/>
  <c r="K38" i="1"/>
  <c r="L24" i="1"/>
  <c r="L35" i="1"/>
  <c r="N54" i="1"/>
  <c r="I50" i="1"/>
  <c r="L50" i="1" s="1"/>
  <c r="N50" i="1"/>
  <c r="O17" i="1"/>
  <c r="M17" i="1"/>
  <c r="K47" i="1"/>
  <c r="L47" i="1" s="1"/>
  <c r="N14" i="1"/>
  <c r="K25" i="1"/>
  <c r="L25" i="1" s="1"/>
  <c r="N32" i="1"/>
  <c r="K43" i="1"/>
  <c r="K18" i="1"/>
  <c r="L18" i="1" s="1"/>
  <c r="K56" i="1"/>
  <c r="L37" i="1"/>
  <c r="N52" i="1"/>
  <c r="N45" i="1"/>
  <c r="O107" i="1" l="1"/>
  <c r="M107" i="1"/>
  <c r="M59" i="1"/>
  <c r="O59" i="1"/>
  <c r="O79" i="1"/>
  <c r="M79" i="1"/>
  <c r="O67" i="1"/>
  <c r="M67" i="1"/>
  <c r="M72" i="1"/>
  <c r="O72" i="1"/>
  <c r="M99" i="1"/>
  <c r="O99" i="1"/>
  <c r="M112" i="1"/>
  <c r="O112" i="1"/>
  <c r="M73" i="1"/>
  <c r="O73" i="1"/>
  <c r="M92" i="1"/>
  <c r="O92" i="1"/>
  <c r="M98" i="1"/>
  <c r="O98" i="1"/>
  <c r="M93" i="1"/>
  <c r="O93" i="1"/>
  <c r="M113" i="1"/>
  <c r="O113" i="1"/>
  <c r="O86" i="1"/>
  <c r="M86" i="1"/>
  <c r="O39" i="1"/>
  <c r="L103" i="1"/>
  <c r="M103" i="1" s="1"/>
  <c r="M21" i="1"/>
  <c r="L82" i="1"/>
  <c r="L64" i="1"/>
  <c r="M64" i="1" s="1"/>
  <c r="L65" i="1"/>
  <c r="M30" i="1"/>
  <c r="L102" i="1"/>
  <c r="M69" i="1"/>
  <c r="L85" i="1"/>
  <c r="L108" i="1"/>
  <c r="L36" i="1"/>
  <c r="O36" i="1" s="1"/>
  <c r="O87" i="1"/>
  <c r="M87" i="1"/>
  <c r="L43" i="1"/>
  <c r="L105" i="1"/>
  <c r="O100" i="1"/>
  <c r="L52" i="1"/>
  <c r="O52" i="1" s="1"/>
  <c r="M41" i="1"/>
  <c r="L38" i="1"/>
  <c r="M89" i="1"/>
  <c r="M57" i="1"/>
  <c r="L56" i="1"/>
  <c r="M68" i="1"/>
  <c r="O53" i="1"/>
  <c r="L51" i="1"/>
  <c r="M82" i="1"/>
  <c r="O82" i="1"/>
  <c r="M102" i="1"/>
  <c r="O102" i="1"/>
  <c r="M81" i="1"/>
  <c r="O81" i="1"/>
  <c r="M62" i="1"/>
  <c r="O62" i="1"/>
  <c r="L74" i="1"/>
  <c r="O101" i="1"/>
  <c r="M101" i="1"/>
  <c r="L75" i="1"/>
  <c r="L115" i="1"/>
  <c r="L94" i="1"/>
  <c r="O64" i="1"/>
  <c r="M29" i="1"/>
  <c r="M60" i="1"/>
  <c r="O60" i="1"/>
  <c r="O61" i="1"/>
  <c r="M61" i="1"/>
  <c r="L104" i="1"/>
  <c r="O20" i="1"/>
  <c r="M52" i="1"/>
  <c r="L83" i="1"/>
  <c r="L95" i="1"/>
  <c r="L40" i="1"/>
  <c r="L63" i="1"/>
  <c r="L49" i="1"/>
  <c r="L114" i="1"/>
  <c r="L84" i="1"/>
  <c r="L14" i="1"/>
  <c r="O14" i="1" s="1"/>
  <c r="L80" i="1"/>
  <c r="O25" i="1"/>
  <c r="M25" i="1"/>
  <c r="O34" i="1"/>
  <c r="M34" i="1"/>
  <c r="O56" i="1"/>
  <c r="M56" i="1"/>
  <c r="O51" i="1"/>
  <c r="M51" i="1"/>
  <c r="O47" i="1"/>
  <c r="M47" i="1"/>
  <c r="O32" i="1"/>
  <c r="M32" i="1"/>
  <c r="O55" i="1"/>
  <c r="M55" i="1"/>
  <c r="O43" i="1"/>
  <c r="M43" i="1"/>
  <c r="M54" i="1"/>
  <c r="O54" i="1"/>
  <c r="O37" i="1"/>
  <c r="M37" i="1"/>
  <c r="M50" i="1"/>
  <c r="O50" i="1"/>
  <c r="O27" i="1"/>
  <c r="M27" i="1"/>
  <c r="O18" i="1"/>
  <c r="M18" i="1"/>
  <c r="O26" i="1"/>
  <c r="M26" i="1"/>
  <c r="O15" i="1"/>
  <c r="M15" i="1"/>
  <c r="O35" i="1"/>
  <c r="M35" i="1"/>
  <c r="O24" i="1"/>
  <c r="M24" i="1"/>
  <c r="O23" i="1"/>
  <c r="M23" i="1"/>
  <c r="O48" i="1"/>
  <c r="M48" i="1"/>
  <c r="O46" i="1"/>
  <c r="M46" i="1"/>
  <c r="M33" i="1"/>
  <c r="O33" i="1"/>
  <c r="M42" i="1"/>
  <c r="O42" i="1"/>
  <c r="M22" i="1"/>
  <c r="O22" i="1"/>
  <c r="O31" i="1"/>
  <c r="M31" i="1"/>
  <c r="O38" i="1"/>
  <c r="M38" i="1"/>
  <c r="O44" i="1"/>
  <c r="M44" i="1"/>
  <c r="O16" i="1"/>
  <c r="M16" i="1"/>
  <c r="O108" i="1" l="1"/>
  <c r="M108" i="1"/>
  <c r="M36" i="1"/>
  <c r="O103" i="1"/>
  <c r="M14" i="1"/>
  <c r="M105" i="1"/>
  <c r="O105" i="1"/>
  <c r="O85" i="1"/>
  <c r="M85" i="1"/>
  <c r="M65" i="1"/>
  <c r="O65" i="1"/>
  <c r="O94" i="1"/>
  <c r="M94" i="1"/>
  <c r="M80" i="1"/>
  <c r="O80" i="1"/>
  <c r="M115" i="1"/>
  <c r="O115" i="1"/>
  <c r="O75" i="1"/>
  <c r="M75" i="1"/>
  <c r="M84" i="1"/>
  <c r="O84" i="1"/>
  <c r="M114" i="1"/>
  <c r="O114" i="1"/>
  <c r="O74" i="1"/>
  <c r="M74" i="1"/>
  <c r="O63" i="1"/>
  <c r="M63" i="1"/>
  <c r="O104" i="1"/>
  <c r="M104" i="1"/>
  <c r="O49" i="1"/>
  <c r="M49" i="1"/>
  <c r="M40" i="1"/>
  <c r="O40" i="1"/>
  <c r="M95" i="1"/>
  <c r="O95" i="1"/>
  <c r="M83" i="1"/>
  <c r="O83" i="1"/>
</calcChain>
</file>

<file path=xl/sharedStrings.xml><?xml version="1.0" encoding="utf-8"?>
<sst xmlns="http://schemas.openxmlformats.org/spreadsheetml/2006/main" count="34" uniqueCount="31">
  <si>
    <t>Файл</t>
  </si>
  <si>
    <t>C:\Testsystems\Metal\Tests\Зульфия\Горячая_быстрая_200_50\200_50_1\200_50_1.001.rez</t>
  </si>
  <si>
    <t>Вид испытания</t>
  </si>
  <si>
    <t>сжатие</t>
  </si>
  <si>
    <t>Дата</t>
  </si>
  <si>
    <t>28 Ноябрь 2025 г.</t>
  </si>
  <si>
    <t>Скорость [мм/мин]</t>
  </si>
  <si>
    <t>Форма</t>
  </si>
  <si>
    <t>Круглый</t>
  </si>
  <si>
    <t>Начальные размеры: [мм]</t>
  </si>
  <si>
    <t>Диаметр</t>
  </si>
  <si>
    <t>Толщина</t>
  </si>
  <si>
    <t>Ширина</t>
  </si>
  <si>
    <t>Длина</t>
  </si>
  <si>
    <t>База</t>
  </si>
  <si>
    <t>Расч.дл</t>
  </si>
  <si>
    <t>Размеры после испытания: [мм]</t>
  </si>
  <si>
    <t>Количество точек</t>
  </si>
  <si>
    <t>Время [с]</t>
  </si>
  <si>
    <t>Перемещение [мм]</t>
  </si>
  <si>
    <t>Усилие [Н]</t>
  </si>
  <si>
    <t>H0</t>
  </si>
  <si>
    <t>D0</t>
  </si>
  <si>
    <t>V</t>
  </si>
  <si>
    <t>Hк</t>
  </si>
  <si>
    <t>∆H оконч, мм</t>
  </si>
  <si>
    <t xml:space="preserve"> Hi оконч, мм</t>
  </si>
  <si>
    <t>Si, мм2</t>
  </si>
  <si>
    <t>σi, МПа</t>
  </si>
  <si>
    <t>ε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</si>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</sst>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Лист1!$N$14:$N$115</c:f>
              <c:numCache>
                <c:formatCode>General</c:formatCode>
                <c:ptCount val="102"/>
                <c:pt idx="0">
                  <c:v>0</c:v>
                </c:pt>
                <c:pt idx="1">
                  <c:v>3.8900151308724831E-2</c:v>
                </c:pt>
                <c:pt idx="2">
                  <c:v>4.522034456375839E-2</c:v>
                </c:pt>
                <c:pt idx="3">
                  <c:v>6.1588471409395974E-2</c:v>
                </c:pt>
                <c:pt idx="4">
                  <c:v>8.1082351711409387E-2</c:v>
                </c:pt>
                <c:pt idx="5">
                  <c:v>8.6336827315436238E-2</c:v>
                </c:pt>
                <c:pt idx="6">
                  <c:v>9.1673196409395974E-2</c:v>
                </c:pt>
                <c:pt idx="7">
                  <c:v>9.7250429395973156E-2</c:v>
                </c:pt>
                <c:pt idx="8">
                  <c:v>0.10335749224832215</c:v>
                </c:pt>
                <c:pt idx="9">
                  <c:v>0.11600036751677852</c:v>
                </c:pt>
                <c:pt idx="10">
                  <c:v>0.12262328724832215</c:v>
                </c:pt>
                <c:pt idx="11">
                  <c:v>0.12909051181208053</c:v>
                </c:pt>
                <c:pt idx="12">
                  <c:v>0.13561401171140941</c:v>
                </c:pt>
                <c:pt idx="13">
                  <c:v>0.14211654714765098</c:v>
                </c:pt>
                <c:pt idx="14">
                  <c:v>0.14863282120805368</c:v>
                </c:pt>
                <c:pt idx="15">
                  <c:v>0.15514341271812082</c:v>
                </c:pt>
                <c:pt idx="16">
                  <c:v>0.16159463040268457</c:v>
                </c:pt>
                <c:pt idx="17">
                  <c:v>0.16813806590604027</c:v>
                </c:pt>
                <c:pt idx="18">
                  <c:v>0.18133725322147651</c:v>
                </c:pt>
                <c:pt idx="19">
                  <c:v>0.18785218261744965</c:v>
                </c:pt>
                <c:pt idx="20">
                  <c:v>0.19436422406040271</c:v>
                </c:pt>
                <c:pt idx="21">
                  <c:v>0.2008605625167785</c:v>
                </c:pt>
                <c:pt idx="22">
                  <c:v>0.20740750567114094</c:v>
                </c:pt>
                <c:pt idx="23">
                  <c:v>0.21397065432885906</c:v>
                </c:pt>
                <c:pt idx="24">
                  <c:v>0.22696479308724832</c:v>
                </c:pt>
                <c:pt idx="25">
                  <c:v>0.2337000648657718</c:v>
                </c:pt>
                <c:pt idx="26">
                  <c:v>0.24026290963087246</c:v>
                </c:pt>
                <c:pt idx="27">
                  <c:v>0.24683029090604031</c:v>
                </c:pt>
                <c:pt idx="28">
                  <c:v>0.2533979879865772</c:v>
                </c:pt>
                <c:pt idx="29">
                  <c:v>0.2599451297651007</c:v>
                </c:pt>
                <c:pt idx="30">
                  <c:v>0.2665168489261745</c:v>
                </c:pt>
                <c:pt idx="31">
                  <c:v>0.27956342765100672</c:v>
                </c:pt>
                <c:pt idx="32">
                  <c:v>0.28633070127516774</c:v>
                </c:pt>
                <c:pt idx="33">
                  <c:v>0.29295063969798651</c:v>
                </c:pt>
                <c:pt idx="34">
                  <c:v>0.29957222667785233</c:v>
                </c:pt>
                <c:pt idx="35">
                  <c:v>0.30618648255033554</c:v>
                </c:pt>
                <c:pt idx="36">
                  <c:v>0.31280806953020135</c:v>
                </c:pt>
                <c:pt idx="37">
                  <c:v>0.31942026768456377</c:v>
                </c:pt>
                <c:pt idx="38">
                  <c:v>0.32603317889261746</c:v>
                </c:pt>
                <c:pt idx="39">
                  <c:v>0.33285651731543625</c:v>
                </c:pt>
                <c:pt idx="40">
                  <c:v>0.3394473299328859</c:v>
                </c:pt>
                <c:pt idx="41">
                  <c:v>0.34606126999999998</c:v>
                </c:pt>
                <c:pt idx="42">
                  <c:v>0.35262874463087246</c:v>
                </c:pt>
                <c:pt idx="43">
                  <c:v>0.3592275080536913</c:v>
                </c:pt>
                <c:pt idx="44">
                  <c:v>0.36577153942953017</c:v>
                </c:pt>
                <c:pt idx="45">
                  <c:v>0.37234726875838925</c:v>
                </c:pt>
                <c:pt idx="46">
                  <c:v>0.37889955483221471</c:v>
                </c:pt>
                <c:pt idx="47">
                  <c:v>0.3856271558724832</c:v>
                </c:pt>
                <c:pt idx="48">
                  <c:v>0.39217375939597315</c:v>
                </c:pt>
                <c:pt idx="49">
                  <c:v>0.39869610134228189</c:v>
                </c:pt>
                <c:pt idx="50">
                  <c:v>0.40522917677852344</c:v>
                </c:pt>
                <c:pt idx="51">
                  <c:v>0.41173147785234898</c:v>
                </c:pt>
                <c:pt idx="52">
                  <c:v>0.41823790627516777</c:v>
                </c:pt>
                <c:pt idx="53">
                  <c:v>0.42470777251677855</c:v>
                </c:pt>
                <c:pt idx="54">
                  <c:v>0.43772802999999999</c:v>
                </c:pt>
                <c:pt idx="55">
                  <c:v>0.4441221997315436</c:v>
                </c:pt>
                <c:pt idx="56">
                  <c:v>0.45053319466442948</c:v>
                </c:pt>
                <c:pt idx="57">
                  <c:v>0.45696216083892616</c:v>
                </c:pt>
                <c:pt idx="58">
                  <c:v>0.46333464114093958</c:v>
                </c:pt>
                <c:pt idx="59">
                  <c:v>0.46971847463087246</c:v>
                </c:pt>
                <c:pt idx="60">
                  <c:v>0.47603807006711407</c:v>
                </c:pt>
                <c:pt idx="61">
                  <c:v>0.48321939140939596</c:v>
                </c:pt>
                <c:pt idx="62">
                  <c:v>0.48972183154362414</c:v>
                </c:pt>
                <c:pt idx="63">
                  <c:v>0.49601064070469791</c:v>
                </c:pt>
                <c:pt idx="64">
                  <c:v>0.50230451271812071</c:v>
                </c:pt>
                <c:pt idx="65">
                  <c:v>0.5085305337583893</c:v>
                </c:pt>
                <c:pt idx="66">
                  <c:v>0.51475871778523485</c:v>
                </c:pt>
                <c:pt idx="67">
                  <c:v>0.52093578268456375</c:v>
                </c:pt>
                <c:pt idx="68">
                  <c:v>0.5271640719798657</c:v>
                </c:pt>
                <c:pt idx="69">
                  <c:v>0.53334370902684558</c:v>
                </c:pt>
                <c:pt idx="70">
                  <c:v>0.54565960426174498</c:v>
                </c:pt>
                <c:pt idx="71">
                  <c:v>0.55170208942953014</c:v>
                </c:pt>
                <c:pt idx="72">
                  <c:v>0.55782430510067105</c:v>
                </c:pt>
                <c:pt idx="73">
                  <c:v>0.56388940328859061</c:v>
                </c:pt>
                <c:pt idx="74">
                  <c:v>0.56989769979865768</c:v>
                </c:pt>
                <c:pt idx="75">
                  <c:v>0.57594059412751675</c:v>
                </c:pt>
                <c:pt idx="76">
                  <c:v>0.58189839120805364</c:v>
                </c:pt>
                <c:pt idx="77">
                  <c:v>0.58799451999999996</c:v>
                </c:pt>
                <c:pt idx="78">
                  <c:v>0.59397668392617453</c:v>
                </c:pt>
                <c:pt idx="79">
                  <c:v>0.59989170993288587</c:v>
                </c:pt>
                <c:pt idx="80">
                  <c:v>0.60575664567114096</c:v>
                </c:pt>
                <c:pt idx="81">
                  <c:v>0.61165845939597308</c:v>
                </c:pt>
                <c:pt idx="82">
                  <c:v>0.61750046630872468</c:v>
                </c:pt>
                <c:pt idx="83">
                  <c:v>0.62326667144295289</c:v>
                </c:pt>
                <c:pt idx="84">
                  <c:v>0.62902480859060406</c:v>
                </c:pt>
                <c:pt idx="85">
                  <c:v>0.6349767463758389</c:v>
                </c:pt>
                <c:pt idx="86">
                  <c:v>0.64067188486577176</c:v>
                </c:pt>
                <c:pt idx="87">
                  <c:v>0.64638003701342273</c:v>
                </c:pt>
                <c:pt idx="88">
                  <c:v>0.65197510023489935</c:v>
                </c:pt>
                <c:pt idx="89">
                  <c:v>0.6630104312751679</c:v>
                </c:pt>
                <c:pt idx="90">
                  <c:v>0.66848495728187929</c:v>
                </c:pt>
                <c:pt idx="91">
                  <c:v>0.67392993640939602</c:v>
                </c:pt>
                <c:pt idx="92">
                  <c:v>0.67949746281879186</c:v>
                </c:pt>
                <c:pt idx="93">
                  <c:v>0.68481819845637582</c:v>
                </c:pt>
                <c:pt idx="94">
                  <c:v>0.69005507624161078</c:v>
                </c:pt>
                <c:pt idx="95">
                  <c:v>0.69533903916107387</c:v>
                </c:pt>
                <c:pt idx="96">
                  <c:v>0.70046786704697983</c:v>
                </c:pt>
                <c:pt idx="97">
                  <c:v>0.70546708469798647</c:v>
                </c:pt>
                <c:pt idx="98">
                  <c:v>0.71046382355704696</c:v>
                </c:pt>
                <c:pt idx="99">
                  <c:v>0.71548680026845646</c:v>
                </c:pt>
                <c:pt idx="100">
                  <c:v>0.72042946057046964</c:v>
                </c:pt>
                <c:pt idx="101">
                  <c:v>0.72981980926174495</c:v>
                </c:pt>
              </c:numCache>
            </c:numRef>
          </c:cat>
          <c:val>
            <c:numRef>
              <c:f>Лист1!$M$14:$M$115</c:f>
              <c:numCache>
                <c:formatCode>General</c:formatCode>
                <c:ptCount val="102"/>
                <c:pt idx="0">
                  <c:v>1.5803161836417712</c:v>
                </c:pt>
                <c:pt idx="1">
                  <c:v>32.879305324239773</c:v>
                </c:pt>
                <c:pt idx="2">
                  <c:v>40.178619625415877</c:v>
                </c:pt>
                <c:pt idx="3">
                  <c:v>116.60514340306834</c:v>
                </c:pt>
                <c:pt idx="4">
                  <c:v>276.01109392338935</c:v>
                </c:pt>
                <c:pt idx="5">
                  <c:v>308.54957480007113</c:v>
                </c:pt>
                <c:pt idx="6">
                  <c:v>339.59860161574835</c:v>
                </c:pt>
                <c:pt idx="7">
                  <c:v>364.29330498349202</c:v>
                </c:pt>
                <c:pt idx="8">
                  <c:v>377.76651233990225</c:v>
                </c:pt>
                <c:pt idx="9">
                  <c:v>393.07558339380125</c:v>
                </c:pt>
                <c:pt idx="10">
                  <c:v>397.7367853671833</c:v>
                </c:pt>
                <c:pt idx="11">
                  <c:v>401.67348494381008</c:v>
                </c:pt>
                <c:pt idx="12">
                  <c:v>405.28663463623332</c:v>
                </c:pt>
                <c:pt idx="13">
                  <c:v>409.10679330708524</c:v>
                </c:pt>
                <c:pt idx="14">
                  <c:v>412.39331032954863</c:v>
                </c:pt>
                <c:pt idx="15">
                  <c:v>415.83905719659884</c:v>
                </c:pt>
                <c:pt idx="16">
                  <c:v>419.46515020760779</c:v>
                </c:pt>
                <c:pt idx="17">
                  <c:v>422.02572565770055</c:v>
                </c:pt>
                <c:pt idx="18">
                  <c:v>428.3161716541702</c:v>
                </c:pt>
                <c:pt idx="19">
                  <c:v>431.16597399178966</c:v>
                </c:pt>
                <c:pt idx="20">
                  <c:v>433.71079415529033</c:v>
                </c:pt>
                <c:pt idx="21">
                  <c:v>436.73244967751401</c:v>
                </c:pt>
                <c:pt idx="22">
                  <c:v>438.90430875226843</c:v>
                </c:pt>
                <c:pt idx="23">
                  <c:v>441.30333464129194</c:v>
                </c:pt>
                <c:pt idx="24">
                  <c:v>445.58448151097144</c:v>
                </c:pt>
                <c:pt idx="25">
                  <c:v>447.50345838114208</c:v>
                </c:pt>
                <c:pt idx="26">
                  <c:v>449.13659308828346</c:v>
                </c:pt>
                <c:pt idx="27">
                  <c:v>451.08066887975065</c:v>
                </c:pt>
                <c:pt idx="28">
                  <c:v>452.55212683209209</c:v>
                </c:pt>
                <c:pt idx="29">
                  <c:v>454.43118627132162</c:v>
                </c:pt>
                <c:pt idx="30">
                  <c:v>455.99278530359294</c:v>
                </c:pt>
                <c:pt idx="31">
                  <c:v>459.39726285146457</c:v>
                </c:pt>
                <c:pt idx="32">
                  <c:v>460.8607595614796</c:v>
                </c:pt>
                <c:pt idx="33">
                  <c:v>461.9598295677265</c:v>
                </c:pt>
                <c:pt idx="34">
                  <c:v>463.15747505972934</c:v>
                </c:pt>
                <c:pt idx="35">
                  <c:v>464.26602569762809</c:v>
                </c:pt>
                <c:pt idx="36">
                  <c:v>465.2547439624912</c:v>
                </c:pt>
                <c:pt idx="37">
                  <c:v>465.74596716329597</c:v>
                </c:pt>
                <c:pt idx="38">
                  <c:v>466.67777712255054</c:v>
                </c:pt>
                <c:pt idx="39">
                  <c:v>467.42537003377089</c:v>
                </c:pt>
                <c:pt idx="40">
                  <c:v>468.29544042420724</c:v>
                </c:pt>
                <c:pt idx="41">
                  <c:v>469.09846347001326</c:v>
                </c:pt>
                <c:pt idx="42">
                  <c:v>469.92155079366529</c:v>
                </c:pt>
                <c:pt idx="43">
                  <c:v>470.43577831536697</c:v>
                </c:pt>
                <c:pt idx="44">
                  <c:v>471.31094362435658</c:v>
                </c:pt>
                <c:pt idx="45">
                  <c:v>472.07340400613191</c:v>
                </c:pt>
                <c:pt idx="46">
                  <c:v>472.98773561159146</c:v>
                </c:pt>
                <c:pt idx="47">
                  <c:v>474.03200146588853</c:v>
                </c:pt>
                <c:pt idx="48">
                  <c:v>474.88140328698296</c:v>
                </c:pt>
                <c:pt idx="49">
                  <c:v>475.48714127539807</c:v>
                </c:pt>
                <c:pt idx="50">
                  <c:v>476.19334509424209</c:v>
                </c:pt>
                <c:pt idx="51">
                  <c:v>477.04339357572024</c:v>
                </c:pt>
                <c:pt idx="52">
                  <c:v>477.88751329584159</c:v>
                </c:pt>
                <c:pt idx="53">
                  <c:v>479.13600339901973</c:v>
                </c:pt>
                <c:pt idx="54">
                  <c:v>481.67128201961413</c:v>
                </c:pt>
                <c:pt idx="55">
                  <c:v>483.10427827263544</c:v>
                </c:pt>
                <c:pt idx="56">
                  <c:v>484.58674569624856</c:v>
                </c:pt>
                <c:pt idx="57">
                  <c:v>485.65150326884901</c:v>
                </c:pt>
                <c:pt idx="58">
                  <c:v>486.90687215907138</c:v>
                </c:pt>
                <c:pt idx="59">
                  <c:v>488.1861634103945</c:v>
                </c:pt>
                <c:pt idx="60">
                  <c:v>490.0018433757632</c:v>
                </c:pt>
                <c:pt idx="61">
                  <c:v>491.62385325928778</c:v>
                </c:pt>
                <c:pt idx="62">
                  <c:v>493.5173188356639</c:v>
                </c:pt>
                <c:pt idx="63">
                  <c:v>495.4831393587292</c:v>
                </c:pt>
                <c:pt idx="64">
                  <c:v>497.10073119705726</c:v>
                </c:pt>
                <c:pt idx="65">
                  <c:v>499.15930973168304</c:v>
                </c:pt>
                <c:pt idx="66">
                  <c:v>501.2177344346282</c:v>
                </c:pt>
                <c:pt idx="67">
                  <c:v>503.47513284743303</c:v>
                </c:pt>
                <c:pt idx="68">
                  <c:v>505.02091483674326</c:v>
                </c:pt>
                <c:pt idx="69">
                  <c:v>507.18593458460867</c:v>
                </c:pt>
                <c:pt idx="70">
                  <c:v>511.34697802775003</c:v>
                </c:pt>
                <c:pt idx="71">
                  <c:v>514.16779458632834</c:v>
                </c:pt>
                <c:pt idx="72">
                  <c:v>515.92399689619253</c:v>
                </c:pt>
                <c:pt idx="73">
                  <c:v>518.18096829703518</c:v>
                </c:pt>
                <c:pt idx="74">
                  <c:v>520.70016771813755</c:v>
                </c:pt>
                <c:pt idx="75">
                  <c:v>522.61965928184861</c:v>
                </c:pt>
                <c:pt idx="76">
                  <c:v>524.97418538579166</c:v>
                </c:pt>
                <c:pt idx="77">
                  <c:v>527.77458992691413</c:v>
                </c:pt>
                <c:pt idx="78">
                  <c:v>529.55285331368987</c:v>
                </c:pt>
                <c:pt idx="79">
                  <c:v>531.92487746090342</c:v>
                </c:pt>
                <c:pt idx="80">
                  <c:v>534.48187645058943</c:v>
                </c:pt>
                <c:pt idx="81">
                  <c:v>536.14212490228226</c:v>
                </c:pt>
                <c:pt idx="82">
                  <c:v>538.33540622461771</c:v>
                </c:pt>
                <c:pt idx="83">
                  <c:v>540.77197308452526</c:v>
                </c:pt>
                <c:pt idx="84">
                  <c:v>543.3328390670888</c:v>
                </c:pt>
                <c:pt idx="85">
                  <c:v>545.39448424928923</c:v>
                </c:pt>
                <c:pt idx="86">
                  <c:v>547.80415467068292</c:v>
                </c:pt>
                <c:pt idx="87">
                  <c:v>549.73570486386029</c:v>
                </c:pt>
                <c:pt idx="88">
                  <c:v>552.28886082279473</c:v>
                </c:pt>
                <c:pt idx="89">
                  <c:v>557.11837903222136</c:v>
                </c:pt>
                <c:pt idx="90">
                  <c:v>559.91786237078725</c:v>
                </c:pt>
                <c:pt idx="91">
                  <c:v>562.8235169543608</c:v>
                </c:pt>
                <c:pt idx="92">
                  <c:v>565.4610522577442</c:v>
                </c:pt>
                <c:pt idx="93">
                  <c:v>568.56857021142696</c:v>
                </c:pt>
                <c:pt idx="94">
                  <c:v>571.83799101173929</c:v>
                </c:pt>
                <c:pt idx="95">
                  <c:v>574.53845333938284</c:v>
                </c:pt>
                <c:pt idx="96">
                  <c:v>578.33219763300463</c:v>
                </c:pt>
                <c:pt idx="97">
                  <c:v>582.6079731062249</c:v>
                </c:pt>
                <c:pt idx="98">
                  <c:v>586.43338303002247</c:v>
                </c:pt>
                <c:pt idx="99">
                  <c:v>589.45716925104091</c:v>
                </c:pt>
                <c:pt idx="100">
                  <c:v>594.23424546577826</c:v>
                </c:pt>
                <c:pt idx="101">
                  <c:v>602.84928957003046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3-413E-AE73-9CF8C9DED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44735"/>
        <c:axId val="1544342831"/>
      </c:lineChart>
      <c:catAx>
        <c:axId val="1556644735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342831"/>
        <c:crosses val="autoZero"/>
        <c:auto val="1"/>
        <c:lblAlgn val="ctr"/>
        <c:lblOffset val="100"/>
        <c:tickMarkSkip val="50"/>
        <c:noMultiLvlLbl val="0"/>
      </c:catAx>
      <c:valAx>
        <c:axId val="15443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664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Лист1!$O$14:$O$115</c:f>
              <c:numCache>
                <c:formatCode>General</c:formatCode>
                <c:ptCount val="102"/>
                <c:pt idx="0">
                  <c:v>0</c:v>
                </c:pt>
                <c:pt idx="1">
                  <c:v>3.9676974585774086E-2</c:v>
                </c:pt>
                <c:pt idx="2">
                  <c:v>4.6274692414937146E-2</c:v>
                </c:pt>
                <c:pt idx="3">
                  <c:v>6.3566696348979546E-2</c:v>
                </c:pt>
                <c:pt idx="4">
                  <c:v>8.4558770773788053E-2</c:v>
                </c:pt>
                <c:pt idx="5">
                  <c:v>9.0293295486954042E-2</c:v>
                </c:pt>
                <c:pt idx="6">
                  <c:v>9.6151049286332987E-2</c:v>
                </c:pt>
                <c:pt idx="7">
                  <c:v>0.10231009447793507</c:v>
                </c:pt>
                <c:pt idx="8">
                  <c:v>0.10909803844520043</c:v>
                </c:pt>
                <c:pt idx="9">
                  <c:v>0.12329863208754209</c:v>
                </c:pt>
                <c:pt idx="10">
                  <c:v>0.13081883180161147</c:v>
                </c:pt>
                <c:pt idx="11">
                  <c:v>0.13821722465003586</c:v>
                </c:pt>
                <c:pt idx="12">
                  <c:v>0.14573586423484555</c:v>
                </c:pt>
                <c:pt idx="13">
                  <c:v>0.15328702455712059</c:v>
                </c:pt>
                <c:pt idx="14">
                  <c:v>0.16091177602347825</c:v>
                </c:pt>
                <c:pt idx="15">
                  <c:v>0.1685883852219375</c:v>
                </c:pt>
                <c:pt idx="16">
                  <c:v>0.176253560858918</c:v>
                </c:pt>
                <c:pt idx="17">
                  <c:v>0.18408879652986276</c:v>
                </c:pt>
                <c:pt idx="18">
                  <c:v>0.20008306653165947</c:v>
                </c:pt>
                <c:pt idx="19">
                  <c:v>0.20807291427641647</c:v>
                </c:pt>
                <c:pt idx="20">
                  <c:v>0.21612352950276845</c:v>
                </c:pt>
                <c:pt idx="21">
                  <c:v>0.22421983344405921</c:v>
                </c:pt>
                <c:pt idx="22">
                  <c:v>0.2324460679541385</c:v>
                </c:pt>
                <c:pt idx="23">
                  <c:v>0.24076115179041452</c:v>
                </c:pt>
                <c:pt idx="24">
                  <c:v>0.2574306856197961</c:v>
                </c:pt>
                <c:pt idx="25">
                  <c:v>0.26618162565379427</c:v>
                </c:pt>
                <c:pt idx="26">
                  <c:v>0.27478283927546637</c:v>
                </c:pt>
                <c:pt idx="27">
                  <c:v>0.28346469929307289</c:v>
                </c:pt>
                <c:pt idx="28">
                  <c:v>0.29222301760383446</c:v>
                </c:pt>
                <c:pt idx="29">
                  <c:v>0.30103094656674023</c:v>
                </c:pt>
                <c:pt idx="30">
                  <c:v>0.30995065225076018</c:v>
                </c:pt>
                <c:pt idx="31">
                  <c:v>0.32789790024350174</c:v>
                </c:pt>
                <c:pt idx="32">
                  <c:v>0.33733559098959914</c:v>
                </c:pt>
                <c:pt idx="33">
                  <c:v>0.34665479897098062</c:v>
                </c:pt>
                <c:pt idx="34">
                  <c:v>0.35606402584127522</c:v>
                </c:pt>
                <c:pt idx="35">
                  <c:v>0.36555206142834917</c:v>
                </c:pt>
                <c:pt idx="36">
                  <c:v>0.37514165100356472</c:v>
                </c:pt>
                <c:pt idx="37">
                  <c:v>0.384810296501501</c:v>
                </c:pt>
                <c:pt idx="38">
                  <c:v>0.39457439612515699</c:v>
                </c:pt>
                <c:pt idx="39">
                  <c:v>0.40475013973213192</c:v>
                </c:pt>
                <c:pt idx="40">
                  <c:v>0.41467841547819989</c:v>
                </c:pt>
                <c:pt idx="41">
                  <c:v>0.42474161692894397</c:v>
                </c:pt>
                <c:pt idx="42">
                  <c:v>0.43483533858517959</c:v>
                </c:pt>
                <c:pt idx="43">
                  <c:v>0.44508081182370646</c:v>
                </c:pt>
                <c:pt idx="44">
                  <c:v>0.45534604155167452</c:v>
                </c:pt>
                <c:pt idx="45">
                  <c:v>0.46576824119132326</c:v>
                </c:pt>
                <c:pt idx="46">
                  <c:v>0.4762624626762168</c:v>
                </c:pt>
                <c:pt idx="47">
                  <c:v>0.48715329713668287</c:v>
                </c:pt>
                <c:pt idx="48">
                  <c:v>0.49786622634149907</c:v>
                </c:pt>
                <c:pt idx="49">
                  <c:v>0.50865481724281858</c:v>
                </c:pt>
                <c:pt idx="50">
                  <c:v>0.51957911869027362</c:v>
                </c:pt>
                <c:pt idx="51">
                  <c:v>0.53057176500653103</c:v>
                </c:pt>
                <c:pt idx="52">
                  <c:v>0.54169368849010346</c:v>
                </c:pt>
                <c:pt idx="53">
                  <c:v>0.55287714557575018</c:v>
                </c:pt>
                <c:pt idx="54">
                  <c:v>0.57576961376161673</c:v>
                </c:pt>
                <c:pt idx="55">
                  <c:v>0.58720679257735575</c:v>
                </c:pt>
                <c:pt idx="56">
                  <c:v>0.59880691581561429</c:v>
                </c:pt>
                <c:pt idx="57">
                  <c:v>0.61057627609660503</c:v>
                </c:pt>
                <c:pt idx="58">
                  <c:v>0.62238054658329045</c:v>
                </c:pt>
                <c:pt idx="59">
                  <c:v>0.63434723352034672</c:v>
                </c:pt>
                <c:pt idx="60">
                  <c:v>0.64633625010027329</c:v>
                </c:pt>
                <c:pt idx="61">
                  <c:v>0.66013684929472038</c:v>
                </c:pt>
                <c:pt idx="62">
                  <c:v>0.6727992736099061</c:v>
                </c:pt>
                <c:pt idx="63">
                  <c:v>0.6852001236429619</c:v>
                </c:pt>
                <c:pt idx="64">
                  <c:v>0.69776686030384427</c:v>
                </c:pt>
                <c:pt idx="65">
                  <c:v>0.7103554649429572</c:v>
                </c:pt>
                <c:pt idx="66">
                  <c:v>0.72310902264872201</c:v>
                </c:pt>
                <c:pt idx="67">
                  <c:v>0.73592062518048784</c:v>
                </c:pt>
                <c:pt idx="68">
                  <c:v>0.74900682588703327</c:v>
                </c:pt>
                <c:pt idx="69">
                  <c:v>0.76216228592302238</c:v>
                </c:pt>
                <c:pt idx="70">
                  <c:v>0.78890859152958059</c:v>
                </c:pt>
                <c:pt idx="71">
                  <c:v>0.80229728861574501</c:v>
                </c:pt>
                <c:pt idx="72">
                  <c:v>0.81604797611430646</c:v>
                </c:pt>
                <c:pt idx="73">
                  <c:v>0.82985940561778271</c:v>
                </c:pt>
                <c:pt idx="74">
                  <c:v>0.84373219114503517</c:v>
                </c:pt>
                <c:pt idx="75">
                  <c:v>0.85788172537459595</c:v>
                </c:pt>
                <c:pt idx="76">
                  <c:v>0.87203079276300166</c:v>
                </c:pt>
                <c:pt idx="77">
                  <c:v>0.88671862875019414</c:v>
                </c:pt>
                <c:pt idx="78">
                  <c:v>0.90134469227610725</c:v>
                </c:pt>
                <c:pt idx="79">
                  <c:v>0.91602004334581533</c:v>
                </c:pt>
                <c:pt idx="80">
                  <c:v>0.93078690977095613</c:v>
                </c:pt>
                <c:pt idx="81">
                  <c:v>0.94587006727113387</c:v>
                </c:pt>
                <c:pt idx="82">
                  <c:v>0.96102784482406667</c:v>
                </c:pt>
                <c:pt idx="83">
                  <c:v>0.97621769313266582</c:v>
                </c:pt>
                <c:pt idx="84">
                  <c:v>0.99162008812702063</c:v>
                </c:pt>
                <c:pt idx="85">
                  <c:v>1.0077942188696041</c:v>
                </c:pt>
                <c:pt idx="86">
                  <c:v>1.023519338176651</c:v>
                </c:pt>
                <c:pt idx="87">
                  <c:v>1.0395324934022483</c:v>
                </c:pt>
                <c:pt idx="88">
                  <c:v>1.055481250718177</c:v>
                </c:pt>
                <c:pt idx="89">
                  <c:v>1.0877033024476168</c:v>
                </c:pt>
                <c:pt idx="90">
                  <c:v>1.1040820926538704</c:v>
                </c:pt>
                <c:pt idx="91">
                  <c:v>1.1206430017176241</c:v>
                </c:pt>
                <c:pt idx="92">
                  <c:v>1.137865086330724</c:v>
                </c:pt>
                <c:pt idx="93">
                  <c:v>1.1546056588846789</c:v>
                </c:pt>
                <c:pt idx="94">
                  <c:v>1.1713606625828119</c:v>
                </c:pt>
                <c:pt idx="95">
                  <c:v>1.1885557244712746</c:v>
                </c:pt>
                <c:pt idx="96">
                  <c:v>1.2055335785238193</c:v>
                </c:pt>
                <c:pt idx="97">
                  <c:v>1.2223645154058345</c:v>
                </c:pt>
                <c:pt idx="98">
                  <c:v>1.2394750279697626</c:v>
                </c:pt>
                <c:pt idx="99">
                  <c:v>1.2569756302475825</c:v>
                </c:pt>
                <c:pt idx="100">
                  <c:v>1.2745006410211315</c:v>
                </c:pt>
                <c:pt idx="101">
                  <c:v>1.3086661694735142</c:v>
                </c:pt>
              </c:numCache>
            </c:numRef>
          </c:cat>
          <c:val>
            <c:numRef>
              <c:f>Лист1!$M$14:$M$115</c:f>
              <c:numCache>
                <c:formatCode>General</c:formatCode>
                <c:ptCount val="102"/>
                <c:pt idx="0">
                  <c:v>1.5803161836417712</c:v>
                </c:pt>
                <c:pt idx="1">
                  <c:v>32.879305324239773</c:v>
                </c:pt>
                <c:pt idx="2">
                  <c:v>40.178619625415877</c:v>
                </c:pt>
                <c:pt idx="3">
                  <c:v>116.60514340306834</c:v>
                </c:pt>
                <c:pt idx="4">
                  <c:v>276.01109392338935</c:v>
                </c:pt>
                <c:pt idx="5">
                  <c:v>308.54957480007113</c:v>
                </c:pt>
                <c:pt idx="6">
                  <c:v>339.59860161574835</c:v>
                </c:pt>
                <c:pt idx="7">
                  <c:v>364.29330498349202</c:v>
                </c:pt>
                <c:pt idx="8">
                  <c:v>377.76651233990225</c:v>
                </c:pt>
                <c:pt idx="9">
                  <c:v>393.07558339380125</c:v>
                </c:pt>
                <c:pt idx="10">
                  <c:v>397.7367853671833</c:v>
                </c:pt>
                <c:pt idx="11">
                  <c:v>401.67348494381008</c:v>
                </c:pt>
                <c:pt idx="12">
                  <c:v>405.28663463623332</c:v>
                </c:pt>
                <c:pt idx="13">
                  <c:v>409.10679330708524</c:v>
                </c:pt>
                <c:pt idx="14">
                  <c:v>412.39331032954863</c:v>
                </c:pt>
                <c:pt idx="15">
                  <c:v>415.83905719659884</c:v>
                </c:pt>
                <c:pt idx="16">
                  <c:v>419.46515020760779</c:v>
                </c:pt>
                <c:pt idx="17">
                  <c:v>422.02572565770055</c:v>
                </c:pt>
                <c:pt idx="18">
                  <c:v>428.3161716541702</c:v>
                </c:pt>
                <c:pt idx="19">
                  <c:v>431.16597399178966</c:v>
                </c:pt>
                <c:pt idx="20">
                  <c:v>433.71079415529033</c:v>
                </c:pt>
                <c:pt idx="21">
                  <c:v>436.73244967751401</c:v>
                </c:pt>
                <c:pt idx="22">
                  <c:v>438.90430875226843</c:v>
                </c:pt>
                <c:pt idx="23">
                  <c:v>441.30333464129194</c:v>
                </c:pt>
                <c:pt idx="24">
                  <c:v>445.58448151097144</c:v>
                </c:pt>
                <c:pt idx="25">
                  <c:v>447.50345838114208</c:v>
                </c:pt>
                <c:pt idx="26">
                  <c:v>449.13659308828346</c:v>
                </c:pt>
                <c:pt idx="27">
                  <c:v>451.08066887975065</c:v>
                </c:pt>
                <c:pt idx="28">
                  <c:v>452.55212683209209</c:v>
                </c:pt>
                <c:pt idx="29">
                  <c:v>454.43118627132162</c:v>
                </c:pt>
                <c:pt idx="30">
                  <c:v>455.99278530359294</c:v>
                </c:pt>
                <c:pt idx="31">
                  <c:v>459.39726285146457</c:v>
                </c:pt>
                <c:pt idx="32">
                  <c:v>460.8607595614796</c:v>
                </c:pt>
                <c:pt idx="33">
                  <c:v>461.9598295677265</c:v>
                </c:pt>
                <c:pt idx="34">
                  <c:v>463.15747505972934</c:v>
                </c:pt>
                <c:pt idx="35">
                  <c:v>464.26602569762809</c:v>
                </c:pt>
                <c:pt idx="36">
                  <c:v>465.2547439624912</c:v>
                </c:pt>
                <c:pt idx="37">
                  <c:v>465.74596716329597</c:v>
                </c:pt>
                <c:pt idx="38">
                  <c:v>466.67777712255054</c:v>
                </c:pt>
                <c:pt idx="39">
                  <c:v>467.42537003377089</c:v>
                </c:pt>
                <c:pt idx="40">
                  <c:v>468.29544042420724</c:v>
                </c:pt>
                <c:pt idx="41">
                  <c:v>469.09846347001326</c:v>
                </c:pt>
                <c:pt idx="42">
                  <c:v>469.92155079366529</c:v>
                </c:pt>
                <c:pt idx="43">
                  <c:v>470.43577831536697</c:v>
                </c:pt>
                <c:pt idx="44">
                  <c:v>471.31094362435658</c:v>
                </c:pt>
                <c:pt idx="45">
                  <c:v>472.07340400613191</c:v>
                </c:pt>
                <c:pt idx="46">
                  <c:v>472.98773561159146</c:v>
                </c:pt>
                <c:pt idx="47">
                  <c:v>474.03200146588853</c:v>
                </c:pt>
                <c:pt idx="48">
                  <c:v>474.88140328698296</c:v>
                </c:pt>
                <c:pt idx="49">
                  <c:v>475.48714127539807</c:v>
                </c:pt>
                <c:pt idx="50">
                  <c:v>476.19334509424209</c:v>
                </c:pt>
                <c:pt idx="51">
                  <c:v>477.04339357572024</c:v>
                </c:pt>
                <c:pt idx="52">
                  <c:v>477.88751329584159</c:v>
                </c:pt>
                <c:pt idx="53">
                  <c:v>479.13600339901973</c:v>
                </c:pt>
                <c:pt idx="54">
                  <c:v>481.67128201961413</c:v>
                </c:pt>
                <c:pt idx="55">
                  <c:v>483.10427827263544</c:v>
                </c:pt>
                <c:pt idx="56">
                  <c:v>484.58674569624856</c:v>
                </c:pt>
                <c:pt idx="57">
                  <c:v>485.65150326884901</c:v>
                </c:pt>
                <c:pt idx="58">
                  <c:v>486.90687215907138</c:v>
                </c:pt>
                <c:pt idx="59">
                  <c:v>488.1861634103945</c:v>
                </c:pt>
                <c:pt idx="60">
                  <c:v>490.0018433757632</c:v>
                </c:pt>
                <c:pt idx="61">
                  <c:v>491.62385325928778</c:v>
                </c:pt>
                <c:pt idx="62">
                  <c:v>493.5173188356639</c:v>
                </c:pt>
                <c:pt idx="63">
                  <c:v>495.4831393587292</c:v>
                </c:pt>
                <c:pt idx="64">
                  <c:v>497.10073119705726</c:v>
                </c:pt>
                <c:pt idx="65">
                  <c:v>499.15930973168304</c:v>
                </c:pt>
                <c:pt idx="66">
                  <c:v>501.2177344346282</c:v>
                </c:pt>
                <c:pt idx="67">
                  <c:v>503.47513284743303</c:v>
                </c:pt>
                <c:pt idx="68">
                  <c:v>505.02091483674326</c:v>
                </c:pt>
                <c:pt idx="69">
                  <c:v>507.18593458460867</c:v>
                </c:pt>
                <c:pt idx="70">
                  <c:v>511.34697802775003</c:v>
                </c:pt>
                <c:pt idx="71">
                  <c:v>514.16779458632834</c:v>
                </c:pt>
                <c:pt idx="72">
                  <c:v>515.92399689619253</c:v>
                </c:pt>
                <c:pt idx="73">
                  <c:v>518.18096829703518</c:v>
                </c:pt>
                <c:pt idx="74">
                  <c:v>520.70016771813755</c:v>
                </c:pt>
                <c:pt idx="75">
                  <c:v>522.61965928184861</c:v>
                </c:pt>
                <c:pt idx="76">
                  <c:v>524.97418538579166</c:v>
                </c:pt>
                <c:pt idx="77">
                  <c:v>527.77458992691413</c:v>
                </c:pt>
                <c:pt idx="78">
                  <c:v>529.55285331368987</c:v>
                </c:pt>
                <c:pt idx="79">
                  <c:v>531.92487746090342</c:v>
                </c:pt>
                <c:pt idx="80">
                  <c:v>534.48187645058943</c:v>
                </c:pt>
                <c:pt idx="81">
                  <c:v>536.14212490228226</c:v>
                </c:pt>
                <c:pt idx="82">
                  <c:v>538.33540622461771</c:v>
                </c:pt>
                <c:pt idx="83">
                  <c:v>540.77197308452526</c:v>
                </c:pt>
                <c:pt idx="84">
                  <c:v>543.3328390670888</c:v>
                </c:pt>
                <c:pt idx="85">
                  <c:v>545.39448424928923</c:v>
                </c:pt>
                <c:pt idx="86">
                  <c:v>547.80415467068292</c:v>
                </c:pt>
                <c:pt idx="87">
                  <c:v>549.73570486386029</c:v>
                </c:pt>
                <c:pt idx="88">
                  <c:v>552.28886082279473</c:v>
                </c:pt>
                <c:pt idx="89">
                  <c:v>557.11837903222136</c:v>
                </c:pt>
                <c:pt idx="90">
                  <c:v>559.91786237078725</c:v>
                </c:pt>
                <c:pt idx="91">
                  <c:v>562.8235169543608</c:v>
                </c:pt>
                <c:pt idx="92">
                  <c:v>565.4610522577442</c:v>
                </c:pt>
                <c:pt idx="93">
                  <c:v>568.56857021142696</c:v>
                </c:pt>
                <c:pt idx="94">
                  <c:v>571.83799101173929</c:v>
                </c:pt>
                <c:pt idx="95">
                  <c:v>574.53845333938284</c:v>
                </c:pt>
                <c:pt idx="96">
                  <c:v>578.33219763300463</c:v>
                </c:pt>
                <c:pt idx="97">
                  <c:v>582.6079731062249</c:v>
                </c:pt>
                <c:pt idx="98">
                  <c:v>586.43338303002247</c:v>
                </c:pt>
                <c:pt idx="99">
                  <c:v>589.45716925104091</c:v>
                </c:pt>
                <c:pt idx="100">
                  <c:v>594.23424546577826</c:v>
                </c:pt>
                <c:pt idx="101">
                  <c:v>602.84928957003046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68-4B4B-BEEE-34EEA06BB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44735"/>
        <c:axId val="1544342831"/>
      </c:lineChart>
      <c:catAx>
        <c:axId val="1556644735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342831"/>
        <c:crosses val="autoZero"/>
        <c:auto val="1"/>
        <c:lblAlgn val="ctr"/>
        <c:lblOffset val="100"/>
        <c:tickMarkSkip val="50"/>
        <c:noMultiLvlLbl val="0"/>
      </c:catAx>
      <c:valAx>
        <c:axId val="15443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664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191508</xdr:colOff>
      <xdr:row>10</xdr:row>
      <xdr:rowOff>161269</xdr:rowOff>
    </xdr:from>
    <xdr:to>
      <xdr:col>25</xdr:col>
      <xdr:colOff>503968</xdr:colOff>
      <xdr:row>36</xdr:row>
      <xdr:rowOff>50396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024417E-3EC7-4656-B906-CFD8192C6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39</xdr:row>
      <xdr:rowOff>0</xdr:rowOff>
    </xdr:from>
    <xdr:to>
      <xdr:col>32</xdr:col>
      <xdr:colOff>312460</xdr:colOff>
      <xdr:row>64</xdr:row>
      <xdr:rowOff>79627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85E3524-6514-479C-BDA7-BFE141555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0.95454</cdr:x>
      <cdr:y>0.91475</cdr:y>
    </cdr:from>
    <cdr:to>
      <cdr:x>0.99197</cdr:x>
      <cdr:y>0.97691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003525C-DAD1-4942-9EDA-E7B1C13239C4}"/>
            </a:ext>
          </a:extLst>
        </cdr:cNvPr>
        <cdr:cNvSpPr txBox="1"/>
      </cdr:nvSpPr>
      <cdr:spPr>
        <a:xfrm xmlns:a="http://schemas.openxmlformats.org/drawingml/2006/main">
          <a:off x="5493657" y="4213578"/>
          <a:ext cx="215473" cy="2863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 sz="2000" b="1">
              <a:latin typeface="Times New Roman" panose="02020603050405020304" pitchFamily="18" charset="0"/>
              <a:cs typeface="Times New Roman" panose="02020603050405020304" pitchFamily="18" charset="0"/>
            </a:rPr>
            <a:t>ε</a:t>
          </a:r>
          <a:endParaRPr lang="ru-RU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0.00885</cdr:x>
      <cdr:y>0.01049</cdr:y>
    </cdr:from>
    <cdr:to>
      <cdr:x>0.22762</cdr:x>
      <cdr:y>0.11034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1D31574-C425-4C29-B831-E705AB62EFD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56138" cy="4834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σ</a:t>
          </a:r>
          <a:r>
            <a:rPr lang="en-US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i, </a:t>
          </a:r>
          <a:r>
            <a:rPr lang="ru-RU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МПа</a:t>
          </a:r>
          <a:endParaRPr lang="ru-RU" sz="14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endParaRPr lang="ru-R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0.95454</cdr:x>
      <cdr:y>0.91475</cdr:y>
    </cdr:from>
    <cdr:to>
      <cdr:x>0.99197</cdr:x>
      <cdr:y>0.97691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003525C-DAD1-4942-9EDA-E7B1C13239C4}"/>
            </a:ext>
          </a:extLst>
        </cdr:cNvPr>
        <cdr:cNvSpPr txBox="1"/>
      </cdr:nvSpPr>
      <cdr:spPr>
        <a:xfrm xmlns:a="http://schemas.openxmlformats.org/drawingml/2006/main">
          <a:off x="5493657" y="4213578"/>
          <a:ext cx="215473" cy="2863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endParaRPr lang="ru-RU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0.00885</cdr:x>
      <cdr:y>0.01049</cdr:y>
    </cdr:from>
    <cdr:to>
      <cdr:x>0.22762</cdr:x>
      <cdr:y>0.11034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1D31574-C425-4C29-B831-E705AB62EFD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56138" cy="4834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σ</a:t>
          </a:r>
          <a:r>
            <a:rPr lang="en-US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i, </a:t>
          </a:r>
          <a:r>
            <a:rPr lang="ru-RU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МПа</a:t>
          </a:r>
          <a:endParaRPr lang="ru-RU" sz="14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endParaRPr lang="ru-R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tabSelected="1" topLeftCell="E28" zoomScale="40" zoomScaleNormal="40" workbookViewId="0">
      <selection activeCell="U46" sqref="U46"/>
    </sheetView>
  </sheetViews>
  <sheetFormatPr defaultRowHeight="14.5" x14ac:dyDescent="0.35"/>
  <sheetData>
    <row r="1" spans="1:15" x14ac:dyDescent="0.35">
      <c r="A1" t="s">
        <v>0</v>
      </c>
      <c r="B1" t="s">
        <v>1</v>
      </c>
    </row>
    <row r="2" spans="1:15" x14ac:dyDescent="0.35">
      <c r="A2" t="s">
        <v>2</v>
      </c>
      <c r="B2" t="s">
        <v>3</v>
      </c>
      <c r="C2">
        <v>1</v>
      </c>
    </row>
    <row r="3" spans="1:15" x14ac:dyDescent="0.35">
      <c r="A3" t="s">
        <v>4</v>
      </c>
      <c r="B3" t="s">
        <v>5</v>
      </c>
      <c r="C3" s="1">
        <v>0.66574074074074074</v>
      </c>
    </row>
    <row r="4" spans="1:15" x14ac:dyDescent="0.35">
      <c r="A4" t="s">
        <v>6</v>
      </c>
      <c r="B4">
        <v>50</v>
      </c>
    </row>
    <row r="5" spans="1:15" x14ac:dyDescent="0.35">
      <c r="A5" t="s">
        <v>7</v>
      </c>
      <c r="B5" t="s">
        <v>8</v>
      </c>
      <c r="C5">
        <v>0</v>
      </c>
    </row>
    <row r="6" spans="1:15" x14ac:dyDescent="0.35">
      <c r="A6" t="s">
        <v>9</v>
      </c>
    </row>
    <row r="7" spans="1:15" x14ac:dyDescent="0.3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 spans="1:15" x14ac:dyDescent="0.35">
      <c r="A8">
        <v>9.1999999999999993</v>
      </c>
      <c r="D8">
        <v>15</v>
      </c>
      <c r="E8">
        <v>10</v>
      </c>
      <c r="F8">
        <v>14.9</v>
      </c>
    </row>
    <row r="9" spans="1:15" x14ac:dyDescent="0.35">
      <c r="A9" t="s">
        <v>16</v>
      </c>
    </row>
    <row r="10" spans="1:15" x14ac:dyDescent="0.35">
      <c r="G10" t="s">
        <v>21</v>
      </c>
      <c r="H10" t="s">
        <v>22</v>
      </c>
      <c r="I10" t="s">
        <v>23</v>
      </c>
      <c r="J10" t="s">
        <v>24</v>
      </c>
    </row>
    <row r="11" spans="1:15" x14ac:dyDescent="0.35">
      <c r="A11" t="s">
        <v>17</v>
      </c>
      <c r="B11">
        <v>102</v>
      </c>
      <c r="G11">
        <v>14.9</v>
      </c>
      <c r="H11">
        <v>9.1999999999999993</v>
      </c>
      <c r="I11">
        <f>I14</f>
        <v>989.99175999999989</v>
      </c>
      <c r="J11">
        <v>4.46</v>
      </c>
    </row>
    <row r="13" spans="1:15" x14ac:dyDescent="0.35">
      <c r="A13" t="s">
        <v>18</v>
      </c>
      <c r="B13" t="s">
        <v>19</v>
      </c>
      <c r="C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26</v>
      </c>
      <c r="L13" t="s">
        <v>27</v>
      </c>
      <c r="M13" t="s">
        <v>28</v>
      </c>
      <c r="N13" t="s">
        <v>29</v>
      </c>
      <c r="O13" t="s">
        <v>30</v>
      </c>
    </row>
    <row r="14" spans="1:15" x14ac:dyDescent="0.35">
      <c r="A14">
        <v>0</v>
      </c>
      <c r="B14">
        <v>0</v>
      </c>
      <c r="C14" s="2">
        <v>105</v>
      </c>
      <c r="G14">
        <f>$G$11</f>
        <v>14.9</v>
      </c>
      <c r="H14">
        <f>$H$11</f>
        <v>9.1999999999999993</v>
      </c>
      <c r="I14">
        <f>(3.14*POWER(H14,2)*0.25*G14)</f>
        <v>989.99175999999989</v>
      </c>
      <c r="J14">
        <f>0</f>
        <v>0</v>
      </c>
      <c r="K14">
        <f>G14-J14</f>
        <v>14.9</v>
      </c>
      <c r="L14">
        <f>I14/K14</f>
        <v>66.442399999999992</v>
      </c>
      <c r="M14">
        <f>C14/L14</f>
        <v>1.5803161836417712</v>
      </c>
      <c r="N14">
        <f>J14/G14</f>
        <v>0</v>
      </c>
      <c r="O14">
        <f>LN(L14/(3.14*H14^2/4))</f>
        <v>0</v>
      </c>
    </row>
    <row r="15" spans="1:15" x14ac:dyDescent="0.35">
      <c r="A15">
        <v>0.1</v>
      </c>
      <c r="B15">
        <v>0.60060000000000002</v>
      </c>
      <c r="C15" s="2">
        <v>2273</v>
      </c>
      <c r="G15">
        <f>$G$11</f>
        <v>14.9</v>
      </c>
      <c r="H15">
        <f t="shared" ref="H15:H78" si="0">$H$11</f>
        <v>9.1999999999999993</v>
      </c>
      <c r="I15">
        <f t="shared" ref="I15:I78" si="1">(3.14*POWER(H15,2)*0.25*G15)</f>
        <v>989.99175999999989</v>
      </c>
      <c r="J15">
        <f>B15-C15/(2*10^5/1.8467)</f>
        <v>0.57961225449999998</v>
      </c>
      <c r="K15">
        <f t="shared" ref="K15:K78" si="2">G15-J15</f>
        <v>14.3203877455</v>
      </c>
      <c r="L15">
        <f t="shared" ref="L15:L78" si="3">I15/K15</f>
        <v>69.131630902319131</v>
      </c>
      <c r="M15">
        <f t="shared" ref="M15:M78" si="4">C15/L15</f>
        <v>32.879305324239773</v>
      </c>
      <c r="N15">
        <f t="shared" ref="N15:N78" si="5">J15/G15</f>
        <v>3.8900151308724831E-2</v>
      </c>
      <c r="O15">
        <f t="shared" ref="O15:O78" si="6">LN(L15/(3.14*H15^2/4))</f>
        <v>3.9676974585774086E-2</v>
      </c>
    </row>
    <row r="16" spans="1:15" x14ac:dyDescent="0.35">
      <c r="A16">
        <v>0.2</v>
      </c>
      <c r="B16">
        <v>0.6996</v>
      </c>
      <c r="C16" s="2">
        <v>2796</v>
      </c>
      <c r="G16">
        <f t="shared" ref="G16:G79" si="7">$G$11</f>
        <v>14.9</v>
      </c>
      <c r="H16">
        <f t="shared" si="0"/>
        <v>9.1999999999999993</v>
      </c>
      <c r="I16">
        <f t="shared" si="1"/>
        <v>989.99175999999989</v>
      </c>
      <c r="J16">
        <f t="shared" ref="J16:J79" si="8">B16-C16/(2*10^5/1.8467)</f>
        <v>0.67378313400000001</v>
      </c>
      <c r="K16">
        <f t="shared" si="2"/>
        <v>14.226216866</v>
      </c>
      <c r="L16">
        <f t="shared" si="3"/>
        <v>69.589249856441768</v>
      </c>
      <c r="M16">
        <f t="shared" si="4"/>
        <v>40.178619625415877</v>
      </c>
      <c r="N16">
        <f t="shared" si="5"/>
        <v>4.522034456375839E-2</v>
      </c>
      <c r="O16">
        <f t="shared" si="6"/>
        <v>4.6274692414937146E-2</v>
      </c>
    </row>
    <row r="17" spans="1:15" x14ac:dyDescent="0.35">
      <c r="A17">
        <v>0.3</v>
      </c>
      <c r="B17">
        <v>0.99390000000000001</v>
      </c>
      <c r="C17" s="2">
        <v>8256</v>
      </c>
      <c r="G17">
        <f t="shared" si="7"/>
        <v>14.9</v>
      </c>
      <c r="H17">
        <f t="shared" si="0"/>
        <v>9.1999999999999993</v>
      </c>
      <c r="I17">
        <f t="shared" si="1"/>
        <v>989.99175999999989</v>
      </c>
      <c r="J17">
        <f t="shared" si="8"/>
        <v>0.91766822400000003</v>
      </c>
      <c r="K17">
        <f t="shared" si="2"/>
        <v>13.982331776000001</v>
      </c>
      <c r="L17">
        <f t="shared" si="3"/>
        <v>70.803051726985416</v>
      </c>
      <c r="M17">
        <f t="shared" si="4"/>
        <v>116.60514340306834</v>
      </c>
      <c r="N17">
        <f t="shared" si="5"/>
        <v>6.1588471409395974E-2</v>
      </c>
      <c r="O17">
        <f t="shared" si="6"/>
        <v>6.3566696348979546E-2</v>
      </c>
    </row>
    <row r="18" spans="1:15" x14ac:dyDescent="0.35">
      <c r="A18">
        <v>0.4</v>
      </c>
      <c r="B18">
        <v>1.3924000000000001</v>
      </c>
      <c r="C18" s="2">
        <v>19957</v>
      </c>
      <c r="G18">
        <f t="shared" si="7"/>
        <v>14.9</v>
      </c>
      <c r="H18">
        <f t="shared" si="0"/>
        <v>9.1999999999999993</v>
      </c>
      <c r="I18">
        <f t="shared" si="1"/>
        <v>989.99175999999989</v>
      </c>
      <c r="J18">
        <f t="shared" si="8"/>
        <v>1.2081270405</v>
      </c>
      <c r="K18">
        <f t="shared" si="2"/>
        <v>13.691872959499999</v>
      </c>
      <c r="L18">
        <f t="shared" si="3"/>
        <v>72.305064685332312</v>
      </c>
      <c r="M18">
        <f t="shared" si="4"/>
        <v>276.01109392338935</v>
      </c>
      <c r="N18">
        <f t="shared" si="5"/>
        <v>8.1082351711409387E-2</v>
      </c>
      <c r="O18">
        <f t="shared" si="6"/>
        <v>8.4558770773788053E-2</v>
      </c>
    </row>
    <row r="19" spans="1:15" x14ac:dyDescent="0.35">
      <c r="A19">
        <v>0.5</v>
      </c>
      <c r="B19">
        <v>1.4936</v>
      </c>
      <c r="C19" s="2">
        <v>22438</v>
      </c>
      <c r="G19">
        <f t="shared" si="7"/>
        <v>14.9</v>
      </c>
      <c r="H19">
        <f t="shared" si="0"/>
        <v>9.1999999999999993</v>
      </c>
      <c r="I19">
        <f t="shared" si="1"/>
        <v>989.99175999999989</v>
      </c>
      <c r="J19">
        <f t="shared" si="8"/>
        <v>1.286418727</v>
      </c>
      <c r="K19">
        <f t="shared" si="2"/>
        <v>13.613581273000001</v>
      </c>
      <c r="L19">
        <f t="shared" si="3"/>
        <v>72.720891009294064</v>
      </c>
      <c r="M19">
        <f t="shared" si="4"/>
        <v>308.54957480007113</v>
      </c>
      <c r="N19">
        <f t="shared" si="5"/>
        <v>8.6336827315436238E-2</v>
      </c>
      <c r="O19">
        <f t="shared" si="6"/>
        <v>9.0293295486954042E-2</v>
      </c>
    </row>
    <row r="20" spans="1:15" x14ac:dyDescent="0.35">
      <c r="A20">
        <v>0.6</v>
      </c>
      <c r="B20">
        <v>1.5952999999999999</v>
      </c>
      <c r="C20" s="2">
        <v>24841</v>
      </c>
      <c r="G20">
        <f t="shared" si="7"/>
        <v>14.9</v>
      </c>
      <c r="H20">
        <f t="shared" si="0"/>
        <v>9.1999999999999993</v>
      </c>
      <c r="I20">
        <f t="shared" si="1"/>
        <v>989.99175999999989</v>
      </c>
      <c r="J20">
        <f t="shared" si="8"/>
        <v>1.3659306265</v>
      </c>
      <c r="K20">
        <f t="shared" si="2"/>
        <v>13.5340693735</v>
      </c>
      <c r="L20">
        <f t="shared" si="3"/>
        <v>73.1481221707364</v>
      </c>
      <c r="M20">
        <f t="shared" si="4"/>
        <v>339.59860161574835</v>
      </c>
      <c r="N20">
        <f t="shared" si="5"/>
        <v>9.1673196409395974E-2</v>
      </c>
      <c r="O20">
        <f t="shared" si="6"/>
        <v>9.6151049286332987E-2</v>
      </c>
    </row>
    <row r="21" spans="1:15" x14ac:dyDescent="0.35">
      <c r="A21">
        <v>0.7</v>
      </c>
      <c r="B21">
        <v>1.6966000000000001</v>
      </c>
      <c r="C21" s="2">
        <v>26812</v>
      </c>
      <c r="G21">
        <f t="shared" si="7"/>
        <v>14.9</v>
      </c>
      <c r="H21">
        <f t="shared" si="0"/>
        <v>9.1999999999999993</v>
      </c>
      <c r="I21">
        <f t="shared" si="1"/>
        <v>989.99175999999989</v>
      </c>
      <c r="J21">
        <f t="shared" si="8"/>
        <v>1.449031398</v>
      </c>
      <c r="K21">
        <f t="shared" si="2"/>
        <v>13.450968602</v>
      </c>
      <c r="L21">
        <f t="shared" si="3"/>
        <v>73.600035008095986</v>
      </c>
      <c r="M21">
        <f t="shared" si="4"/>
        <v>364.29330498349202</v>
      </c>
      <c r="N21">
        <f t="shared" si="5"/>
        <v>9.7250429395973156E-2</v>
      </c>
      <c r="O21">
        <f t="shared" si="6"/>
        <v>0.10231009447793507</v>
      </c>
    </row>
    <row r="22" spans="1:15" x14ac:dyDescent="0.35">
      <c r="A22">
        <v>0.8</v>
      </c>
      <c r="B22">
        <v>1.7985</v>
      </c>
      <c r="C22" s="2">
        <v>27993</v>
      </c>
      <c r="G22">
        <f t="shared" si="7"/>
        <v>14.9</v>
      </c>
      <c r="H22">
        <f t="shared" si="0"/>
        <v>9.1999999999999993</v>
      </c>
      <c r="I22">
        <f t="shared" si="1"/>
        <v>989.99175999999989</v>
      </c>
      <c r="J22">
        <f t="shared" si="8"/>
        <v>1.5400266345</v>
      </c>
      <c r="K22">
        <f t="shared" si="2"/>
        <v>13.3599733655</v>
      </c>
      <c r="L22">
        <f t="shared" si="3"/>
        <v>74.101327369146986</v>
      </c>
      <c r="M22">
        <f t="shared" si="4"/>
        <v>377.76651233990225</v>
      </c>
      <c r="N22">
        <f t="shared" si="5"/>
        <v>0.10335749224832215</v>
      </c>
      <c r="O22">
        <f t="shared" si="6"/>
        <v>0.10909803844520043</v>
      </c>
    </row>
    <row r="23" spans="1:15" x14ac:dyDescent="0.35">
      <c r="A23">
        <v>0.9</v>
      </c>
      <c r="B23">
        <v>2.0011999999999999</v>
      </c>
      <c r="C23" s="2">
        <v>29544</v>
      </c>
      <c r="G23">
        <f t="shared" si="7"/>
        <v>14.9</v>
      </c>
      <c r="H23">
        <f t="shared" si="0"/>
        <v>9.1999999999999993</v>
      </c>
      <c r="I23">
        <f t="shared" si="1"/>
        <v>989.99175999999989</v>
      </c>
      <c r="J23">
        <f t="shared" si="8"/>
        <v>1.7284054759999998</v>
      </c>
      <c r="K23">
        <f t="shared" si="2"/>
        <v>13.171594524</v>
      </c>
      <c r="L23">
        <f t="shared" si="3"/>
        <v>75.161117220556179</v>
      </c>
      <c r="M23">
        <f t="shared" si="4"/>
        <v>393.07558339380125</v>
      </c>
      <c r="N23">
        <f t="shared" si="5"/>
        <v>0.11600036751677852</v>
      </c>
      <c r="O23">
        <f t="shared" si="6"/>
        <v>0.12329863208754209</v>
      </c>
    </row>
    <row r="24" spans="1:15" x14ac:dyDescent="0.35">
      <c r="A24">
        <v>1</v>
      </c>
      <c r="B24">
        <v>2.1052</v>
      </c>
      <c r="C24" s="2">
        <v>30120</v>
      </c>
      <c r="G24">
        <f t="shared" si="7"/>
        <v>14.9</v>
      </c>
      <c r="H24">
        <f t="shared" si="0"/>
        <v>9.1999999999999993</v>
      </c>
      <c r="I24">
        <f t="shared" si="1"/>
        <v>989.99175999999989</v>
      </c>
      <c r="J24">
        <f t="shared" si="8"/>
        <v>1.82708698</v>
      </c>
      <c r="K24">
        <f t="shared" si="2"/>
        <v>13.07291302</v>
      </c>
      <c r="L24">
        <f t="shared" si="3"/>
        <v>75.728474478903848</v>
      </c>
      <c r="M24">
        <f t="shared" si="4"/>
        <v>397.7367853671833</v>
      </c>
      <c r="N24">
        <f t="shared" si="5"/>
        <v>0.12262328724832215</v>
      </c>
      <c r="O24">
        <f t="shared" si="6"/>
        <v>0.13081883180161147</v>
      </c>
    </row>
    <row r="25" spans="1:15" x14ac:dyDescent="0.35">
      <c r="A25">
        <v>1.1000000000000001</v>
      </c>
      <c r="B25">
        <v>2.2063999999999999</v>
      </c>
      <c r="C25" s="2">
        <v>30644</v>
      </c>
      <c r="G25">
        <f t="shared" si="7"/>
        <v>14.9</v>
      </c>
      <c r="H25">
        <f t="shared" si="0"/>
        <v>9.1999999999999993</v>
      </c>
      <c r="I25">
        <f t="shared" si="1"/>
        <v>989.99175999999989</v>
      </c>
      <c r="J25">
        <f t="shared" si="8"/>
        <v>1.9234486259999999</v>
      </c>
      <c r="K25">
        <f t="shared" si="2"/>
        <v>12.976551374</v>
      </c>
      <c r="L25">
        <f t="shared" si="3"/>
        <v>76.290821148642095</v>
      </c>
      <c r="M25">
        <f t="shared" si="4"/>
        <v>401.67348494381008</v>
      </c>
      <c r="N25">
        <f t="shared" si="5"/>
        <v>0.12909051181208053</v>
      </c>
      <c r="O25">
        <f t="shared" si="6"/>
        <v>0.13821722465003586</v>
      </c>
    </row>
    <row r="26" spans="1:15" x14ac:dyDescent="0.35">
      <c r="A26">
        <v>1.2</v>
      </c>
      <c r="B26">
        <v>2.3083</v>
      </c>
      <c r="C26" s="2">
        <v>31153</v>
      </c>
      <c r="G26">
        <f t="shared" si="7"/>
        <v>14.9</v>
      </c>
      <c r="H26">
        <f t="shared" si="0"/>
        <v>9.1999999999999993</v>
      </c>
      <c r="I26">
        <f t="shared" si="1"/>
        <v>989.99175999999989</v>
      </c>
      <c r="J26">
        <f t="shared" si="8"/>
        <v>2.0206487745000001</v>
      </c>
      <c r="K26">
        <f t="shared" si="2"/>
        <v>12.879351225500001</v>
      </c>
      <c r="L26">
        <f t="shared" si="3"/>
        <v>76.866586108770903</v>
      </c>
      <c r="M26">
        <f t="shared" si="4"/>
        <v>405.28663463623332</v>
      </c>
      <c r="N26">
        <f t="shared" si="5"/>
        <v>0.13561401171140941</v>
      </c>
      <c r="O26">
        <f t="shared" si="6"/>
        <v>0.14573586423484555</v>
      </c>
    </row>
    <row r="27" spans="1:15" x14ac:dyDescent="0.35">
      <c r="A27">
        <v>1.3</v>
      </c>
      <c r="B27">
        <v>2.4100999999999999</v>
      </c>
      <c r="C27" s="2">
        <v>31685</v>
      </c>
      <c r="G27">
        <f t="shared" si="7"/>
        <v>14.9</v>
      </c>
      <c r="H27">
        <f t="shared" si="0"/>
        <v>9.1999999999999993</v>
      </c>
      <c r="I27">
        <f t="shared" si="1"/>
        <v>989.99175999999989</v>
      </c>
      <c r="J27">
        <f t="shared" si="8"/>
        <v>2.1175365524999998</v>
      </c>
      <c r="K27">
        <f t="shared" si="2"/>
        <v>12.7824634475</v>
      </c>
      <c r="L27">
        <f t="shared" si="3"/>
        <v>77.449215017596856</v>
      </c>
      <c r="M27">
        <f t="shared" si="4"/>
        <v>409.10679330708524</v>
      </c>
      <c r="N27">
        <f t="shared" si="5"/>
        <v>0.14211654714765098</v>
      </c>
      <c r="O27">
        <f t="shared" si="6"/>
        <v>0.15328702455712059</v>
      </c>
    </row>
    <row r="28" spans="1:15" x14ac:dyDescent="0.35">
      <c r="A28">
        <v>1.4</v>
      </c>
      <c r="B28">
        <v>2.5118</v>
      </c>
      <c r="C28" s="2">
        <v>32184</v>
      </c>
      <c r="G28">
        <f t="shared" si="7"/>
        <v>14.9</v>
      </c>
      <c r="H28">
        <f t="shared" si="0"/>
        <v>9.1999999999999993</v>
      </c>
      <c r="I28">
        <f t="shared" si="1"/>
        <v>989.99175999999989</v>
      </c>
      <c r="J28">
        <f t="shared" si="8"/>
        <v>2.2146290359999998</v>
      </c>
      <c r="K28">
        <f t="shared" si="2"/>
        <v>12.685370964000001</v>
      </c>
      <c r="L28">
        <f t="shared" si="3"/>
        <v>78.042003092342512</v>
      </c>
      <c r="M28">
        <f t="shared" si="4"/>
        <v>412.39331032954863</v>
      </c>
      <c r="N28">
        <f t="shared" si="5"/>
        <v>0.14863282120805368</v>
      </c>
      <c r="O28">
        <f t="shared" si="6"/>
        <v>0.16091177602347825</v>
      </c>
    </row>
    <row r="29" spans="1:15" x14ac:dyDescent="0.35">
      <c r="A29">
        <v>1.5</v>
      </c>
      <c r="B29">
        <v>2.6135999999999999</v>
      </c>
      <c r="C29" s="2">
        <v>32703</v>
      </c>
      <c r="G29">
        <f t="shared" si="7"/>
        <v>14.9</v>
      </c>
      <c r="H29">
        <f t="shared" si="0"/>
        <v>9.1999999999999993</v>
      </c>
      <c r="I29">
        <f t="shared" si="1"/>
        <v>989.99175999999989</v>
      </c>
      <c r="J29">
        <f t="shared" si="8"/>
        <v>2.3116368495000001</v>
      </c>
      <c r="K29">
        <f t="shared" si="2"/>
        <v>12.588363150500001</v>
      </c>
      <c r="L29">
        <f t="shared" si="3"/>
        <v>78.64340646708132</v>
      </c>
      <c r="M29">
        <f t="shared" si="4"/>
        <v>415.83905719659884</v>
      </c>
      <c r="N29">
        <f t="shared" si="5"/>
        <v>0.15514341271812082</v>
      </c>
      <c r="O29">
        <f t="shared" si="6"/>
        <v>0.1685883852219375</v>
      </c>
    </row>
    <row r="30" spans="1:15" x14ac:dyDescent="0.35">
      <c r="A30">
        <v>1.6</v>
      </c>
      <c r="B30">
        <v>2.7147000000000001</v>
      </c>
      <c r="C30" s="2">
        <v>33242</v>
      </c>
      <c r="G30">
        <f t="shared" si="7"/>
        <v>14.9</v>
      </c>
      <c r="H30">
        <f t="shared" si="0"/>
        <v>9.1999999999999993</v>
      </c>
      <c r="I30">
        <f t="shared" si="1"/>
        <v>989.99175999999989</v>
      </c>
      <c r="J30">
        <f t="shared" si="8"/>
        <v>2.407759993</v>
      </c>
      <c r="K30">
        <f t="shared" si="2"/>
        <v>12.492240006999999</v>
      </c>
      <c r="L30">
        <f t="shared" si="3"/>
        <v>79.248538248165275</v>
      </c>
      <c r="M30">
        <f t="shared" si="4"/>
        <v>419.46515020760779</v>
      </c>
      <c r="N30">
        <f t="shared" si="5"/>
        <v>0.16159463040268457</v>
      </c>
      <c r="O30">
        <f t="shared" si="6"/>
        <v>0.176253560858918</v>
      </c>
    </row>
    <row r="31" spans="1:15" x14ac:dyDescent="0.35">
      <c r="A31">
        <v>1.7</v>
      </c>
      <c r="B31">
        <v>2.8165</v>
      </c>
      <c r="C31" s="2">
        <v>33708</v>
      </c>
      <c r="G31">
        <f t="shared" si="7"/>
        <v>14.9</v>
      </c>
      <c r="H31">
        <f t="shared" si="0"/>
        <v>9.1999999999999993</v>
      </c>
      <c r="I31">
        <f t="shared" si="1"/>
        <v>989.99175999999989</v>
      </c>
      <c r="J31">
        <f t="shared" si="8"/>
        <v>2.5052571820000002</v>
      </c>
      <c r="K31">
        <f t="shared" si="2"/>
        <v>12.394742818000001</v>
      </c>
      <c r="L31">
        <f t="shared" si="3"/>
        <v>79.871908157892989</v>
      </c>
      <c r="M31">
        <f t="shared" si="4"/>
        <v>422.02572565770055</v>
      </c>
      <c r="N31">
        <f t="shared" si="5"/>
        <v>0.16813806590604027</v>
      </c>
      <c r="O31">
        <f t="shared" si="6"/>
        <v>0.18408879652986276</v>
      </c>
    </row>
    <row r="32" spans="1:15" x14ac:dyDescent="0.35">
      <c r="A32">
        <v>1.8</v>
      </c>
      <c r="B32">
        <v>3.0228999999999999</v>
      </c>
      <c r="C32" s="2">
        <v>34762</v>
      </c>
      <c r="G32">
        <f t="shared" si="7"/>
        <v>14.9</v>
      </c>
      <c r="H32">
        <f t="shared" si="0"/>
        <v>9.1999999999999993</v>
      </c>
      <c r="I32">
        <f t="shared" si="1"/>
        <v>989.99175999999989</v>
      </c>
      <c r="J32">
        <f t="shared" si="8"/>
        <v>2.701925073</v>
      </c>
      <c r="K32">
        <f t="shared" si="2"/>
        <v>12.198074927</v>
      </c>
      <c r="L32">
        <f t="shared" si="3"/>
        <v>81.159671991249098</v>
      </c>
      <c r="M32">
        <f t="shared" si="4"/>
        <v>428.3161716541702</v>
      </c>
      <c r="N32">
        <f t="shared" si="5"/>
        <v>0.18133725322147651</v>
      </c>
      <c r="O32">
        <f t="shared" si="6"/>
        <v>0.20008306653165947</v>
      </c>
    </row>
    <row r="33" spans="1:15" x14ac:dyDescent="0.35">
      <c r="A33">
        <v>1.9</v>
      </c>
      <c r="B33">
        <v>3.1246999999999998</v>
      </c>
      <c r="C33" s="2">
        <v>35274</v>
      </c>
      <c r="G33">
        <f t="shared" si="7"/>
        <v>14.9</v>
      </c>
      <c r="H33">
        <f t="shared" si="0"/>
        <v>9.1999999999999993</v>
      </c>
      <c r="I33">
        <f t="shared" si="1"/>
        <v>989.99175999999989</v>
      </c>
      <c r="J33">
        <f t="shared" si="8"/>
        <v>2.798997521</v>
      </c>
      <c r="K33">
        <f t="shared" si="2"/>
        <v>12.101002479</v>
      </c>
      <c r="L33">
        <f t="shared" si="3"/>
        <v>81.810722848625559</v>
      </c>
      <c r="M33">
        <f t="shared" si="4"/>
        <v>431.16597399178966</v>
      </c>
      <c r="N33">
        <f t="shared" si="5"/>
        <v>0.18785218261744965</v>
      </c>
      <c r="O33">
        <f t="shared" si="6"/>
        <v>0.20807291427641647</v>
      </c>
    </row>
    <row r="34" spans="1:15" x14ac:dyDescent="0.35">
      <c r="A34">
        <v>2</v>
      </c>
      <c r="B34">
        <v>3.2263000000000002</v>
      </c>
      <c r="C34" s="2">
        <v>35769</v>
      </c>
      <c r="G34">
        <f t="shared" si="7"/>
        <v>14.9</v>
      </c>
      <c r="H34">
        <f t="shared" si="0"/>
        <v>9.1999999999999993</v>
      </c>
      <c r="I34">
        <f t="shared" si="1"/>
        <v>989.99175999999989</v>
      </c>
      <c r="J34">
        <f t="shared" si="8"/>
        <v>2.8960269385000004</v>
      </c>
      <c r="K34">
        <f t="shared" si="2"/>
        <v>12.0039730615</v>
      </c>
      <c r="L34">
        <f t="shared" si="3"/>
        <v>82.47200780341403</v>
      </c>
      <c r="M34">
        <f t="shared" si="4"/>
        <v>433.71079415529033</v>
      </c>
      <c r="N34">
        <f t="shared" si="5"/>
        <v>0.19436422406040271</v>
      </c>
      <c r="O34">
        <f t="shared" si="6"/>
        <v>0.21612352950276845</v>
      </c>
    </row>
    <row r="35" spans="1:15" x14ac:dyDescent="0.35">
      <c r="A35">
        <v>2.1</v>
      </c>
      <c r="B35">
        <v>3.3281000000000001</v>
      </c>
      <c r="C35" s="2">
        <v>36311</v>
      </c>
      <c r="G35">
        <f t="shared" si="7"/>
        <v>14.9</v>
      </c>
      <c r="H35">
        <f t="shared" si="0"/>
        <v>9.1999999999999993</v>
      </c>
      <c r="I35">
        <f t="shared" si="1"/>
        <v>989.99175999999989</v>
      </c>
      <c r="J35">
        <f t="shared" si="8"/>
        <v>2.9928223814999999</v>
      </c>
      <c r="K35">
        <f t="shared" si="2"/>
        <v>11.9071776185</v>
      </c>
      <c r="L35">
        <f t="shared" si="3"/>
        <v>83.142436580593611</v>
      </c>
      <c r="M35">
        <f t="shared" si="4"/>
        <v>436.73244967751401</v>
      </c>
      <c r="N35">
        <f t="shared" si="5"/>
        <v>0.2008605625167785</v>
      </c>
      <c r="O35">
        <f t="shared" si="6"/>
        <v>0.22421983344405921</v>
      </c>
    </row>
    <row r="36" spans="1:15" x14ac:dyDescent="0.35">
      <c r="A36">
        <v>2.2000000000000002</v>
      </c>
      <c r="B36">
        <v>3.4300999999999999</v>
      </c>
      <c r="C36" s="2">
        <v>36793</v>
      </c>
      <c r="G36">
        <f t="shared" si="7"/>
        <v>14.9</v>
      </c>
      <c r="H36">
        <f t="shared" si="0"/>
        <v>9.1999999999999993</v>
      </c>
      <c r="I36">
        <f t="shared" si="1"/>
        <v>989.99175999999989</v>
      </c>
      <c r="J36">
        <f t="shared" si="8"/>
        <v>3.0903718345</v>
      </c>
      <c r="K36">
        <f t="shared" si="2"/>
        <v>11.809628165500001</v>
      </c>
      <c r="L36">
        <f t="shared" si="3"/>
        <v>83.829206654626716</v>
      </c>
      <c r="M36">
        <f t="shared" si="4"/>
        <v>438.90430875226843</v>
      </c>
      <c r="N36">
        <f t="shared" si="5"/>
        <v>0.20740750567114094</v>
      </c>
      <c r="O36">
        <f t="shared" si="6"/>
        <v>0.2324460679541385</v>
      </c>
    </row>
    <row r="37" spans="1:15" x14ac:dyDescent="0.35">
      <c r="A37">
        <v>2.2999999999999998</v>
      </c>
      <c r="B37">
        <v>3.5326</v>
      </c>
      <c r="C37" s="2">
        <v>37303</v>
      </c>
      <c r="G37">
        <f t="shared" si="7"/>
        <v>14.9</v>
      </c>
      <c r="H37">
        <f t="shared" si="0"/>
        <v>9.1999999999999993</v>
      </c>
      <c r="I37">
        <f t="shared" si="1"/>
        <v>989.99175999999989</v>
      </c>
      <c r="J37">
        <f t="shared" si="8"/>
        <v>3.1881627495</v>
      </c>
      <c r="K37">
        <f t="shared" si="2"/>
        <v>11.7118372505</v>
      </c>
      <c r="L37">
        <f t="shared" si="3"/>
        <v>84.52915958661697</v>
      </c>
      <c r="M37">
        <f t="shared" si="4"/>
        <v>441.30333464129194</v>
      </c>
      <c r="N37">
        <f t="shared" si="5"/>
        <v>0.21397065432885906</v>
      </c>
      <c r="O37">
        <f t="shared" si="6"/>
        <v>0.24076115179041452</v>
      </c>
    </row>
    <row r="38" spans="1:15" x14ac:dyDescent="0.35">
      <c r="A38">
        <v>2.4</v>
      </c>
      <c r="B38">
        <v>3.7353999999999998</v>
      </c>
      <c r="C38" s="2">
        <v>38298</v>
      </c>
      <c r="G38">
        <f t="shared" si="7"/>
        <v>14.9</v>
      </c>
      <c r="H38">
        <f t="shared" si="0"/>
        <v>9.1999999999999993</v>
      </c>
      <c r="I38">
        <f t="shared" si="1"/>
        <v>989.99175999999989</v>
      </c>
      <c r="J38">
        <f t="shared" si="8"/>
        <v>3.3817754170000001</v>
      </c>
      <c r="K38">
        <f t="shared" si="2"/>
        <v>11.518224583</v>
      </c>
      <c r="L38">
        <f t="shared" si="3"/>
        <v>85.95003100227359</v>
      </c>
      <c r="M38">
        <f t="shared" si="4"/>
        <v>445.58448151097144</v>
      </c>
      <c r="N38">
        <f t="shared" si="5"/>
        <v>0.22696479308724832</v>
      </c>
      <c r="O38">
        <f t="shared" si="6"/>
        <v>0.2574306856197961</v>
      </c>
    </row>
    <row r="39" spans="1:15" x14ac:dyDescent="0.35">
      <c r="A39">
        <v>2.5</v>
      </c>
      <c r="B39">
        <v>3.8403999999999998</v>
      </c>
      <c r="C39" s="2">
        <v>38801</v>
      </c>
      <c r="G39">
        <f t="shared" si="7"/>
        <v>14.9</v>
      </c>
      <c r="H39">
        <f t="shared" si="0"/>
        <v>9.1999999999999993</v>
      </c>
      <c r="I39">
        <f t="shared" si="1"/>
        <v>989.99175999999989</v>
      </c>
      <c r="J39">
        <f t="shared" si="8"/>
        <v>3.4821309664999998</v>
      </c>
      <c r="K39">
        <f t="shared" si="2"/>
        <v>11.417869033500001</v>
      </c>
      <c r="L39">
        <f t="shared" si="3"/>
        <v>86.705475171887713</v>
      </c>
      <c r="M39">
        <f t="shared" si="4"/>
        <v>447.50345838114208</v>
      </c>
      <c r="N39">
        <f t="shared" si="5"/>
        <v>0.2337000648657718</v>
      </c>
      <c r="O39">
        <f t="shared" si="6"/>
        <v>0.26618162565379427</v>
      </c>
    </row>
    <row r="40" spans="1:15" x14ac:dyDescent="0.35">
      <c r="A40">
        <v>2.6</v>
      </c>
      <c r="B40">
        <v>3.9426000000000001</v>
      </c>
      <c r="C40" s="2">
        <v>39279</v>
      </c>
      <c r="G40">
        <f t="shared" si="7"/>
        <v>14.9</v>
      </c>
      <c r="H40">
        <f t="shared" si="0"/>
        <v>9.1999999999999993</v>
      </c>
      <c r="I40">
        <f t="shared" si="1"/>
        <v>989.99175999999989</v>
      </c>
      <c r="J40">
        <f t="shared" si="8"/>
        <v>3.5799173535</v>
      </c>
      <c r="K40">
        <f t="shared" si="2"/>
        <v>11.320082646500001</v>
      </c>
      <c r="L40">
        <f t="shared" si="3"/>
        <v>87.454463974791778</v>
      </c>
      <c r="M40">
        <f t="shared" si="4"/>
        <v>449.13659308828346</v>
      </c>
      <c r="N40">
        <f t="shared" si="5"/>
        <v>0.24026290963087246</v>
      </c>
      <c r="O40">
        <f t="shared" si="6"/>
        <v>0.27478283927546637</v>
      </c>
    </row>
    <row r="41" spans="1:15" x14ac:dyDescent="0.35">
      <c r="A41">
        <v>2.7</v>
      </c>
      <c r="B41">
        <v>4.0452000000000004</v>
      </c>
      <c r="C41" s="2">
        <v>39793</v>
      </c>
      <c r="G41">
        <f t="shared" si="7"/>
        <v>14.9</v>
      </c>
      <c r="H41">
        <f t="shared" si="0"/>
        <v>9.1999999999999993</v>
      </c>
      <c r="I41">
        <f t="shared" si="1"/>
        <v>989.99175999999989</v>
      </c>
      <c r="J41">
        <f t="shared" si="8"/>
        <v>3.6777713345000005</v>
      </c>
      <c r="K41">
        <f t="shared" si="2"/>
        <v>11.222228665499999</v>
      </c>
      <c r="L41">
        <f t="shared" si="3"/>
        <v>88.217036874635042</v>
      </c>
      <c r="M41">
        <f t="shared" si="4"/>
        <v>451.08066887975065</v>
      </c>
      <c r="N41">
        <f t="shared" si="5"/>
        <v>0.24683029090604031</v>
      </c>
      <c r="O41">
        <f t="shared" si="6"/>
        <v>0.28346469929307289</v>
      </c>
    </row>
    <row r="42" spans="1:15" x14ac:dyDescent="0.35">
      <c r="A42">
        <v>2.8</v>
      </c>
      <c r="B42">
        <v>4.1475</v>
      </c>
      <c r="C42" s="2">
        <v>40274</v>
      </c>
      <c r="G42">
        <f t="shared" si="7"/>
        <v>14.9</v>
      </c>
      <c r="H42">
        <f t="shared" si="0"/>
        <v>9.1999999999999993</v>
      </c>
      <c r="I42">
        <f t="shared" si="1"/>
        <v>989.99175999999989</v>
      </c>
      <c r="J42">
        <f t="shared" si="8"/>
        <v>3.775630021</v>
      </c>
      <c r="K42">
        <f t="shared" si="2"/>
        <v>11.124369979000001</v>
      </c>
      <c r="L42">
        <f t="shared" si="3"/>
        <v>88.993063145944816</v>
      </c>
      <c r="M42">
        <f t="shared" si="4"/>
        <v>452.55212683209209</v>
      </c>
      <c r="N42">
        <f t="shared" si="5"/>
        <v>0.2533979879865772</v>
      </c>
      <c r="O42">
        <f t="shared" si="6"/>
        <v>0.29222301760383446</v>
      </c>
    </row>
    <row r="43" spans="1:15" x14ac:dyDescent="0.35">
      <c r="A43">
        <v>2.9</v>
      </c>
      <c r="B43">
        <v>4.2499000000000002</v>
      </c>
      <c r="C43" s="2">
        <v>40799</v>
      </c>
      <c r="G43">
        <f t="shared" si="7"/>
        <v>14.9</v>
      </c>
      <c r="H43">
        <f t="shared" si="0"/>
        <v>9.1999999999999993</v>
      </c>
      <c r="I43">
        <f t="shared" si="1"/>
        <v>989.99175999999989</v>
      </c>
      <c r="J43">
        <f t="shared" si="8"/>
        <v>3.8731824335000002</v>
      </c>
      <c r="K43">
        <f t="shared" si="2"/>
        <v>11.0268175665</v>
      </c>
      <c r="L43">
        <f t="shared" si="3"/>
        <v>89.780369905424237</v>
      </c>
      <c r="M43">
        <f t="shared" si="4"/>
        <v>454.43118627132162</v>
      </c>
      <c r="N43">
        <f t="shared" si="5"/>
        <v>0.2599451297651007</v>
      </c>
      <c r="O43">
        <f t="shared" si="6"/>
        <v>0.30103094656674023</v>
      </c>
    </row>
    <row r="44" spans="1:15" x14ac:dyDescent="0.35">
      <c r="A44">
        <v>3</v>
      </c>
      <c r="B44">
        <v>4.3525</v>
      </c>
      <c r="C44" s="2">
        <v>41306</v>
      </c>
      <c r="G44">
        <f t="shared" si="7"/>
        <v>14.9</v>
      </c>
      <c r="H44">
        <f t="shared" si="0"/>
        <v>9.1999999999999993</v>
      </c>
      <c r="I44">
        <f t="shared" si="1"/>
        <v>989.99175999999989</v>
      </c>
      <c r="J44">
        <f t="shared" si="8"/>
        <v>3.971101049</v>
      </c>
      <c r="K44">
        <f t="shared" si="2"/>
        <v>10.928898951000001</v>
      </c>
      <c r="L44">
        <f t="shared" si="3"/>
        <v>90.584766538573859</v>
      </c>
      <c r="M44">
        <f t="shared" si="4"/>
        <v>455.99278530359294</v>
      </c>
      <c r="N44">
        <f t="shared" si="5"/>
        <v>0.2665168489261745</v>
      </c>
      <c r="O44">
        <f t="shared" si="6"/>
        <v>0.30995065225076018</v>
      </c>
    </row>
    <row r="45" spans="1:15" x14ac:dyDescent="0.35">
      <c r="A45">
        <v>3.1</v>
      </c>
      <c r="B45">
        <v>4.5567000000000002</v>
      </c>
      <c r="C45" s="2">
        <v>42368</v>
      </c>
      <c r="G45">
        <f t="shared" si="7"/>
        <v>14.9</v>
      </c>
      <c r="H45">
        <f t="shared" si="0"/>
        <v>9.1999999999999993</v>
      </c>
      <c r="I45">
        <f t="shared" si="1"/>
        <v>989.99175999999989</v>
      </c>
      <c r="J45">
        <f t="shared" si="8"/>
        <v>4.1654950720000006</v>
      </c>
      <c r="K45">
        <f t="shared" si="2"/>
        <v>10.734504928</v>
      </c>
      <c r="L45">
        <f t="shared" si="3"/>
        <v>92.225190322256466</v>
      </c>
      <c r="M45">
        <f t="shared" si="4"/>
        <v>459.39726285146457</v>
      </c>
      <c r="N45">
        <f t="shared" si="5"/>
        <v>0.27956342765100672</v>
      </c>
      <c r="O45">
        <f t="shared" si="6"/>
        <v>0.32789790024350174</v>
      </c>
    </row>
    <row r="46" spans="1:15" x14ac:dyDescent="0.35">
      <c r="A46">
        <v>3.2</v>
      </c>
      <c r="B46">
        <v>4.6624999999999996</v>
      </c>
      <c r="C46" s="2">
        <v>42906</v>
      </c>
      <c r="G46">
        <f t="shared" si="7"/>
        <v>14.9</v>
      </c>
      <c r="H46">
        <f t="shared" si="0"/>
        <v>9.1999999999999993</v>
      </c>
      <c r="I46">
        <f t="shared" si="1"/>
        <v>989.99175999999989</v>
      </c>
      <c r="J46">
        <f t="shared" si="8"/>
        <v>4.2663274489999994</v>
      </c>
      <c r="K46">
        <f t="shared" si="2"/>
        <v>10.633672551</v>
      </c>
      <c r="L46">
        <f t="shared" si="3"/>
        <v>93.099703348200265</v>
      </c>
      <c r="M46">
        <f t="shared" si="4"/>
        <v>460.8607595614796</v>
      </c>
      <c r="N46">
        <f t="shared" si="5"/>
        <v>0.28633070127516774</v>
      </c>
      <c r="O46">
        <f t="shared" si="6"/>
        <v>0.33733559098959914</v>
      </c>
    </row>
    <row r="47" spans="1:15" x14ac:dyDescent="0.35">
      <c r="A47">
        <v>3.3</v>
      </c>
      <c r="B47">
        <v>4.7657999999999996</v>
      </c>
      <c r="C47" s="2">
        <v>43411</v>
      </c>
      <c r="G47">
        <f t="shared" si="7"/>
        <v>14.9</v>
      </c>
      <c r="H47">
        <f t="shared" si="0"/>
        <v>9.1999999999999993</v>
      </c>
      <c r="I47">
        <f t="shared" si="1"/>
        <v>989.99175999999989</v>
      </c>
      <c r="J47">
        <f t="shared" si="8"/>
        <v>4.3649645314999992</v>
      </c>
      <c r="K47">
        <f t="shared" si="2"/>
        <v>10.535035468500002</v>
      </c>
      <c r="L47">
        <f t="shared" si="3"/>
        <v>93.971374179052177</v>
      </c>
      <c r="M47">
        <f t="shared" si="4"/>
        <v>461.9598295677265</v>
      </c>
      <c r="N47">
        <f t="shared" si="5"/>
        <v>0.29295063969798651</v>
      </c>
      <c r="O47">
        <f t="shared" si="6"/>
        <v>0.34665479897098062</v>
      </c>
    </row>
    <row r="48" spans="1:15" x14ac:dyDescent="0.35">
      <c r="A48">
        <v>3.4</v>
      </c>
      <c r="B48">
        <v>4.8693</v>
      </c>
      <c r="C48" s="2">
        <v>43935</v>
      </c>
      <c r="G48">
        <f t="shared" si="7"/>
        <v>14.9</v>
      </c>
      <c r="H48">
        <f t="shared" si="0"/>
        <v>9.1999999999999993</v>
      </c>
      <c r="I48">
        <f t="shared" si="1"/>
        <v>989.99175999999989</v>
      </c>
      <c r="J48">
        <f t="shared" si="8"/>
        <v>4.4636261775000001</v>
      </c>
      <c r="K48">
        <f t="shared" si="2"/>
        <v>10.4363738225</v>
      </c>
      <c r="L48">
        <f t="shared" si="3"/>
        <v>94.859745045319826</v>
      </c>
      <c r="M48">
        <f t="shared" si="4"/>
        <v>463.15747505972934</v>
      </c>
      <c r="N48">
        <f t="shared" si="5"/>
        <v>0.29957222667785233</v>
      </c>
      <c r="O48">
        <f t="shared" si="6"/>
        <v>0.35606402584127522</v>
      </c>
    </row>
    <row r="49" spans="1:15" x14ac:dyDescent="0.35">
      <c r="A49">
        <v>3.5</v>
      </c>
      <c r="B49">
        <v>4.9726999999999997</v>
      </c>
      <c r="C49" s="2">
        <v>44460</v>
      </c>
      <c r="G49">
        <f t="shared" si="7"/>
        <v>14.9</v>
      </c>
      <c r="H49">
        <f t="shared" si="0"/>
        <v>9.1999999999999993</v>
      </c>
      <c r="I49">
        <f t="shared" si="1"/>
        <v>989.99175999999989</v>
      </c>
      <c r="J49">
        <f t="shared" si="8"/>
        <v>4.5621785899999994</v>
      </c>
      <c r="K49">
        <f t="shared" si="2"/>
        <v>10.33782141</v>
      </c>
      <c r="L49">
        <f t="shared" si="3"/>
        <v>95.76406098893905</v>
      </c>
      <c r="M49">
        <f t="shared" si="4"/>
        <v>464.26602569762809</v>
      </c>
      <c r="N49">
        <f t="shared" si="5"/>
        <v>0.30618648255033554</v>
      </c>
      <c r="O49">
        <f t="shared" si="6"/>
        <v>0.36555206142834917</v>
      </c>
    </row>
    <row r="50" spans="1:15" x14ac:dyDescent="0.35">
      <c r="A50">
        <v>3.6</v>
      </c>
      <c r="B50">
        <v>5.0762</v>
      </c>
      <c r="C50" s="2">
        <v>44984</v>
      </c>
      <c r="G50">
        <f t="shared" si="7"/>
        <v>14.9</v>
      </c>
      <c r="H50">
        <f t="shared" si="0"/>
        <v>9.1999999999999993</v>
      </c>
      <c r="I50">
        <f t="shared" si="1"/>
        <v>989.99175999999989</v>
      </c>
      <c r="J50">
        <f t="shared" si="8"/>
        <v>4.6608402360000003</v>
      </c>
      <c r="K50">
        <f t="shared" si="2"/>
        <v>10.239159764</v>
      </c>
      <c r="L50">
        <f t="shared" si="3"/>
        <v>96.686816381235232</v>
      </c>
      <c r="M50">
        <f t="shared" si="4"/>
        <v>465.2547439624912</v>
      </c>
      <c r="N50">
        <f t="shared" si="5"/>
        <v>0.31280806953020135</v>
      </c>
      <c r="O50">
        <f t="shared" si="6"/>
        <v>0.37514165100356472</v>
      </c>
    </row>
    <row r="51" spans="1:15" x14ac:dyDescent="0.35">
      <c r="A51">
        <v>3.7</v>
      </c>
      <c r="B51">
        <v>5.1791999999999998</v>
      </c>
      <c r="C51" s="2">
        <v>45469</v>
      </c>
      <c r="G51">
        <f t="shared" si="7"/>
        <v>14.9</v>
      </c>
      <c r="H51">
        <f t="shared" si="0"/>
        <v>9.1999999999999993</v>
      </c>
      <c r="I51">
        <f t="shared" si="1"/>
        <v>989.99175999999989</v>
      </c>
      <c r="J51">
        <f t="shared" si="8"/>
        <v>4.7593619885000003</v>
      </c>
      <c r="K51">
        <f t="shared" si="2"/>
        <v>10.1406380115</v>
      </c>
      <c r="L51">
        <f t="shared" si="3"/>
        <v>97.62618080610892</v>
      </c>
      <c r="M51">
        <f t="shared" si="4"/>
        <v>465.74596716329597</v>
      </c>
      <c r="N51">
        <f t="shared" si="5"/>
        <v>0.31942026768456377</v>
      </c>
      <c r="O51">
        <f t="shared" si="6"/>
        <v>0.384810296501501</v>
      </c>
    </row>
    <row r="52" spans="1:15" x14ac:dyDescent="0.35">
      <c r="A52">
        <v>3.8</v>
      </c>
      <c r="B52">
        <v>5.2827000000000002</v>
      </c>
      <c r="C52" s="2">
        <v>46007</v>
      </c>
      <c r="G52">
        <f t="shared" si="7"/>
        <v>14.9</v>
      </c>
      <c r="H52">
        <f t="shared" si="0"/>
        <v>9.1999999999999993</v>
      </c>
      <c r="I52">
        <f t="shared" si="1"/>
        <v>989.99175999999989</v>
      </c>
      <c r="J52">
        <f t="shared" si="8"/>
        <v>4.8578943655</v>
      </c>
      <c r="K52">
        <f t="shared" si="2"/>
        <v>10.0421056345</v>
      </c>
      <c r="L52">
        <f t="shared" si="3"/>
        <v>98.58408146981138</v>
      </c>
      <c r="M52">
        <f t="shared" si="4"/>
        <v>466.67777712255054</v>
      </c>
      <c r="N52">
        <f t="shared" si="5"/>
        <v>0.32603317889261746</v>
      </c>
      <c r="O52">
        <f t="shared" si="6"/>
        <v>0.39457439612515699</v>
      </c>
    </row>
    <row r="53" spans="1:15" x14ac:dyDescent="0.35">
      <c r="A53">
        <v>3.9</v>
      </c>
      <c r="B53">
        <v>5.3894000000000002</v>
      </c>
      <c r="C53" s="2">
        <v>46552</v>
      </c>
      <c r="G53">
        <f t="shared" si="7"/>
        <v>14.9</v>
      </c>
      <c r="H53">
        <f t="shared" si="0"/>
        <v>9.1999999999999993</v>
      </c>
      <c r="I53">
        <f t="shared" si="1"/>
        <v>989.99175999999989</v>
      </c>
      <c r="J53">
        <f t="shared" si="8"/>
        <v>4.9595621080000001</v>
      </c>
      <c r="K53">
        <f t="shared" si="2"/>
        <v>9.9404378920000003</v>
      </c>
      <c r="L53">
        <f t="shared" si="3"/>
        <v>99.592369144697216</v>
      </c>
      <c r="M53">
        <f t="shared" si="4"/>
        <v>467.42537003377089</v>
      </c>
      <c r="N53">
        <f t="shared" si="5"/>
        <v>0.33285651731543625</v>
      </c>
      <c r="O53">
        <f t="shared" si="6"/>
        <v>0.40475013973213192</v>
      </c>
    </row>
    <row r="54" spans="1:15" x14ac:dyDescent="0.35">
      <c r="A54">
        <v>4</v>
      </c>
      <c r="B54">
        <v>5.4927000000000001</v>
      </c>
      <c r="C54" s="2">
        <v>47104</v>
      </c>
      <c r="G54">
        <f t="shared" si="7"/>
        <v>14.9</v>
      </c>
      <c r="H54">
        <f t="shared" si="0"/>
        <v>9.1999999999999993</v>
      </c>
      <c r="I54">
        <f t="shared" si="1"/>
        <v>989.99175999999989</v>
      </c>
      <c r="J54">
        <f t="shared" si="8"/>
        <v>5.057765216</v>
      </c>
      <c r="K54">
        <f t="shared" si="2"/>
        <v>9.8422347840000004</v>
      </c>
      <c r="L54">
        <f t="shared" si="3"/>
        <v>100.58607437503696</v>
      </c>
      <c r="M54">
        <f t="shared" si="4"/>
        <v>468.29544042420724</v>
      </c>
      <c r="N54">
        <f t="shared" si="5"/>
        <v>0.3394473299328859</v>
      </c>
      <c r="O54">
        <f t="shared" si="6"/>
        <v>0.41467841547819989</v>
      </c>
    </row>
    <row r="55" spans="1:15" x14ac:dyDescent="0.35">
      <c r="A55">
        <v>4.0999999999999996</v>
      </c>
      <c r="B55">
        <v>5.5964</v>
      </c>
      <c r="C55" s="2">
        <v>47662</v>
      </c>
      <c r="G55">
        <f t="shared" si="7"/>
        <v>14.9</v>
      </c>
      <c r="H55">
        <f t="shared" si="0"/>
        <v>9.1999999999999993</v>
      </c>
      <c r="I55">
        <f t="shared" si="1"/>
        <v>989.99175999999989</v>
      </c>
      <c r="J55">
        <f t="shared" si="8"/>
        <v>5.1563129229999998</v>
      </c>
      <c r="K55">
        <f t="shared" si="2"/>
        <v>9.7436870770000006</v>
      </c>
      <c r="L55">
        <f t="shared" si="3"/>
        <v>101.60340250836647</v>
      </c>
      <c r="M55">
        <f t="shared" si="4"/>
        <v>469.09846347001326</v>
      </c>
      <c r="N55">
        <f t="shared" si="5"/>
        <v>0.34606126999999998</v>
      </c>
      <c r="O55">
        <f t="shared" si="6"/>
        <v>0.42474161692894397</v>
      </c>
    </row>
    <row r="56" spans="1:15" x14ac:dyDescent="0.35">
      <c r="A56">
        <v>4.2</v>
      </c>
      <c r="B56">
        <v>5.6994999999999996</v>
      </c>
      <c r="C56" s="2">
        <v>48230</v>
      </c>
      <c r="G56">
        <f t="shared" si="7"/>
        <v>14.9</v>
      </c>
      <c r="H56">
        <f t="shared" si="0"/>
        <v>9.1999999999999993</v>
      </c>
      <c r="I56">
        <f t="shared" si="1"/>
        <v>989.99175999999989</v>
      </c>
      <c r="J56">
        <f t="shared" si="8"/>
        <v>5.2541682949999995</v>
      </c>
      <c r="K56">
        <f t="shared" si="2"/>
        <v>9.6458317050000009</v>
      </c>
      <c r="L56">
        <f t="shared" si="3"/>
        <v>102.63415227189057</v>
      </c>
      <c r="M56">
        <f t="shared" si="4"/>
        <v>469.92155079366529</v>
      </c>
      <c r="N56">
        <f t="shared" si="5"/>
        <v>0.35262874463087246</v>
      </c>
      <c r="O56">
        <f t="shared" si="6"/>
        <v>0.43483533858517959</v>
      </c>
    </row>
    <row r="57" spans="1:15" x14ac:dyDescent="0.35">
      <c r="A57">
        <v>4.3</v>
      </c>
      <c r="B57">
        <v>5.8029000000000002</v>
      </c>
      <c r="C57" s="2">
        <v>48780</v>
      </c>
      <c r="G57">
        <f t="shared" si="7"/>
        <v>14.9</v>
      </c>
      <c r="H57">
        <f t="shared" si="0"/>
        <v>9.1999999999999993</v>
      </c>
      <c r="I57">
        <f t="shared" si="1"/>
        <v>989.99175999999989</v>
      </c>
      <c r="J57">
        <f t="shared" si="8"/>
        <v>5.3524898700000003</v>
      </c>
      <c r="K57">
        <f t="shared" si="2"/>
        <v>9.5475101299999992</v>
      </c>
      <c r="L57">
        <f t="shared" si="3"/>
        <v>103.69109291534211</v>
      </c>
      <c r="M57">
        <f t="shared" si="4"/>
        <v>470.43577831536697</v>
      </c>
      <c r="N57">
        <f t="shared" si="5"/>
        <v>0.3592275080536913</v>
      </c>
      <c r="O57">
        <f t="shared" si="6"/>
        <v>0.44508081182370646</v>
      </c>
    </row>
    <row r="58" spans="1:15" x14ac:dyDescent="0.35">
      <c r="A58">
        <v>4.4000000000000004</v>
      </c>
      <c r="B58">
        <v>5.9058999999999999</v>
      </c>
      <c r="C58" s="2">
        <v>49375</v>
      </c>
      <c r="G58">
        <f t="shared" si="7"/>
        <v>14.9</v>
      </c>
      <c r="H58">
        <f t="shared" si="0"/>
        <v>9.1999999999999993</v>
      </c>
      <c r="I58">
        <f t="shared" si="1"/>
        <v>989.99175999999989</v>
      </c>
      <c r="J58">
        <f t="shared" si="8"/>
        <v>5.4499959374999998</v>
      </c>
      <c r="K58">
        <f t="shared" si="2"/>
        <v>9.4500040624999997</v>
      </c>
      <c r="L58">
        <f t="shared" si="3"/>
        <v>104.76098776809387</v>
      </c>
      <c r="M58">
        <f t="shared" si="4"/>
        <v>471.31094362435658</v>
      </c>
      <c r="N58">
        <f t="shared" si="5"/>
        <v>0.36577153942953017</v>
      </c>
      <c r="O58">
        <f t="shared" si="6"/>
        <v>0.45534604155167452</v>
      </c>
    </row>
    <row r="59" spans="1:15" x14ac:dyDescent="0.35">
      <c r="A59">
        <v>4.5</v>
      </c>
      <c r="B59">
        <v>6.0094000000000003</v>
      </c>
      <c r="C59" s="2">
        <v>49973</v>
      </c>
      <c r="G59">
        <f t="shared" si="7"/>
        <v>14.9</v>
      </c>
      <c r="H59">
        <f t="shared" si="0"/>
        <v>9.1999999999999993</v>
      </c>
      <c r="I59">
        <f t="shared" si="1"/>
        <v>989.99175999999989</v>
      </c>
      <c r="J59">
        <f t="shared" si="8"/>
        <v>5.5479743045000003</v>
      </c>
      <c r="K59">
        <f t="shared" si="2"/>
        <v>9.3520256955000001</v>
      </c>
      <c r="L59">
        <f t="shared" si="3"/>
        <v>105.85853720187737</v>
      </c>
      <c r="M59">
        <f t="shared" si="4"/>
        <v>472.07340400613191</v>
      </c>
      <c r="N59">
        <f t="shared" si="5"/>
        <v>0.37234726875838925</v>
      </c>
      <c r="O59">
        <f t="shared" si="6"/>
        <v>0.46576824119132326</v>
      </c>
    </row>
    <row r="60" spans="1:15" x14ac:dyDescent="0.35">
      <c r="A60">
        <v>4.5999999999999996</v>
      </c>
      <c r="B60">
        <v>6.1128</v>
      </c>
      <c r="C60" s="2">
        <v>50598</v>
      </c>
      <c r="G60">
        <f t="shared" si="7"/>
        <v>14.9</v>
      </c>
      <c r="H60">
        <f t="shared" si="0"/>
        <v>9.1999999999999993</v>
      </c>
      <c r="I60">
        <f t="shared" si="1"/>
        <v>989.99175999999989</v>
      </c>
      <c r="J60">
        <f t="shared" si="8"/>
        <v>5.6456033669999997</v>
      </c>
      <c r="K60">
        <f t="shared" si="2"/>
        <v>9.2543966330000007</v>
      </c>
      <c r="L60">
        <f t="shared" si="3"/>
        <v>106.97528961205479</v>
      </c>
      <c r="M60">
        <f t="shared" si="4"/>
        <v>472.98773561159146</v>
      </c>
      <c r="N60">
        <f t="shared" si="5"/>
        <v>0.37889955483221471</v>
      </c>
      <c r="O60">
        <f t="shared" si="6"/>
        <v>0.4762624626762168</v>
      </c>
    </row>
    <row r="61" spans="1:15" x14ac:dyDescent="0.35">
      <c r="A61">
        <v>4.7</v>
      </c>
      <c r="B61">
        <v>6.2191999999999998</v>
      </c>
      <c r="C61" s="2">
        <v>51265</v>
      </c>
      <c r="G61">
        <f t="shared" si="7"/>
        <v>14.9</v>
      </c>
      <c r="H61">
        <f t="shared" si="0"/>
        <v>9.1999999999999993</v>
      </c>
      <c r="I61">
        <f t="shared" si="1"/>
        <v>989.99175999999989</v>
      </c>
      <c r="J61">
        <f t="shared" si="8"/>
        <v>5.7458446224999999</v>
      </c>
      <c r="K61">
        <f t="shared" si="2"/>
        <v>9.1541553775000004</v>
      </c>
      <c r="L61">
        <f t="shared" si="3"/>
        <v>108.14670706085029</v>
      </c>
      <c r="M61">
        <f t="shared" si="4"/>
        <v>474.03200146588853</v>
      </c>
      <c r="N61">
        <f t="shared" si="5"/>
        <v>0.3856271558724832</v>
      </c>
      <c r="O61">
        <f t="shared" si="6"/>
        <v>0.48715329713668287</v>
      </c>
    </row>
    <row r="62" spans="1:15" x14ac:dyDescent="0.35">
      <c r="A62">
        <v>4.8</v>
      </c>
      <c r="B62">
        <v>6.3227000000000002</v>
      </c>
      <c r="C62" s="2">
        <v>51910</v>
      </c>
      <c r="G62">
        <f t="shared" si="7"/>
        <v>14.9</v>
      </c>
      <c r="H62">
        <f t="shared" si="0"/>
        <v>9.1999999999999993</v>
      </c>
      <c r="I62">
        <f t="shared" si="1"/>
        <v>989.99175999999989</v>
      </c>
      <c r="J62">
        <f t="shared" si="8"/>
        <v>5.8433890150000005</v>
      </c>
      <c r="K62">
        <f t="shared" si="2"/>
        <v>9.0566109849999989</v>
      </c>
      <c r="L62">
        <f t="shared" si="3"/>
        <v>109.31150312624364</v>
      </c>
      <c r="M62">
        <f t="shared" si="4"/>
        <v>474.88140328698296</v>
      </c>
      <c r="N62">
        <f t="shared" si="5"/>
        <v>0.39217375939597315</v>
      </c>
      <c r="O62">
        <f t="shared" si="6"/>
        <v>0.49786622634149907</v>
      </c>
    </row>
    <row r="63" spans="1:15" x14ac:dyDescent="0.35">
      <c r="A63">
        <v>4.9000000000000004</v>
      </c>
      <c r="B63">
        <v>6.4257</v>
      </c>
      <c r="C63" s="2">
        <v>52540</v>
      </c>
      <c r="G63">
        <f t="shared" si="7"/>
        <v>14.9</v>
      </c>
      <c r="H63">
        <f t="shared" si="0"/>
        <v>9.1999999999999993</v>
      </c>
      <c r="I63">
        <f t="shared" si="1"/>
        <v>989.99175999999989</v>
      </c>
      <c r="J63">
        <f t="shared" si="8"/>
        <v>5.9405719100000001</v>
      </c>
      <c r="K63">
        <f t="shared" si="2"/>
        <v>8.9594280899999994</v>
      </c>
      <c r="L63">
        <f t="shared" si="3"/>
        <v>110.49720473843325</v>
      </c>
      <c r="M63">
        <f t="shared" si="4"/>
        <v>475.48714127539807</v>
      </c>
      <c r="N63">
        <f t="shared" si="5"/>
        <v>0.39869610134228189</v>
      </c>
      <c r="O63">
        <f t="shared" si="6"/>
        <v>0.50865481724281858</v>
      </c>
    </row>
    <row r="64" spans="1:15" x14ac:dyDescent="0.35">
      <c r="A64">
        <v>5</v>
      </c>
      <c r="B64">
        <v>6.5290999999999997</v>
      </c>
      <c r="C64" s="2">
        <v>53196</v>
      </c>
      <c r="G64">
        <f t="shared" si="7"/>
        <v>14.9</v>
      </c>
      <c r="H64">
        <f t="shared" si="0"/>
        <v>9.1999999999999993</v>
      </c>
      <c r="I64">
        <f t="shared" si="1"/>
        <v>989.99175999999989</v>
      </c>
      <c r="J64">
        <f t="shared" si="8"/>
        <v>6.0379147339999992</v>
      </c>
      <c r="K64">
        <f t="shared" si="2"/>
        <v>8.8620852660000011</v>
      </c>
      <c r="L64">
        <f t="shared" si="3"/>
        <v>111.71092697541191</v>
      </c>
      <c r="M64">
        <f t="shared" si="4"/>
        <v>476.19334509424209</v>
      </c>
      <c r="N64">
        <f t="shared" si="5"/>
        <v>0.40522917677852344</v>
      </c>
      <c r="O64">
        <f t="shared" si="6"/>
        <v>0.51957911869027362</v>
      </c>
    </row>
    <row r="65" spans="1:15" x14ac:dyDescent="0.35">
      <c r="A65">
        <v>5.0999999999999996</v>
      </c>
      <c r="B65">
        <v>6.6322999999999999</v>
      </c>
      <c r="C65" s="2">
        <v>53880</v>
      </c>
      <c r="G65">
        <f t="shared" si="7"/>
        <v>14.9</v>
      </c>
      <c r="H65">
        <f t="shared" si="0"/>
        <v>9.1999999999999993</v>
      </c>
      <c r="I65">
        <f t="shared" si="1"/>
        <v>989.99175999999989</v>
      </c>
      <c r="J65">
        <f t="shared" si="8"/>
        <v>6.13479902</v>
      </c>
      <c r="K65">
        <f t="shared" si="2"/>
        <v>8.7652009799999995</v>
      </c>
      <c r="L65">
        <f t="shared" si="3"/>
        <v>112.9456999627178</v>
      </c>
      <c r="M65">
        <f t="shared" si="4"/>
        <v>477.04339357572024</v>
      </c>
      <c r="N65">
        <f t="shared" si="5"/>
        <v>0.41173147785234898</v>
      </c>
      <c r="O65">
        <f t="shared" si="6"/>
        <v>0.53057176500653103</v>
      </c>
    </row>
    <row r="66" spans="1:15" x14ac:dyDescent="0.35">
      <c r="A66">
        <v>5.2</v>
      </c>
      <c r="B66">
        <v>6.7356999999999996</v>
      </c>
      <c r="C66" s="2">
        <v>54579</v>
      </c>
      <c r="G66">
        <f t="shared" si="7"/>
        <v>14.9</v>
      </c>
      <c r="H66">
        <f t="shared" si="0"/>
        <v>9.1999999999999993</v>
      </c>
      <c r="I66">
        <f t="shared" si="1"/>
        <v>989.99175999999989</v>
      </c>
      <c r="J66">
        <f t="shared" si="8"/>
        <v>6.2317448034999998</v>
      </c>
      <c r="K66">
        <f t="shared" si="2"/>
        <v>8.6682551965000005</v>
      </c>
      <c r="L66">
        <f t="shared" si="3"/>
        <v>114.20888489758941</v>
      </c>
      <c r="M66">
        <f t="shared" si="4"/>
        <v>477.88751329584159</v>
      </c>
      <c r="N66">
        <f t="shared" si="5"/>
        <v>0.41823790627516777</v>
      </c>
      <c r="O66">
        <f t="shared" si="6"/>
        <v>0.54169368849010346</v>
      </c>
    </row>
    <row r="67" spans="1:15" x14ac:dyDescent="0.35">
      <c r="A67">
        <v>5.3</v>
      </c>
      <c r="B67">
        <v>6.8391000000000002</v>
      </c>
      <c r="C67" s="2">
        <v>55337</v>
      </c>
      <c r="G67">
        <f t="shared" si="7"/>
        <v>14.9</v>
      </c>
      <c r="H67">
        <f t="shared" si="0"/>
        <v>9.1999999999999993</v>
      </c>
      <c r="I67">
        <f t="shared" si="1"/>
        <v>989.99175999999989</v>
      </c>
      <c r="J67">
        <f t="shared" si="8"/>
        <v>6.3281458105000006</v>
      </c>
      <c r="K67">
        <f t="shared" si="2"/>
        <v>8.5718541894999998</v>
      </c>
      <c r="L67">
        <f t="shared" si="3"/>
        <v>115.49330379565714</v>
      </c>
      <c r="M67">
        <f t="shared" si="4"/>
        <v>479.13600339901973</v>
      </c>
      <c r="N67">
        <f t="shared" si="5"/>
        <v>0.42470777251677855</v>
      </c>
      <c r="O67">
        <f t="shared" si="6"/>
        <v>0.55287714557575018</v>
      </c>
    </row>
    <row r="68" spans="1:15" x14ac:dyDescent="0.35">
      <c r="A68">
        <v>5.4</v>
      </c>
      <c r="B68">
        <v>7.0476999999999999</v>
      </c>
      <c r="C68" s="2">
        <v>56918</v>
      </c>
      <c r="G68">
        <f t="shared" si="7"/>
        <v>14.9</v>
      </c>
      <c r="H68">
        <f t="shared" si="0"/>
        <v>9.1999999999999993</v>
      </c>
      <c r="I68">
        <f t="shared" si="1"/>
        <v>989.99175999999989</v>
      </c>
      <c r="J68">
        <f t="shared" si="8"/>
        <v>6.5221476469999997</v>
      </c>
      <c r="K68">
        <f t="shared" si="2"/>
        <v>8.3778523530000015</v>
      </c>
      <c r="L68">
        <f t="shared" si="3"/>
        <v>118.16772584270915</v>
      </c>
      <c r="M68">
        <f t="shared" si="4"/>
        <v>481.67128201961413</v>
      </c>
      <c r="N68">
        <f t="shared" si="5"/>
        <v>0.43772802999999999</v>
      </c>
      <c r="O68">
        <f t="shared" si="6"/>
        <v>0.57576961376161673</v>
      </c>
    </row>
    <row r="69" spans="1:15" x14ac:dyDescent="0.35">
      <c r="A69">
        <v>5.5</v>
      </c>
      <c r="B69">
        <v>7.1505999999999998</v>
      </c>
      <c r="C69" s="2">
        <v>57744</v>
      </c>
      <c r="G69">
        <f t="shared" si="7"/>
        <v>14.9</v>
      </c>
      <c r="H69">
        <f t="shared" si="0"/>
        <v>9.1999999999999993</v>
      </c>
      <c r="I69">
        <f t="shared" si="1"/>
        <v>989.99175999999989</v>
      </c>
      <c r="J69">
        <f t="shared" si="8"/>
        <v>6.6174207759999994</v>
      </c>
      <c r="K69">
        <f t="shared" si="2"/>
        <v>8.2825792240000009</v>
      </c>
      <c r="L69">
        <f t="shared" si="3"/>
        <v>119.52698950724817</v>
      </c>
      <c r="M69">
        <f t="shared" si="4"/>
        <v>483.10427827263544</v>
      </c>
      <c r="N69">
        <f t="shared" si="5"/>
        <v>0.4441221997315436</v>
      </c>
      <c r="O69">
        <f t="shared" si="6"/>
        <v>0.58720679257735575</v>
      </c>
    </row>
    <row r="70" spans="1:15" x14ac:dyDescent="0.35">
      <c r="A70">
        <v>5.6</v>
      </c>
      <c r="B70">
        <v>7.2539999999999996</v>
      </c>
      <c r="C70" s="2">
        <v>58597</v>
      </c>
      <c r="G70">
        <f t="shared" si="7"/>
        <v>14.9</v>
      </c>
      <c r="H70">
        <f t="shared" si="0"/>
        <v>9.1999999999999993</v>
      </c>
      <c r="I70">
        <f t="shared" si="1"/>
        <v>989.99175999999989</v>
      </c>
      <c r="J70">
        <f t="shared" si="8"/>
        <v>6.7129446004999993</v>
      </c>
      <c r="K70">
        <f t="shared" si="2"/>
        <v>8.1870553995000002</v>
      </c>
      <c r="L70">
        <f t="shared" si="3"/>
        <v>120.92159044880296</v>
      </c>
      <c r="M70">
        <f t="shared" si="4"/>
        <v>484.58674569624856</v>
      </c>
      <c r="N70">
        <f t="shared" si="5"/>
        <v>0.45053319466442948</v>
      </c>
      <c r="O70">
        <f t="shared" si="6"/>
        <v>0.59880691581561429</v>
      </c>
    </row>
    <row r="71" spans="1:15" x14ac:dyDescent="0.35">
      <c r="A71">
        <v>5.7</v>
      </c>
      <c r="B71">
        <v>7.3574000000000002</v>
      </c>
      <c r="C71" s="2">
        <v>59421</v>
      </c>
      <c r="G71">
        <f t="shared" si="7"/>
        <v>14.9</v>
      </c>
      <c r="H71">
        <f t="shared" si="0"/>
        <v>9.1999999999999993</v>
      </c>
      <c r="I71">
        <f t="shared" si="1"/>
        <v>989.99175999999989</v>
      </c>
      <c r="J71">
        <f t="shared" si="8"/>
        <v>6.8087361964999999</v>
      </c>
      <c r="K71">
        <f t="shared" si="2"/>
        <v>8.0912638035000004</v>
      </c>
      <c r="L71">
        <f t="shared" si="3"/>
        <v>122.35316806402527</v>
      </c>
      <c r="M71">
        <f t="shared" si="4"/>
        <v>485.65150326884901</v>
      </c>
      <c r="N71">
        <f t="shared" si="5"/>
        <v>0.45696216083892616</v>
      </c>
      <c r="O71">
        <f t="shared" si="6"/>
        <v>0.61057627609660503</v>
      </c>
    </row>
    <row r="72" spans="1:15" x14ac:dyDescent="0.35">
      <c r="A72">
        <v>5.8</v>
      </c>
      <c r="B72">
        <v>7.4603000000000002</v>
      </c>
      <c r="C72" s="2">
        <v>60282</v>
      </c>
      <c r="G72">
        <f t="shared" si="7"/>
        <v>14.9</v>
      </c>
      <c r="H72">
        <f t="shared" si="0"/>
        <v>9.1999999999999993</v>
      </c>
      <c r="I72">
        <f t="shared" si="1"/>
        <v>989.99175999999989</v>
      </c>
      <c r="J72">
        <f t="shared" si="8"/>
        <v>6.9036861529999998</v>
      </c>
      <c r="K72">
        <f t="shared" si="2"/>
        <v>7.9963138470000006</v>
      </c>
      <c r="L72">
        <f t="shared" si="3"/>
        <v>123.80601598965727</v>
      </c>
      <c r="M72">
        <f t="shared" si="4"/>
        <v>486.90687215907138</v>
      </c>
      <c r="N72">
        <f t="shared" si="5"/>
        <v>0.46333464114093958</v>
      </c>
      <c r="O72">
        <f t="shared" si="6"/>
        <v>0.62238054658329045</v>
      </c>
    </row>
    <row r="73" spans="1:15" x14ac:dyDescent="0.35">
      <c r="A73">
        <v>5.9</v>
      </c>
      <c r="B73">
        <v>7.5636000000000001</v>
      </c>
      <c r="C73" s="2">
        <v>61168</v>
      </c>
      <c r="G73">
        <f t="shared" si="7"/>
        <v>14.9</v>
      </c>
      <c r="H73">
        <f t="shared" si="0"/>
        <v>9.1999999999999993</v>
      </c>
      <c r="I73">
        <f t="shared" si="1"/>
        <v>989.99175999999989</v>
      </c>
      <c r="J73">
        <f t="shared" si="8"/>
        <v>6.9988052720000002</v>
      </c>
      <c r="K73">
        <f t="shared" si="2"/>
        <v>7.9011947280000001</v>
      </c>
      <c r="L73">
        <f t="shared" si="3"/>
        <v>125.29646389952887</v>
      </c>
      <c r="M73">
        <f t="shared" si="4"/>
        <v>488.1861634103945</v>
      </c>
      <c r="N73">
        <f t="shared" si="5"/>
        <v>0.46971847463087246</v>
      </c>
      <c r="O73">
        <f t="shared" si="6"/>
        <v>0.63434723352034672</v>
      </c>
    </row>
    <row r="74" spans="1:15" x14ac:dyDescent="0.35">
      <c r="A74">
        <v>6</v>
      </c>
      <c r="B74">
        <v>7.6666999999999996</v>
      </c>
      <c r="C74" s="2">
        <v>62136</v>
      </c>
      <c r="G74">
        <f t="shared" si="7"/>
        <v>14.9</v>
      </c>
      <c r="H74">
        <f t="shared" si="0"/>
        <v>9.1999999999999993</v>
      </c>
      <c r="I74">
        <f t="shared" si="1"/>
        <v>989.99175999999989</v>
      </c>
      <c r="J74">
        <f t="shared" si="8"/>
        <v>7.0929672439999996</v>
      </c>
      <c r="K74">
        <f t="shared" si="2"/>
        <v>7.8070327560000008</v>
      </c>
      <c r="L74">
        <f t="shared" si="3"/>
        <v>126.80768621588703</v>
      </c>
      <c r="M74">
        <f t="shared" si="4"/>
        <v>490.0018433757632</v>
      </c>
      <c r="N74">
        <f t="shared" si="5"/>
        <v>0.47603807006711407</v>
      </c>
      <c r="O74">
        <f t="shared" si="6"/>
        <v>0.64633625010027329</v>
      </c>
    </row>
    <row r="75" spans="1:15" x14ac:dyDescent="0.35">
      <c r="A75">
        <v>6.1</v>
      </c>
      <c r="B75">
        <v>7.7835999999999999</v>
      </c>
      <c r="C75" s="2">
        <v>63208</v>
      </c>
      <c r="G75">
        <f t="shared" si="7"/>
        <v>14.9</v>
      </c>
      <c r="H75">
        <f t="shared" si="0"/>
        <v>9.1999999999999993</v>
      </c>
      <c r="I75">
        <f t="shared" si="1"/>
        <v>989.99175999999989</v>
      </c>
      <c r="J75">
        <f t="shared" si="8"/>
        <v>7.199968932</v>
      </c>
      <c r="K75">
        <f t="shared" si="2"/>
        <v>7.7000310680000004</v>
      </c>
      <c r="L75">
        <f t="shared" si="3"/>
        <v>128.56983968730137</v>
      </c>
      <c r="M75">
        <f t="shared" si="4"/>
        <v>491.62385325928778</v>
      </c>
      <c r="N75">
        <f t="shared" si="5"/>
        <v>0.48321939140939596</v>
      </c>
      <c r="O75">
        <f t="shared" si="6"/>
        <v>0.66013684929472038</v>
      </c>
    </row>
    <row r="76" spans="1:15" x14ac:dyDescent="0.35">
      <c r="A76">
        <v>6.2</v>
      </c>
      <c r="B76">
        <v>7.8902000000000001</v>
      </c>
      <c r="C76" s="2">
        <v>64260</v>
      </c>
      <c r="G76">
        <f t="shared" si="7"/>
        <v>14.9</v>
      </c>
      <c r="H76">
        <f t="shared" si="0"/>
        <v>9.1999999999999993</v>
      </c>
      <c r="I76">
        <f t="shared" si="1"/>
        <v>989.99175999999989</v>
      </c>
      <c r="J76">
        <f t="shared" si="8"/>
        <v>7.2968552899999999</v>
      </c>
      <c r="K76">
        <f t="shared" si="2"/>
        <v>7.6031447100000005</v>
      </c>
      <c r="L76">
        <f t="shared" si="3"/>
        <v>130.2081964450733</v>
      </c>
      <c r="M76">
        <f t="shared" si="4"/>
        <v>493.5173188356639</v>
      </c>
      <c r="N76">
        <f t="shared" si="5"/>
        <v>0.48972183154362414</v>
      </c>
      <c r="O76">
        <f t="shared" si="6"/>
        <v>0.6727992736099061</v>
      </c>
    </row>
    <row r="77" spans="1:15" x14ac:dyDescent="0.35">
      <c r="A77">
        <v>6.3</v>
      </c>
      <c r="B77">
        <v>7.9936999999999996</v>
      </c>
      <c r="C77" s="2">
        <v>65321</v>
      </c>
      <c r="G77">
        <f t="shared" si="7"/>
        <v>14.9</v>
      </c>
      <c r="H77">
        <f t="shared" si="0"/>
        <v>9.1999999999999993</v>
      </c>
      <c r="I77">
        <f t="shared" si="1"/>
        <v>989.99175999999989</v>
      </c>
      <c r="J77">
        <f t="shared" si="8"/>
        <v>7.3905585464999994</v>
      </c>
      <c r="K77">
        <f t="shared" si="2"/>
        <v>7.5094414535000009</v>
      </c>
      <c r="L77">
        <f t="shared" si="3"/>
        <v>131.8329420543767</v>
      </c>
      <c r="M77">
        <f t="shared" si="4"/>
        <v>495.4831393587292</v>
      </c>
      <c r="N77">
        <f t="shared" si="5"/>
        <v>0.49601064070469791</v>
      </c>
      <c r="O77">
        <f t="shared" si="6"/>
        <v>0.6852001236429619</v>
      </c>
    </row>
    <row r="78" spans="1:15" x14ac:dyDescent="0.35">
      <c r="A78">
        <v>6.4</v>
      </c>
      <c r="B78">
        <v>8.0970999999999993</v>
      </c>
      <c r="C78" s="2">
        <v>66363</v>
      </c>
      <c r="G78">
        <f t="shared" si="7"/>
        <v>14.9</v>
      </c>
      <c r="H78">
        <f t="shared" si="0"/>
        <v>9.1999999999999993</v>
      </c>
      <c r="I78">
        <f t="shared" si="1"/>
        <v>989.99175999999989</v>
      </c>
      <c r="J78">
        <f t="shared" si="8"/>
        <v>7.4843372394999994</v>
      </c>
      <c r="K78">
        <f t="shared" si="2"/>
        <v>7.4156627605000009</v>
      </c>
      <c r="L78">
        <f t="shared" si="3"/>
        <v>133.50010538144397</v>
      </c>
      <c r="M78">
        <f t="shared" si="4"/>
        <v>497.10073119705726</v>
      </c>
      <c r="N78">
        <f t="shared" si="5"/>
        <v>0.50230451271812071</v>
      </c>
      <c r="O78">
        <f t="shared" si="6"/>
        <v>0.69776686030384427</v>
      </c>
    </row>
    <row r="79" spans="1:15" x14ac:dyDescent="0.35">
      <c r="A79">
        <v>6.5</v>
      </c>
      <c r="B79">
        <v>8.2002000000000006</v>
      </c>
      <c r="C79" s="2">
        <v>67482</v>
      </c>
      <c r="G79">
        <f t="shared" si="7"/>
        <v>14.9</v>
      </c>
      <c r="H79">
        <f t="shared" ref="H79:H115" si="9">$H$11</f>
        <v>9.1999999999999993</v>
      </c>
      <c r="I79">
        <f t="shared" ref="I79:I115" si="10">(3.14*POWER(H79,2)*0.25*G79)</f>
        <v>989.99175999999989</v>
      </c>
      <c r="J79">
        <f t="shared" si="8"/>
        <v>7.577104953000001</v>
      </c>
      <c r="K79">
        <f t="shared" ref="K79:K115" si="11">G79-J79</f>
        <v>7.3228950469999994</v>
      </c>
      <c r="L79">
        <f t="shared" ref="L79:L115" si="12">I79/K79</f>
        <v>135.19130803405054</v>
      </c>
      <c r="M79">
        <f t="shared" ref="M79:M115" si="13">C79/L79</f>
        <v>499.15930973168304</v>
      </c>
      <c r="N79">
        <f t="shared" ref="N79:N115" si="14">J79/G79</f>
        <v>0.5085305337583893</v>
      </c>
      <c r="O79">
        <f t="shared" ref="O79:O115" si="15">LN(L79/(3.14*H79^2/4))</f>
        <v>0.7103554649429572</v>
      </c>
    </row>
    <row r="80" spans="1:15" x14ac:dyDescent="0.35">
      <c r="A80">
        <v>6.6</v>
      </c>
      <c r="B80">
        <v>8.3035999999999994</v>
      </c>
      <c r="C80" s="2">
        <v>68630</v>
      </c>
      <c r="G80">
        <f t="shared" ref="G80:G115" si="16">$G$11</f>
        <v>14.9</v>
      </c>
      <c r="H80">
        <f t="shared" si="9"/>
        <v>9.1999999999999993</v>
      </c>
      <c r="I80">
        <f t="shared" si="10"/>
        <v>989.99175999999989</v>
      </c>
      <c r="J80">
        <f t="shared" ref="J80:J115" si="17">B80-C80/(2*10^5/1.8467)</f>
        <v>7.6699048949999993</v>
      </c>
      <c r="K80">
        <f t="shared" si="11"/>
        <v>7.2300951050000011</v>
      </c>
      <c r="L80">
        <f t="shared" si="12"/>
        <v>136.92651972383698</v>
      </c>
      <c r="M80">
        <f t="shared" si="13"/>
        <v>501.2177344346282</v>
      </c>
      <c r="N80">
        <f t="shared" si="14"/>
        <v>0.51475871778523485</v>
      </c>
      <c r="O80">
        <f t="shared" si="15"/>
        <v>0.72310902264872201</v>
      </c>
    </row>
    <row r="81" spans="1:15" x14ac:dyDescent="0.35">
      <c r="A81">
        <v>6.7</v>
      </c>
      <c r="B81">
        <v>8.4067000000000007</v>
      </c>
      <c r="C81" s="2">
        <v>69828</v>
      </c>
      <c r="G81">
        <f t="shared" si="16"/>
        <v>14.9</v>
      </c>
      <c r="H81">
        <f t="shared" si="9"/>
        <v>9.1999999999999993</v>
      </c>
      <c r="I81">
        <f t="shared" si="10"/>
        <v>989.99175999999989</v>
      </c>
      <c r="J81">
        <f t="shared" si="17"/>
        <v>7.7619431620000006</v>
      </c>
      <c r="K81">
        <f t="shared" si="11"/>
        <v>7.1380568379999998</v>
      </c>
      <c r="L81">
        <f t="shared" si="12"/>
        <v>138.69205337924768</v>
      </c>
      <c r="M81">
        <f t="shared" si="13"/>
        <v>503.47513284743303</v>
      </c>
      <c r="N81">
        <f t="shared" si="14"/>
        <v>0.52093578268456375</v>
      </c>
      <c r="O81">
        <f t="shared" si="15"/>
        <v>0.73592062518048784</v>
      </c>
    </row>
    <row r="82" spans="1:15" x14ac:dyDescent="0.35">
      <c r="A82">
        <v>6.8</v>
      </c>
      <c r="B82">
        <v>8.51</v>
      </c>
      <c r="C82" s="2">
        <v>70965</v>
      </c>
      <c r="G82">
        <f t="shared" si="16"/>
        <v>14.9</v>
      </c>
      <c r="H82">
        <f t="shared" si="9"/>
        <v>9.1999999999999993</v>
      </c>
      <c r="I82">
        <f t="shared" si="10"/>
        <v>989.99175999999989</v>
      </c>
      <c r="J82">
        <f t="shared" si="17"/>
        <v>7.8547446724999999</v>
      </c>
      <c r="K82">
        <f t="shared" si="11"/>
        <v>7.0452553275000005</v>
      </c>
      <c r="L82">
        <f t="shared" si="12"/>
        <v>140.51893281081371</v>
      </c>
      <c r="M82">
        <f t="shared" si="13"/>
        <v>505.02091483674326</v>
      </c>
      <c r="N82">
        <f t="shared" si="14"/>
        <v>0.5271640719798657</v>
      </c>
      <c r="O82">
        <f t="shared" si="15"/>
        <v>0.74900682588703327</v>
      </c>
    </row>
    <row r="83" spans="1:15" x14ac:dyDescent="0.35">
      <c r="A83">
        <v>6.9</v>
      </c>
      <c r="B83">
        <v>8.6135999999999999</v>
      </c>
      <c r="C83" s="2">
        <v>72213</v>
      </c>
      <c r="G83">
        <f t="shared" si="16"/>
        <v>14.9</v>
      </c>
      <c r="H83">
        <f t="shared" si="9"/>
        <v>9.1999999999999993</v>
      </c>
      <c r="I83">
        <f t="shared" si="10"/>
        <v>989.99175999999989</v>
      </c>
      <c r="J83">
        <f t="shared" si="17"/>
        <v>7.9468212644999996</v>
      </c>
      <c r="K83">
        <f t="shared" si="11"/>
        <v>6.9531787355000008</v>
      </c>
      <c r="L83">
        <f t="shared" si="12"/>
        <v>142.37973704681559</v>
      </c>
      <c r="M83">
        <f t="shared" si="13"/>
        <v>507.18593458460867</v>
      </c>
      <c r="N83">
        <f t="shared" si="14"/>
        <v>0.53334370902684558</v>
      </c>
      <c r="O83">
        <f t="shared" si="15"/>
        <v>0.76216228592302238</v>
      </c>
    </row>
    <row r="84" spans="1:15" x14ac:dyDescent="0.35">
      <c r="A84">
        <v>7</v>
      </c>
      <c r="B84">
        <v>8.8208000000000002</v>
      </c>
      <c r="C84" s="2">
        <v>74779</v>
      </c>
      <c r="G84">
        <f t="shared" si="16"/>
        <v>14.9</v>
      </c>
      <c r="H84">
        <f t="shared" si="9"/>
        <v>9.1999999999999993</v>
      </c>
      <c r="I84">
        <f t="shared" si="10"/>
        <v>989.99175999999989</v>
      </c>
      <c r="J84">
        <f t="shared" si="17"/>
        <v>8.1303281035000001</v>
      </c>
      <c r="K84">
        <f t="shared" si="11"/>
        <v>6.7696718965000002</v>
      </c>
      <c r="L84">
        <f t="shared" si="12"/>
        <v>146.2392528228491</v>
      </c>
      <c r="M84">
        <f t="shared" si="13"/>
        <v>511.34697802775003</v>
      </c>
      <c r="N84">
        <f t="shared" si="14"/>
        <v>0.54565960426174498</v>
      </c>
      <c r="O84">
        <f t="shared" si="15"/>
        <v>0.78890859152958059</v>
      </c>
    </row>
    <row r="85" spans="1:15" x14ac:dyDescent="0.35">
      <c r="A85">
        <v>7.1</v>
      </c>
      <c r="B85">
        <v>8.9239999999999995</v>
      </c>
      <c r="C85" s="2">
        <v>76205</v>
      </c>
      <c r="G85">
        <f t="shared" si="16"/>
        <v>14.9</v>
      </c>
      <c r="H85">
        <f t="shared" si="9"/>
        <v>9.1999999999999993</v>
      </c>
      <c r="I85">
        <f t="shared" si="10"/>
        <v>989.99175999999989</v>
      </c>
      <c r="J85">
        <f t="shared" si="17"/>
        <v>8.220361132499999</v>
      </c>
      <c r="K85">
        <f t="shared" si="11"/>
        <v>6.6796388675000014</v>
      </c>
      <c r="L85">
        <f t="shared" si="12"/>
        <v>148.21037179372627</v>
      </c>
      <c r="M85">
        <f t="shared" si="13"/>
        <v>514.16779458632834</v>
      </c>
      <c r="N85">
        <f t="shared" si="14"/>
        <v>0.55170208942953014</v>
      </c>
      <c r="O85">
        <f t="shared" si="15"/>
        <v>0.80229728861574501</v>
      </c>
    </row>
    <row r="86" spans="1:15" x14ac:dyDescent="0.35">
      <c r="A86">
        <v>7.2</v>
      </c>
      <c r="B86">
        <v>9.0274000000000001</v>
      </c>
      <c r="C86" s="2">
        <v>77524</v>
      </c>
      <c r="G86">
        <f t="shared" si="16"/>
        <v>14.9</v>
      </c>
      <c r="H86">
        <f t="shared" si="9"/>
        <v>9.1999999999999993</v>
      </c>
      <c r="I86">
        <f t="shared" si="10"/>
        <v>989.99175999999989</v>
      </c>
      <c r="J86">
        <f t="shared" si="17"/>
        <v>8.3115821459999992</v>
      </c>
      <c r="K86">
        <f t="shared" si="11"/>
        <v>6.5884178540000011</v>
      </c>
      <c r="L86">
        <f t="shared" si="12"/>
        <v>150.26244265896855</v>
      </c>
      <c r="M86">
        <f t="shared" si="13"/>
        <v>515.92399689619253</v>
      </c>
      <c r="N86">
        <f t="shared" si="14"/>
        <v>0.55782430510067105</v>
      </c>
      <c r="O86">
        <f t="shared" si="15"/>
        <v>0.81604797611430646</v>
      </c>
    </row>
    <row r="87" spans="1:15" x14ac:dyDescent="0.35">
      <c r="A87">
        <v>7.3</v>
      </c>
      <c r="B87">
        <v>9.1309000000000005</v>
      </c>
      <c r="C87" s="2">
        <v>78946</v>
      </c>
      <c r="G87">
        <f t="shared" si="16"/>
        <v>14.9</v>
      </c>
      <c r="H87">
        <f t="shared" si="9"/>
        <v>9.1999999999999993</v>
      </c>
      <c r="I87">
        <f t="shared" si="10"/>
        <v>989.99175999999989</v>
      </c>
      <c r="J87">
        <f t="shared" si="17"/>
        <v>8.4019521089999998</v>
      </c>
      <c r="K87">
        <f t="shared" si="11"/>
        <v>6.4980478910000006</v>
      </c>
      <c r="L87">
        <f t="shared" si="12"/>
        <v>152.35217970171772</v>
      </c>
      <c r="M87">
        <f t="shared" si="13"/>
        <v>518.18096829703518</v>
      </c>
      <c r="N87">
        <f t="shared" si="14"/>
        <v>0.56388940328859061</v>
      </c>
      <c r="O87">
        <f t="shared" si="15"/>
        <v>0.82985940561778271</v>
      </c>
    </row>
    <row r="88" spans="1:15" x14ac:dyDescent="0.35">
      <c r="A88">
        <v>7.4</v>
      </c>
      <c r="B88">
        <v>9.2341999999999995</v>
      </c>
      <c r="C88" s="2">
        <v>80438</v>
      </c>
      <c r="G88">
        <f t="shared" si="16"/>
        <v>14.9</v>
      </c>
      <c r="H88">
        <f t="shared" si="9"/>
        <v>9.1999999999999993</v>
      </c>
      <c r="I88">
        <f t="shared" si="10"/>
        <v>989.99175999999989</v>
      </c>
      <c r="J88">
        <f t="shared" si="17"/>
        <v>8.4914757269999992</v>
      </c>
      <c r="K88">
        <f t="shared" si="11"/>
        <v>6.4085242730000012</v>
      </c>
      <c r="L88">
        <f t="shared" si="12"/>
        <v>154.48045725144118</v>
      </c>
      <c r="M88">
        <f t="shared" si="13"/>
        <v>520.70016771813755</v>
      </c>
      <c r="N88">
        <f t="shared" si="14"/>
        <v>0.56989769979865768</v>
      </c>
      <c r="O88">
        <f t="shared" si="15"/>
        <v>0.84373219114503517</v>
      </c>
    </row>
    <row r="89" spans="1:15" x14ac:dyDescent="0.35">
      <c r="A89">
        <v>7.5</v>
      </c>
      <c r="B89">
        <v>9.3376000000000001</v>
      </c>
      <c r="C89" s="2">
        <v>81885</v>
      </c>
      <c r="G89">
        <f t="shared" si="16"/>
        <v>14.9</v>
      </c>
      <c r="H89">
        <f t="shared" si="9"/>
        <v>9.1999999999999993</v>
      </c>
      <c r="I89">
        <f t="shared" si="10"/>
        <v>989.99175999999989</v>
      </c>
      <c r="J89">
        <f t="shared" si="17"/>
        <v>8.5815148524999998</v>
      </c>
      <c r="K89">
        <f t="shared" si="11"/>
        <v>6.3184851475000006</v>
      </c>
      <c r="L89">
        <f t="shared" si="12"/>
        <v>156.68182117856276</v>
      </c>
      <c r="M89">
        <f t="shared" si="13"/>
        <v>522.61965928184861</v>
      </c>
      <c r="N89">
        <f t="shared" si="14"/>
        <v>0.57594059412751675</v>
      </c>
      <c r="O89">
        <f t="shared" si="15"/>
        <v>0.85788172537459595</v>
      </c>
    </row>
    <row r="90" spans="1:15" x14ac:dyDescent="0.35">
      <c r="A90">
        <v>7.6</v>
      </c>
      <c r="B90">
        <v>9.4405999999999999</v>
      </c>
      <c r="C90" s="2">
        <v>83426</v>
      </c>
      <c r="G90">
        <f t="shared" si="16"/>
        <v>14.9</v>
      </c>
      <c r="H90">
        <f t="shared" si="9"/>
        <v>9.1999999999999993</v>
      </c>
      <c r="I90">
        <f t="shared" si="10"/>
        <v>989.99175999999989</v>
      </c>
      <c r="J90">
        <f t="shared" si="17"/>
        <v>8.6702860289999997</v>
      </c>
      <c r="K90">
        <f t="shared" si="11"/>
        <v>6.2297139710000007</v>
      </c>
      <c r="L90">
        <f t="shared" si="12"/>
        <v>158.91448060192164</v>
      </c>
      <c r="M90">
        <f t="shared" si="13"/>
        <v>524.97418538579166</v>
      </c>
      <c r="N90">
        <f t="shared" si="14"/>
        <v>0.58189839120805364</v>
      </c>
      <c r="O90">
        <f t="shared" si="15"/>
        <v>0.87203079276300166</v>
      </c>
    </row>
    <row r="91" spans="1:15" x14ac:dyDescent="0.35">
      <c r="A91">
        <v>7.7</v>
      </c>
      <c r="B91">
        <v>9.5470000000000006</v>
      </c>
      <c r="C91" s="2">
        <v>85112</v>
      </c>
      <c r="G91">
        <f t="shared" si="16"/>
        <v>14.9</v>
      </c>
      <c r="H91">
        <f t="shared" si="9"/>
        <v>9.1999999999999993</v>
      </c>
      <c r="I91">
        <f t="shared" si="10"/>
        <v>989.99175999999989</v>
      </c>
      <c r="J91">
        <f t="shared" si="17"/>
        <v>8.7611183480000001</v>
      </c>
      <c r="K91">
        <f t="shared" si="11"/>
        <v>6.1388816520000002</v>
      </c>
      <c r="L91">
        <f t="shared" si="12"/>
        <v>161.26581617312468</v>
      </c>
      <c r="M91">
        <f t="shared" si="13"/>
        <v>527.77458992691413</v>
      </c>
      <c r="N91">
        <f t="shared" si="14"/>
        <v>0.58799451999999996</v>
      </c>
      <c r="O91">
        <f t="shared" si="15"/>
        <v>0.88671862875019414</v>
      </c>
    </row>
    <row r="92" spans="1:15" x14ac:dyDescent="0.35">
      <c r="A92">
        <v>7.8</v>
      </c>
      <c r="B92">
        <v>9.6503999999999994</v>
      </c>
      <c r="C92" s="2">
        <v>86657</v>
      </c>
      <c r="G92">
        <f t="shared" si="16"/>
        <v>14.9</v>
      </c>
      <c r="H92">
        <f t="shared" si="9"/>
        <v>9.1999999999999993</v>
      </c>
      <c r="I92">
        <f t="shared" si="10"/>
        <v>989.99175999999989</v>
      </c>
      <c r="J92">
        <f t="shared" si="17"/>
        <v>8.8502525905000002</v>
      </c>
      <c r="K92">
        <f t="shared" si="11"/>
        <v>6.0497474095000001</v>
      </c>
      <c r="L92">
        <f t="shared" si="12"/>
        <v>163.64183378059758</v>
      </c>
      <c r="M92">
        <f t="shared" si="13"/>
        <v>529.55285331368987</v>
      </c>
      <c r="N92">
        <f t="shared" si="14"/>
        <v>0.59397668392617453</v>
      </c>
      <c r="O92">
        <f t="shared" si="15"/>
        <v>0.90134469227610725</v>
      </c>
    </row>
    <row r="93" spans="1:15" x14ac:dyDescent="0.35">
      <c r="A93">
        <v>7.9</v>
      </c>
      <c r="B93">
        <v>9.7539999999999996</v>
      </c>
      <c r="C93" s="2">
        <v>88332</v>
      </c>
      <c r="G93">
        <f t="shared" si="16"/>
        <v>14.9</v>
      </c>
      <c r="H93">
        <f t="shared" si="9"/>
        <v>9.1999999999999993</v>
      </c>
      <c r="I93">
        <f t="shared" si="10"/>
        <v>989.99175999999989</v>
      </c>
      <c r="J93">
        <f t="shared" si="17"/>
        <v>8.938386478</v>
      </c>
      <c r="K93">
        <f t="shared" si="11"/>
        <v>5.9616135220000004</v>
      </c>
      <c r="L93">
        <f t="shared" si="12"/>
        <v>166.06104309624516</v>
      </c>
      <c r="M93">
        <f t="shared" si="13"/>
        <v>531.92487746090342</v>
      </c>
      <c r="N93">
        <f t="shared" si="14"/>
        <v>0.59989170993288587</v>
      </c>
      <c r="O93">
        <f t="shared" si="15"/>
        <v>0.91602004334581533</v>
      </c>
    </row>
    <row r="94" spans="1:15" x14ac:dyDescent="0.35">
      <c r="A94">
        <v>8</v>
      </c>
      <c r="B94">
        <v>9.8574999999999999</v>
      </c>
      <c r="C94" s="2">
        <v>90077</v>
      </c>
      <c r="G94">
        <f t="shared" si="16"/>
        <v>14.9</v>
      </c>
      <c r="H94">
        <f t="shared" si="9"/>
        <v>9.1999999999999993</v>
      </c>
      <c r="I94">
        <f t="shared" si="10"/>
        <v>989.99175999999989</v>
      </c>
      <c r="J94">
        <f t="shared" si="17"/>
        <v>9.0257740205000001</v>
      </c>
      <c r="K94">
        <f t="shared" si="11"/>
        <v>5.8742259795000002</v>
      </c>
      <c r="L94">
        <f t="shared" si="12"/>
        <v>168.53143945345215</v>
      </c>
      <c r="M94">
        <f t="shared" si="13"/>
        <v>534.48187645058943</v>
      </c>
      <c r="N94">
        <f t="shared" si="14"/>
        <v>0.60575664567114096</v>
      </c>
      <c r="O94">
        <f t="shared" si="15"/>
        <v>0.93078690977095613</v>
      </c>
    </row>
    <row r="95" spans="1:15" x14ac:dyDescent="0.35">
      <c r="A95">
        <v>8.1</v>
      </c>
      <c r="B95">
        <v>9.9606999999999992</v>
      </c>
      <c r="C95" s="2">
        <v>91730</v>
      </c>
      <c r="G95">
        <f t="shared" si="16"/>
        <v>14.9</v>
      </c>
      <c r="H95">
        <f t="shared" si="9"/>
        <v>9.1999999999999993</v>
      </c>
      <c r="I95">
        <f t="shared" si="10"/>
        <v>989.99175999999989</v>
      </c>
      <c r="J95">
        <f t="shared" si="17"/>
        <v>9.1137110449999987</v>
      </c>
      <c r="K95">
        <f t="shared" si="11"/>
        <v>5.7862889550000016</v>
      </c>
      <c r="L95">
        <f t="shared" si="12"/>
        <v>171.09269303679281</v>
      </c>
      <c r="M95">
        <f t="shared" si="13"/>
        <v>536.14212490228226</v>
      </c>
      <c r="N95">
        <f t="shared" si="14"/>
        <v>0.61165845939597308</v>
      </c>
      <c r="O95">
        <f t="shared" si="15"/>
        <v>0.94587006727113387</v>
      </c>
    </row>
    <row r="96" spans="1:15" x14ac:dyDescent="0.35">
      <c r="A96">
        <v>8.1999999999999993</v>
      </c>
      <c r="B96">
        <v>10.0642</v>
      </c>
      <c r="C96" s="2">
        <v>93512</v>
      </c>
      <c r="G96">
        <f t="shared" si="16"/>
        <v>14.9</v>
      </c>
      <c r="H96">
        <f t="shared" si="9"/>
        <v>9.1999999999999993</v>
      </c>
      <c r="I96">
        <f t="shared" si="10"/>
        <v>989.99175999999989</v>
      </c>
      <c r="J96">
        <f t="shared" si="17"/>
        <v>9.2007569479999987</v>
      </c>
      <c r="K96">
        <f t="shared" si="11"/>
        <v>5.6992430520000017</v>
      </c>
      <c r="L96">
        <f t="shared" si="12"/>
        <v>173.7058326811642</v>
      </c>
      <c r="M96">
        <f t="shared" si="13"/>
        <v>538.33540622461771</v>
      </c>
      <c r="N96">
        <f t="shared" si="14"/>
        <v>0.61750046630872468</v>
      </c>
      <c r="O96">
        <f t="shared" si="15"/>
        <v>0.96102784482406667</v>
      </c>
    </row>
    <row r="97" spans="1:15" x14ac:dyDescent="0.35">
      <c r="A97">
        <v>8.3000000000000007</v>
      </c>
      <c r="B97">
        <v>10.167299999999999</v>
      </c>
      <c r="C97" s="2">
        <v>95373</v>
      </c>
      <c r="G97">
        <f t="shared" si="16"/>
        <v>14.9</v>
      </c>
      <c r="H97">
        <f t="shared" si="9"/>
        <v>9.1999999999999993</v>
      </c>
      <c r="I97">
        <f t="shared" si="10"/>
        <v>989.99175999999989</v>
      </c>
      <c r="J97">
        <f t="shared" si="17"/>
        <v>9.2866734044999983</v>
      </c>
      <c r="K97">
        <f t="shared" si="11"/>
        <v>5.613326595500002</v>
      </c>
      <c r="L97">
        <f t="shared" si="12"/>
        <v>176.36453948602241</v>
      </c>
      <c r="M97">
        <f t="shared" si="13"/>
        <v>540.77197308452526</v>
      </c>
      <c r="N97">
        <f t="shared" si="14"/>
        <v>0.62326667144295289</v>
      </c>
      <c r="O97">
        <f t="shared" si="15"/>
        <v>0.97621769313266582</v>
      </c>
    </row>
    <row r="98" spans="1:15" x14ac:dyDescent="0.35">
      <c r="A98">
        <v>8.4</v>
      </c>
      <c r="B98">
        <v>10.271000000000001</v>
      </c>
      <c r="C98" s="2">
        <v>97312</v>
      </c>
      <c r="G98">
        <f t="shared" si="16"/>
        <v>14.9</v>
      </c>
      <c r="H98">
        <f t="shared" si="9"/>
        <v>9.1999999999999993</v>
      </c>
      <c r="I98">
        <f t="shared" si="10"/>
        <v>989.99175999999989</v>
      </c>
      <c r="J98">
        <f t="shared" si="17"/>
        <v>9.3724696480000009</v>
      </c>
      <c r="K98">
        <f t="shared" si="11"/>
        <v>5.5275303519999994</v>
      </c>
      <c r="L98">
        <f t="shared" si="12"/>
        <v>179.10200341854224</v>
      </c>
      <c r="M98">
        <f t="shared" si="13"/>
        <v>543.3328390670888</v>
      </c>
      <c r="N98">
        <f t="shared" si="14"/>
        <v>0.62902480859060406</v>
      </c>
      <c r="O98">
        <f t="shared" si="15"/>
        <v>0.99162008812702063</v>
      </c>
    </row>
    <row r="99" spans="1:15" x14ac:dyDescent="0.35">
      <c r="A99">
        <v>8.5</v>
      </c>
      <c r="B99">
        <v>10.377800000000001</v>
      </c>
      <c r="C99" s="2">
        <v>99274</v>
      </c>
      <c r="G99">
        <f t="shared" si="16"/>
        <v>14.9</v>
      </c>
      <c r="H99">
        <f t="shared" si="9"/>
        <v>9.1999999999999993</v>
      </c>
      <c r="I99">
        <f t="shared" si="10"/>
        <v>989.99175999999989</v>
      </c>
      <c r="J99">
        <f t="shared" si="17"/>
        <v>9.461153521</v>
      </c>
      <c r="K99">
        <f t="shared" si="11"/>
        <v>5.4388464790000004</v>
      </c>
      <c r="L99">
        <f t="shared" si="12"/>
        <v>182.02237621938212</v>
      </c>
      <c r="M99">
        <f t="shared" si="13"/>
        <v>545.39448424928923</v>
      </c>
      <c r="N99">
        <f t="shared" si="14"/>
        <v>0.6349767463758389</v>
      </c>
      <c r="O99">
        <f t="shared" si="15"/>
        <v>1.0077942188696041</v>
      </c>
    </row>
    <row r="100" spans="1:15" x14ac:dyDescent="0.35">
      <c r="A100">
        <v>8.6</v>
      </c>
      <c r="B100">
        <v>10.481299999999999</v>
      </c>
      <c r="C100" s="2">
        <v>101293</v>
      </c>
      <c r="G100">
        <f t="shared" si="16"/>
        <v>14.9</v>
      </c>
      <c r="H100">
        <f t="shared" si="9"/>
        <v>9.1999999999999993</v>
      </c>
      <c r="I100">
        <f t="shared" si="10"/>
        <v>989.99175999999989</v>
      </c>
      <c r="J100">
        <f t="shared" si="17"/>
        <v>9.5460110844999999</v>
      </c>
      <c r="K100">
        <f t="shared" si="11"/>
        <v>5.3539889155000004</v>
      </c>
      <c r="L100">
        <f t="shared" si="12"/>
        <v>184.9073234227169</v>
      </c>
      <c r="M100">
        <f t="shared" si="13"/>
        <v>547.80415467068292</v>
      </c>
      <c r="N100">
        <f t="shared" si="14"/>
        <v>0.64067188486577176</v>
      </c>
      <c r="O100">
        <f t="shared" si="15"/>
        <v>1.023519338176651</v>
      </c>
    </row>
    <row r="101" spans="1:15" x14ac:dyDescent="0.35">
      <c r="A101">
        <v>8.6999999999999993</v>
      </c>
      <c r="B101">
        <v>10.5848</v>
      </c>
      <c r="C101" s="2">
        <v>103291</v>
      </c>
      <c r="G101">
        <f t="shared" si="16"/>
        <v>14.9</v>
      </c>
      <c r="H101">
        <f t="shared" si="9"/>
        <v>9.1999999999999993</v>
      </c>
      <c r="I101">
        <f t="shared" si="10"/>
        <v>989.99175999999989</v>
      </c>
      <c r="J101">
        <f t="shared" si="17"/>
        <v>9.6310625514999995</v>
      </c>
      <c r="K101">
        <f t="shared" si="11"/>
        <v>5.2689374485000009</v>
      </c>
      <c r="L101">
        <f t="shared" si="12"/>
        <v>187.89210721828513</v>
      </c>
      <c r="M101">
        <f t="shared" si="13"/>
        <v>549.73570486386029</v>
      </c>
      <c r="N101">
        <f t="shared" si="14"/>
        <v>0.64638003701342273</v>
      </c>
      <c r="O101">
        <f t="shared" si="15"/>
        <v>1.0395324934022483</v>
      </c>
    </row>
    <row r="102" spans="1:15" x14ac:dyDescent="0.35">
      <c r="A102">
        <v>8.8000000000000007</v>
      </c>
      <c r="B102">
        <v>10.688000000000001</v>
      </c>
      <c r="C102" s="2">
        <v>105439</v>
      </c>
      <c r="G102">
        <f t="shared" si="16"/>
        <v>14.9</v>
      </c>
      <c r="H102">
        <f t="shared" si="9"/>
        <v>9.1999999999999993</v>
      </c>
      <c r="I102">
        <f t="shared" si="10"/>
        <v>989.99175999999989</v>
      </c>
      <c r="J102">
        <f t="shared" si="17"/>
        <v>9.7144289935000003</v>
      </c>
      <c r="K102">
        <f t="shared" si="11"/>
        <v>5.1855710065</v>
      </c>
      <c r="L102">
        <f t="shared" si="12"/>
        <v>190.91277677213691</v>
      </c>
      <c r="M102">
        <f t="shared" si="13"/>
        <v>552.28886082279473</v>
      </c>
      <c r="N102">
        <f t="shared" si="14"/>
        <v>0.65197510023489935</v>
      </c>
      <c r="O102">
        <f t="shared" si="15"/>
        <v>1.055481250718177</v>
      </c>
    </row>
    <row r="103" spans="1:15" x14ac:dyDescent="0.35">
      <c r="A103">
        <v>8.9</v>
      </c>
      <c r="B103">
        <v>10.8931</v>
      </c>
      <c r="C103" s="2">
        <v>109844</v>
      </c>
      <c r="G103">
        <f t="shared" si="16"/>
        <v>14.9</v>
      </c>
      <c r="H103">
        <f t="shared" si="9"/>
        <v>9.1999999999999993</v>
      </c>
      <c r="I103">
        <f t="shared" si="10"/>
        <v>989.99175999999989</v>
      </c>
      <c r="J103">
        <f t="shared" si="17"/>
        <v>9.8788554260000012</v>
      </c>
      <c r="K103">
        <f t="shared" si="11"/>
        <v>5.0211445739999991</v>
      </c>
      <c r="L103">
        <f t="shared" si="12"/>
        <v>197.16455987471036</v>
      </c>
      <c r="M103">
        <f t="shared" si="13"/>
        <v>557.11837903222136</v>
      </c>
      <c r="N103">
        <f t="shared" si="14"/>
        <v>0.6630104312751679</v>
      </c>
      <c r="O103">
        <f t="shared" si="15"/>
        <v>1.0877033024476168</v>
      </c>
    </row>
    <row r="104" spans="1:15" x14ac:dyDescent="0.35">
      <c r="A104">
        <v>9</v>
      </c>
      <c r="B104">
        <v>10.996600000000001</v>
      </c>
      <c r="C104" s="2">
        <v>112219</v>
      </c>
      <c r="G104">
        <f t="shared" si="16"/>
        <v>14.9</v>
      </c>
      <c r="H104">
        <f t="shared" si="9"/>
        <v>9.1999999999999993</v>
      </c>
      <c r="I104">
        <f t="shared" si="10"/>
        <v>989.99175999999989</v>
      </c>
      <c r="J104">
        <f t="shared" si="17"/>
        <v>9.9604258635000011</v>
      </c>
      <c r="K104">
        <f t="shared" si="11"/>
        <v>4.9395741364999992</v>
      </c>
      <c r="L104">
        <f t="shared" si="12"/>
        <v>200.42046796800821</v>
      </c>
      <c r="M104">
        <f t="shared" si="13"/>
        <v>559.91786237078725</v>
      </c>
      <c r="N104">
        <f t="shared" si="14"/>
        <v>0.66848495728187929</v>
      </c>
      <c r="O104">
        <f t="shared" si="15"/>
        <v>1.1040820926538704</v>
      </c>
    </row>
    <row r="105" spans="1:15" x14ac:dyDescent="0.35">
      <c r="A105">
        <v>9.1</v>
      </c>
      <c r="B105">
        <v>11.1005</v>
      </c>
      <c r="C105" s="2">
        <v>114685</v>
      </c>
      <c r="G105">
        <f t="shared" si="16"/>
        <v>14.9</v>
      </c>
      <c r="H105">
        <f t="shared" si="9"/>
        <v>9.1999999999999993</v>
      </c>
      <c r="I105">
        <f t="shared" si="10"/>
        <v>989.99175999999989</v>
      </c>
      <c r="J105">
        <f t="shared" si="17"/>
        <v>10.041556052500001</v>
      </c>
      <c r="K105">
        <f t="shared" si="11"/>
        <v>4.8584439474999996</v>
      </c>
      <c r="L105">
        <f t="shared" si="12"/>
        <v>203.76724949341406</v>
      </c>
      <c r="M105">
        <f t="shared" si="13"/>
        <v>562.8235169543608</v>
      </c>
      <c r="N105">
        <f t="shared" si="14"/>
        <v>0.67392993640939602</v>
      </c>
      <c r="O105">
        <f t="shared" si="15"/>
        <v>1.1206430017176241</v>
      </c>
    </row>
    <row r="106" spans="1:15" x14ac:dyDescent="0.35">
      <c r="A106">
        <v>9.1999999999999993</v>
      </c>
      <c r="B106">
        <v>11.206899999999999</v>
      </c>
      <c r="C106" s="2">
        <v>117224</v>
      </c>
      <c r="G106">
        <f t="shared" si="16"/>
        <v>14.9</v>
      </c>
      <c r="H106">
        <f t="shared" si="9"/>
        <v>9.1999999999999993</v>
      </c>
      <c r="I106">
        <f t="shared" si="10"/>
        <v>989.99175999999989</v>
      </c>
      <c r="J106">
        <f t="shared" si="17"/>
        <v>10.124512196</v>
      </c>
      <c r="K106">
        <f t="shared" si="11"/>
        <v>4.7754878040000008</v>
      </c>
      <c r="L106">
        <f t="shared" si="12"/>
        <v>207.30693923472529</v>
      </c>
      <c r="M106">
        <f t="shared" si="13"/>
        <v>565.4610522577442</v>
      </c>
      <c r="N106">
        <f t="shared" si="14"/>
        <v>0.67949746281879186</v>
      </c>
      <c r="O106">
        <f t="shared" si="15"/>
        <v>1.137865086330724</v>
      </c>
    </row>
    <row r="107" spans="1:15" x14ac:dyDescent="0.35">
      <c r="A107">
        <v>9.3000000000000007</v>
      </c>
      <c r="B107">
        <v>11.310499999999999</v>
      </c>
      <c r="C107" s="2">
        <v>119858</v>
      </c>
      <c r="G107">
        <f t="shared" si="16"/>
        <v>14.9</v>
      </c>
      <c r="H107">
        <f t="shared" si="9"/>
        <v>9.1999999999999993</v>
      </c>
      <c r="I107">
        <f t="shared" si="10"/>
        <v>989.99175999999989</v>
      </c>
      <c r="J107">
        <f t="shared" si="17"/>
        <v>10.203791157</v>
      </c>
      <c r="K107">
        <f t="shared" si="11"/>
        <v>4.6962088430000009</v>
      </c>
      <c r="L107">
        <f t="shared" si="12"/>
        <v>210.80658741905097</v>
      </c>
      <c r="M107">
        <f t="shared" si="13"/>
        <v>568.56857021142696</v>
      </c>
      <c r="N107">
        <f t="shared" si="14"/>
        <v>0.68481819845637582</v>
      </c>
      <c r="O107">
        <f t="shared" si="15"/>
        <v>1.1546056588846789</v>
      </c>
    </row>
    <row r="108" spans="1:15" x14ac:dyDescent="0.35">
      <c r="A108">
        <v>9.4</v>
      </c>
      <c r="B108">
        <v>11.4137</v>
      </c>
      <c r="C108" s="2">
        <v>122584</v>
      </c>
      <c r="G108">
        <f t="shared" si="16"/>
        <v>14.9</v>
      </c>
      <c r="H108">
        <f t="shared" si="9"/>
        <v>9.1999999999999993</v>
      </c>
      <c r="I108">
        <f t="shared" si="10"/>
        <v>989.99175999999989</v>
      </c>
      <c r="J108">
        <f t="shared" si="17"/>
        <v>10.281820636000001</v>
      </c>
      <c r="K108">
        <f t="shared" si="11"/>
        <v>4.6181793639999995</v>
      </c>
      <c r="L108">
        <f t="shared" si="12"/>
        <v>214.36840840727467</v>
      </c>
      <c r="M108">
        <f t="shared" si="13"/>
        <v>571.83799101173929</v>
      </c>
      <c r="N108">
        <f t="shared" si="14"/>
        <v>0.69005507624161078</v>
      </c>
      <c r="O108">
        <f t="shared" si="15"/>
        <v>1.1713606625828119</v>
      </c>
    </row>
    <row r="109" spans="1:15" x14ac:dyDescent="0.35">
      <c r="A109">
        <v>9.5</v>
      </c>
      <c r="B109">
        <v>11.5175</v>
      </c>
      <c r="C109" s="2">
        <v>125299</v>
      </c>
      <c r="G109">
        <f t="shared" si="16"/>
        <v>14.9</v>
      </c>
      <c r="H109">
        <f t="shared" si="9"/>
        <v>9.1999999999999993</v>
      </c>
      <c r="I109">
        <f t="shared" si="10"/>
        <v>989.99175999999989</v>
      </c>
      <c r="J109">
        <f t="shared" si="17"/>
        <v>10.360551683500001</v>
      </c>
      <c r="K109">
        <f t="shared" si="11"/>
        <v>4.5394483164999997</v>
      </c>
      <c r="L109">
        <f t="shared" si="12"/>
        <v>218.08636005427687</v>
      </c>
      <c r="M109">
        <f t="shared" si="13"/>
        <v>574.53845333938284</v>
      </c>
      <c r="N109">
        <f t="shared" si="14"/>
        <v>0.69533903916107387</v>
      </c>
      <c r="O109">
        <f t="shared" si="15"/>
        <v>1.1885557244712746</v>
      </c>
    </row>
    <row r="110" spans="1:15" x14ac:dyDescent="0.35">
      <c r="A110">
        <v>9.6</v>
      </c>
      <c r="B110">
        <v>11.621499999999999</v>
      </c>
      <c r="C110" s="2">
        <v>128286</v>
      </c>
      <c r="G110">
        <f t="shared" si="16"/>
        <v>14.9</v>
      </c>
      <c r="H110">
        <f t="shared" si="9"/>
        <v>9.1999999999999993</v>
      </c>
      <c r="I110">
        <f t="shared" si="10"/>
        <v>989.99175999999989</v>
      </c>
      <c r="J110">
        <f t="shared" si="17"/>
        <v>10.436971219</v>
      </c>
      <c r="K110">
        <f t="shared" si="11"/>
        <v>4.4630287810000002</v>
      </c>
      <c r="L110">
        <f t="shared" si="12"/>
        <v>221.82060851020978</v>
      </c>
      <c r="M110">
        <f t="shared" si="13"/>
        <v>578.33219763300463</v>
      </c>
      <c r="N110">
        <f t="shared" si="14"/>
        <v>0.70046786704697983</v>
      </c>
      <c r="O110">
        <f t="shared" si="15"/>
        <v>1.2055335785238193</v>
      </c>
    </row>
    <row r="111" spans="1:15" x14ac:dyDescent="0.35">
      <c r="A111">
        <v>9.6999999999999993</v>
      </c>
      <c r="B111">
        <v>11.725</v>
      </c>
      <c r="C111" s="2">
        <v>131428</v>
      </c>
      <c r="G111">
        <f t="shared" si="16"/>
        <v>14.9</v>
      </c>
      <c r="H111">
        <f t="shared" si="9"/>
        <v>9.1999999999999993</v>
      </c>
      <c r="I111">
        <f t="shared" si="10"/>
        <v>989.99175999999989</v>
      </c>
      <c r="J111">
        <f t="shared" si="17"/>
        <v>10.511459561999999</v>
      </c>
      <c r="K111">
        <f t="shared" si="11"/>
        <v>4.3885404380000015</v>
      </c>
      <c r="L111">
        <f t="shared" si="12"/>
        <v>225.58565290358152</v>
      </c>
      <c r="M111">
        <f t="shared" si="13"/>
        <v>582.6079731062249</v>
      </c>
      <c r="N111">
        <f t="shared" si="14"/>
        <v>0.70546708469798647</v>
      </c>
      <c r="O111">
        <f t="shared" si="15"/>
        <v>1.2223645154058345</v>
      </c>
    </row>
    <row r="112" spans="1:15" x14ac:dyDescent="0.35">
      <c r="A112">
        <v>9.8000000000000007</v>
      </c>
      <c r="B112">
        <v>11.8285</v>
      </c>
      <c r="C112" s="2">
        <v>134574</v>
      </c>
      <c r="G112">
        <f t="shared" si="16"/>
        <v>14.9</v>
      </c>
      <c r="H112">
        <f t="shared" si="9"/>
        <v>9.1999999999999993</v>
      </c>
      <c r="I112">
        <f t="shared" si="10"/>
        <v>989.99175999999989</v>
      </c>
      <c r="J112">
        <f t="shared" si="17"/>
        <v>10.585910971000001</v>
      </c>
      <c r="K112">
        <f t="shared" si="11"/>
        <v>4.3140890289999998</v>
      </c>
      <c r="L112">
        <f t="shared" si="12"/>
        <v>229.47875051838665</v>
      </c>
      <c r="M112">
        <f t="shared" si="13"/>
        <v>586.43338303002247</v>
      </c>
      <c r="N112">
        <f t="shared" si="14"/>
        <v>0.71046382355704696</v>
      </c>
      <c r="O112">
        <f t="shared" si="15"/>
        <v>1.2394750279697626</v>
      </c>
    </row>
    <row r="113" spans="1:15" x14ac:dyDescent="0.35">
      <c r="A113">
        <v>9.9</v>
      </c>
      <c r="B113">
        <v>11.931800000000001</v>
      </c>
      <c r="C113" s="2">
        <v>137656</v>
      </c>
      <c r="G113">
        <f t="shared" si="16"/>
        <v>14.9</v>
      </c>
      <c r="H113">
        <f t="shared" si="9"/>
        <v>9.1999999999999993</v>
      </c>
      <c r="I113">
        <f t="shared" si="10"/>
        <v>989.99175999999989</v>
      </c>
      <c r="J113">
        <f t="shared" si="17"/>
        <v>10.660753324000002</v>
      </c>
      <c r="K113">
        <f t="shared" si="11"/>
        <v>4.2392466759999987</v>
      </c>
      <c r="L113">
        <f t="shared" si="12"/>
        <v>233.5301141131331</v>
      </c>
      <c r="M113">
        <f t="shared" si="13"/>
        <v>589.45716925104091</v>
      </c>
      <c r="N113">
        <f t="shared" si="14"/>
        <v>0.71548680026845646</v>
      </c>
      <c r="O113">
        <f t="shared" si="15"/>
        <v>1.2569756302475825</v>
      </c>
    </row>
    <row r="114" spans="1:15" x14ac:dyDescent="0.35">
      <c r="A114">
        <v>10</v>
      </c>
      <c r="B114">
        <v>12.038399999999999</v>
      </c>
      <c r="C114" s="2">
        <v>141225</v>
      </c>
      <c r="G114">
        <f t="shared" si="16"/>
        <v>14.9</v>
      </c>
      <c r="H114">
        <f t="shared" si="9"/>
        <v>9.1999999999999993</v>
      </c>
      <c r="I114">
        <f t="shared" si="10"/>
        <v>989.99175999999989</v>
      </c>
      <c r="J114">
        <f t="shared" si="17"/>
        <v>10.734398962499998</v>
      </c>
      <c r="K114">
        <f t="shared" si="11"/>
        <v>4.1656010375000019</v>
      </c>
      <c r="L114">
        <f t="shared" si="12"/>
        <v>237.65880387675014</v>
      </c>
      <c r="M114">
        <f t="shared" si="13"/>
        <v>594.23424546577826</v>
      </c>
      <c r="N114">
        <f t="shared" si="14"/>
        <v>0.72042946057046964</v>
      </c>
      <c r="O114">
        <f t="shared" si="15"/>
        <v>1.2745006410211315</v>
      </c>
    </row>
    <row r="115" spans="1:15" x14ac:dyDescent="0.35">
      <c r="A115">
        <v>10.1</v>
      </c>
      <c r="B115">
        <v>12.2432</v>
      </c>
      <c r="C115" s="2">
        <v>148252</v>
      </c>
      <c r="G115">
        <f t="shared" si="16"/>
        <v>14.9</v>
      </c>
      <c r="H115">
        <f t="shared" si="9"/>
        <v>9.1999999999999993</v>
      </c>
      <c r="I115">
        <f t="shared" si="10"/>
        <v>989.99175999999989</v>
      </c>
      <c r="J115">
        <f t="shared" si="17"/>
        <v>10.874315158</v>
      </c>
      <c r="K115">
        <f t="shared" si="11"/>
        <v>4.0256848420000004</v>
      </c>
      <c r="L115">
        <f t="shared" si="12"/>
        <v>245.91884334099092</v>
      </c>
      <c r="M115">
        <f t="shared" si="13"/>
        <v>602.84928957003046</v>
      </c>
      <c r="N115">
        <f t="shared" si="14"/>
        <v>0.72981980926174495</v>
      </c>
      <c r="O115">
        <f t="shared" si="15"/>
        <v>1.3086661694735142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UTS-R-250</dc:creator>
  <cp:lastModifiedBy>Зульфия</cp:lastModifiedBy>
  <dcterms:created xsi:type="dcterms:W3CDTF">2025-11-28T13:11:03Z</dcterms:created>
  <dcterms:modified xsi:type="dcterms:W3CDTF">2025-12-04T20:13:30Z</dcterms:modified>
</cp:coreProperties>
</file>