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Зульфия\Desktop\Бамонка\Зульфия\New0412\"/>
    </mc:Choice>
  </mc:AlternateContent>
  <xr:revisionPtr revIDLastSave="0" documentId="8_{F38B6D2B-D732-4F47-ABC2-F31BE92B9225}" xr6:coauthVersionLast="45" xr6:coauthVersionMax="45" xr10:uidLastSave="{00000000-0000-0000-0000-000000000000}"/>
  <bookViews>
    <workbookView xWindow="-110" yWindow="-110" windowWidth="25420" windowHeight="1630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57" i="1" l="1"/>
  <c r="K58" i="1"/>
  <c r="K59" i="1"/>
  <c r="K76" i="1"/>
  <c r="K77" i="1"/>
  <c r="K78" i="1"/>
  <c r="K79" i="1"/>
  <c r="K80" i="1"/>
  <c r="K88" i="1"/>
  <c r="K89" i="1"/>
  <c r="K90" i="1"/>
  <c r="K91" i="1"/>
  <c r="J57" i="1"/>
  <c r="J58" i="1"/>
  <c r="J59" i="1"/>
  <c r="J60" i="1"/>
  <c r="J61" i="1"/>
  <c r="J62" i="1"/>
  <c r="J63" i="1"/>
  <c r="J64" i="1"/>
  <c r="J65" i="1"/>
  <c r="N65" i="1" s="1"/>
  <c r="J66" i="1"/>
  <c r="N66" i="1" s="1"/>
  <c r="J67" i="1"/>
  <c r="N67" i="1" s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N85" i="1" s="1"/>
  <c r="J86" i="1"/>
  <c r="N86" i="1" s="1"/>
  <c r="J87" i="1"/>
  <c r="N87" i="1" s="1"/>
  <c r="J88" i="1"/>
  <c r="J89" i="1"/>
  <c r="J90" i="1"/>
  <c r="J91" i="1"/>
  <c r="J92" i="1"/>
  <c r="J93" i="1"/>
  <c r="J94" i="1"/>
  <c r="J95" i="1"/>
  <c r="J96" i="1"/>
  <c r="K96" i="1" s="1"/>
  <c r="J97" i="1"/>
  <c r="K97" i="1" s="1"/>
  <c r="J98" i="1"/>
  <c r="K98" i="1" s="1"/>
  <c r="J99" i="1"/>
  <c r="K99" i="1" s="1"/>
  <c r="J100" i="1"/>
  <c r="K100" i="1" s="1"/>
  <c r="J101" i="1"/>
  <c r="J102" i="1"/>
  <c r="J103" i="1"/>
  <c r="J104" i="1"/>
  <c r="J105" i="1"/>
  <c r="N105" i="1" s="1"/>
  <c r="I57" i="1"/>
  <c r="L57" i="1" s="1"/>
  <c r="I58" i="1"/>
  <c r="L58" i="1" s="1"/>
  <c r="I87" i="1"/>
  <c r="I88" i="1"/>
  <c r="L88" i="1" s="1"/>
  <c r="M88" i="1" s="1"/>
  <c r="H57" i="1"/>
  <c r="H58" i="1"/>
  <c r="H59" i="1"/>
  <c r="I59" i="1" s="1"/>
  <c r="L59" i="1" s="1"/>
  <c r="H60" i="1"/>
  <c r="I60" i="1" s="1"/>
  <c r="H61" i="1"/>
  <c r="I61" i="1" s="1"/>
  <c r="H62" i="1"/>
  <c r="I62" i="1" s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I76" i="1" s="1"/>
  <c r="L76" i="1" s="1"/>
  <c r="H77" i="1"/>
  <c r="I77" i="1" s="1"/>
  <c r="L77" i="1" s="1"/>
  <c r="H78" i="1"/>
  <c r="I78" i="1" s="1"/>
  <c r="L78" i="1" s="1"/>
  <c r="H79" i="1"/>
  <c r="I79" i="1" s="1"/>
  <c r="L79" i="1" s="1"/>
  <c r="H80" i="1"/>
  <c r="I80" i="1" s="1"/>
  <c r="L80" i="1" s="1"/>
  <c r="H81" i="1"/>
  <c r="I81" i="1" s="1"/>
  <c r="H82" i="1"/>
  <c r="I82" i="1" s="1"/>
  <c r="H83" i="1"/>
  <c r="H84" i="1"/>
  <c r="H85" i="1"/>
  <c r="H86" i="1"/>
  <c r="H87" i="1"/>
  <c r="H88" i="1"/>
  <c r="H89" i="1"/>
  <c r="I89" i="1" s="1"/>
  <c r="L89" i="1" s="1"/>
  <c r="M89" i="1" s="1"/>
  <c r="H90" i="1"/>
  <c r="I90" i="1" s="1"/>
  <c r="H91" i="1"/>
  <c r="I91" i="1" s="1"/>
  <c r="H92" i="1"/>
  <c r="I92" i="1" s="1"/>
  <c r="H93" i="1"/>
  <c r="I93" i="1" s="1"/>
  <c r="H94" i="1"/>
  <c r="H95" i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H104" i="1"/>
  <c r="H105" i="1"/>
  <c r="G57" i="1"/>
  <c r="G58" i="1"/>
  <c r="G59" i="1"/>
  <c r="G60" i="1"/>
  <c r="G61" i="1"/>
  <c r="G62" i="1"/>
  <c r="G63" i="1"/>
  <c r="G64" i="1"/>
  <c r="G65" i="1"/>
  <c r="I65" i="1" s="1"/>
  <c r="G66" i="1"/>
  <c r="I66" i="1" s="1"/>
  <c r="G67" i="1"/>
  <c r="K67" i="1" s="1"/>
  <c r="G68" i="1"/>
  <c r="N68" i="1" s="1"/>
  <c r="G69" i="1"/>
  <c r="N69" i="1" s="1"/>
  <c r="G70" i="1"/>
  <c r="N70" i="1" s="1"/>
  <c r="G71" i="1"/>
  <c r="N71" i="1" s="1"/>
  <c r="G72" i="1"/>
  <c r="N72" i="1" s="1"/>
  <c r="G73" i="1"/>
  <c r="N73" i="1" s="1"/>
  <c r="G74" i="1"/>
  <c r="N74" i="1" s="1"/>
  <c r="G75" i="1"/>
  <c r="N75" i="1" s="1"/>
  <c r="G76" i="1"/>
  <c r="G77" i="1"/>
  <c r="G78" i="1"/>
  <c r="G79" i="1"/>
  <c r="G80" i="1"/>
  <c r="G81" i="1"/>
  <c r="G82" i="1"/>
  <c r="G83" i="1"/>
  <c r="G84" i="1"/>
  <c r="G85" i="1"/>
  <c r="I85" i="1" s="1"/>
  <c r="G86" i="1"/>
  <c r="I86" i="1" s="1"/>
  <c r="G87" i="1"/>
  <c r="G88" i="1"/>
  <c r="N88" i="1" s="1"/>
  <c r="G89" i="1"/>
  <c r="N89" i="1" s="1"/>
  <c r="G90" i="1"/>
  <c r="N90" i="1" s="1"/>
  <c r="G91" i="1"/>
  <c r="N91" i="1" s="1"/>
  <c r="G92" i="1"/>
  <c r="N92" i="1" s="1"/>
  <c r="G93" i="1"/>
  <c r="N93" i="1" s="1"/>
  <c r="G94" i="1"/>
  <c r="N94" i="1" s="1"/>
  <c r="G95" i="1"/>
  <c r="N95" i="1" s="1"/>
  <c r="G96" i="1"/>
  <c r="G97" i="1"/>
  <c r="G98" i="1"/>
  <c r="G99" i="1"/>
  <c r="G100" i="1"/>
  <c r="G101" i="1"/>
  <c r="G102" i="1"/>
  <c r="G103" i="1"/>
  <c r="G104" i="1"/>
  <c r="G105" i="1"/>
  <c r="I105" i="1" s="1"/>
  <c r="J56" i="1"/>
  <c r="H56" i="1"/>
  <c r="G56" i="1"/>
  <c r="K56" i="1" s="1"/>
  <c r="J55" i="1"/>
  <c r="H55" i="1"/>
  <c r="G55" i="1"/>
  <c r="K55" i="1" s="1"/>
  <c r="J54" i="1"/>
  <c r="H54" i="1"/>
  <c r="G54" i="1"/>
  <c r="K54" i="1" s="1"/>
  <c r="J53" i="1"/>
  <c r="H53" i="1"/>
  <c r="G53" i="1"/>
  <c r="J52" i="1"/>
  <c r="H52" i="1"/>
  <c r="G52" i="1"/>
  <c r="K52" i="1" s="1"/>
  <c r="J51" i="1"/>
  <c r="H51" i="1"/>
  <c r="G51" i="1"/>
  <c r="K51" i="1" s="1"/>
  <c r="J50" i="1"/>
  <c r="N50" i="1" s="1"/>
  <c r="H50" i="1"/>
  <c r="G50" i="1"/>
  <c r="J49" i="1"/>
  <c r="H49" i="1"/>
  <c r="G49" i="1"/>
  <c r="K49" i="1" s="1"/>
  <c r="J48" i="1"/>
  <c r="H48" i="1"/>
  <c r="G48" i="1"/>
  <c r="J47" i="1"/>
  <c r="H47" i="1"/>
  <c r="G47" i="1"/>
  <c r="J46" i="1"/>
  <c r="H46" i="1"/>
  <c r="G46" i="1"/>
  <c r="K46" i="1" s="1"/>
  <c r="J45" i="1"/>
  <c r="H45" i="1"/>
  <c r="G45" i="1"/>
  <c r="K45" i="1" s="1"/>
  <c r="J44" i="1"/>
  <c r="H44" i="1"/>
  <c r="G44" i="1"/>
  <c r="K44" i="1" s="1"/>
  <c r="J43" i="1"/>
  <c r="H43" i="1"/>
  <c r="G43" i="1"/>
  <c r="K43" i="1" s="1"/>
  <c r="J42" i="1"/>
  <c r="H42" i="1"/>
  <c r="G42" i="1"/>
  <c r="K42" i="1" s="1"/>
  <c r="J41" i="1"/>
  <c r="H41" i="1"/>
  <c r="G41" i="1"/>
  <c r="N41" i="1" s="1"/>
  <c r="J40" i="1"/>
  <c r="H40" i="1"/>
  <c r="G40" i="1"/>
  <c r="J39" i="1"/>
  <c r="H39" i="1"/>
  <c r="I39" i="1" s="1"/>
  <c r="G39" i="1"/>
  <c r="J38" i="1"/>
  <c r="H38" i="1"/>
  <c r="G38" i="1"/>
  <c r="K38" i="1" s="1"/>
  <c r="J37" i="1"/>
  <c r="H37" i="1"/>
  <c r="G37" i="1"/>
  <c r="I37" i="1" s="1"/>
  <c r="J36" i="1"/>
  <c r="H36" i="1"/>
  <c r="G36" i="1"/>
  <c r="K36" i="1" s="1"/>
  <c r="J35" i="1"/>
  <c r="H35" i="1"/>
  <c r="G35" i="1"/>
  <c r="K35" i="1" s="1"/>
  <c r="J34" i="1"/>
  <c r="H34" i="1"/>
  <c r="G34" i="1"/>
  <c r="J33" i="1"/>
  <c r="H33" i="1"/>
  <c r="G33" i="1"/>
  <c r="K33" i="1" s="1"/>
  <c r="J32" i="1"/>
  <c r="H32" i="1"/>
  <c r="G32" i="1"/>
  <c r="K32" i="1" s="1"/>
  <c r="J31" i="1"/>
  <c r="H31" i="1"/>
  <c r="G31" i="1"/>
  <c r="K31" i="1" s="1"/>
  <c r="J30" i="1"/>
  <c r="H30" i="1"/>
  <c r="G30" i="1"/>
  <c r="J29" i="1"/>
  <c r="H29" i="1"/>
  <c r="G29" i="1"/>
  <c r="K29" i="1" s="1"/>
  <c r="J28" i="1"/>
  <c r="H28" i="1"/>
  <c r="G28" i="1"/>
  <c r="J27" i="1"/>
  <c r="N27" i="1" s="1"/>
  <c r="H27" i="1"/>
  <c r="G27" i="1"/>
  <c r="J26" i="1"/>
  <c r="H26" i="1"/>
  <c r="G26" i="1"/>
  <c r="K26" i="1" s="1"/>
  <c r="J25" i="1"/>
  <c r="H25" i="1"/>
  <c r="G25" i="1"/>
  <c r="K25" i="1" s="1"/>
  <c r="J24" i="1"/>
  <c r="H24" i="1"/>
  <c r="G24" i="1"/>
  <c r="K24" i="1" s="1"/>
  <c r="J23" i="1"/>
  <c r="H23" i="1"/>
  <c r="G23" i="1"/>
  <c r="K23" i="1" s="1"/>
  <c r="J22" i="1"/>
  <c r="H22" i="1"/>
  <c r="G22" i="1"/>
  <c r="K22" i="1" s="1"/>
  <c r="J21" i="1"/>
  <c r="N21" i="1" s="1"/>
  <c r="H21" i="1"/>
  <c r="I21" i="1" s="1"/>
  <c r="G21" i="1"/>
  <c r="J20" i="1"/>
  <c r="H20" i="1"/>
  <c r="G20" i="1"/>
  <c r="K20" i="1" s="1"/>
  <c r="J19" i="1"/>
  <c r="H19" i="1"/>
  <c r="G19" i="1"/>
  <c r="K19" i="1" s="1"/>
  <c r="J18" i="1"/>
  <c r="H18" i="1"/>
  <c r="G18" i="1"/>
  <c r="K18" i="1" s="1"/>
  <c r="J17" i="1"/>
  <c r="H17" i="1"/>
  <c r="G17" i="1"/>
  <c r="K17" i="1" s="1"/>
  <c r="J16" i="1"/>
  <c r="H16" i="1"/>
  <c r="G16" i="1"/>
  <c r="K16" i="1" s="1"/>
  <c r="J15" i="1"/>
  <c r="H15" i="1"/>
  <c r="G15" i="1"/>
  <c r="K15" i="1" s="1"/>
  <c r="J14" i="1"/>
  <c r="H14" i="1"/>
  <c r="G14" i="1"/>
  <c r="L99" i="1" l="1"/>
  <c r="L93" i="1"/>
  <c r="L100" i="1"/>
  <c r="O100" i="1" s="1"/>
  <c r="L98" i="1"/>
  <c r="L97" i="1"/>
  <c r="M97" i="1" s="1"/>
  <c r="L96" i="1"/>
  <c r="O96" i="1" s="1"/>
  <c r="I15" i="1"/>
  <c r="L15" i="1" s="1"/>
  <c r="K21" i="1"/>
  <c r="L21" i="1" s="1"/>
  <c r="L90" i="1"/>
  <c r="K87" i="1"/>
  <c r="L87" i="1" s="1"/>
  <c r="I49" i="1"/>
  <c r="L49" i="1" s="1"/>
  <c r="N36" i="1"/>
  <c r="N30" i="1"/>
  <c r="N56" i="1"/>
  <c r="I73" i="1"/>
  <c r="I64" i="1"/>
  <c r="I63" i="1"/>
  <c r="K82" i="1"/>
  <c r="L82" i="1" s="1"/>
  <c r="K72" i="1"/>
  <c r="K81" i="1"/>
  <c r="L81" i="1" s="1"/>
  <c r="N80" i="1"/>
  <c r="I20" i="1"/>
  <c r="L20" i="1" s="1"/>
  <c r="N99" i="1"/>
  <c r="N79" i="1"/>
  <c r="K95" i="1"/>
  <c r="K69" i="1"/>
  <c r="K14" i="1"/>
  <c r="L14" i="1" s="1"/>
  <c r="N39" i="1"/>
  <c r="N98" i="1"/>
  <c r="N78" i="1"/>
  <c r="N58" i="1"/>
  <c r="K94" i="1"/>
  <c r="K68" i="1"/>
  <c r="K75" i="1"/>
  <c r="I84" i="1"/>
  <c r="I71" i="1"/>
  <c r="K74" i="1"/>
  <c r="I83" i="1"/>
  <c r="I70" i="1"/>
  <c r="K73" i="1"/>
  <c r="I25" i="1"/>
  <c r="I51" i="1"/>
  <c r="K62" i="1"/>
  <c r="L62" i="1" s="1"/>
  <c r="N51" i="1"/>
  <c r="K61" i="1"/>
  <c r="I68" i="1"/>
  <c r="K71" i="1"/>
  <c r="L71" i="1" s="1"/>
  <c r="N100" i="1"/>
  <c r="N60" i="1"/>
  <c r="I67" i="1"/>
  <c r="L67" i="1" s="1"/>
  <c r="O67" i="1" s="1"/>
  <c r="K70" i="1"/>
  <c r="L70" i="1" s="1"/>
  <c r="M70" i="1" s="1"/>
  <c r="N59" i="1"/>
  <c r="K27" i="1"/>
  <c r="K40" i="1"/>
  <c r="K53" i="1"/>
  <c r="N97" i="1"/>
  <c r="N77" i="1"/>
  <c r="N57" i="1"/>
  <c r="K93" i="1"/>
  <c r="L91" i="1"/>
  <c r="I72" i="1"/>
  <c r="L72" i="1" s="1"/>
  <c r="O72" i="1" s="1"/>
  <c r="I104" i="1"/>
  <c r="I38" i="1"/>
  <c r="I103" i="1"/>
  <c r="K102" i="1"/>
  <c r="L102" i="1" s="1"/>
  <c r="I69" i="1"/>
  <c r="L69" i="1" s="1"/>
  <c r="M69" i="1" s="1"/>
  <c r="K101" i="1"/>
  <c r="L101" i="1" s="1"/>
  <c r="K34" i="1"/>
  <c r="K47" i="1"/>
  <c r="N96" i="1"/>
  <c r="N76" i="1"/>
  <c r="K92" i="1"/>
  <c r="L92" i="1" s="1"/>
  <c r="K60" i="1"/>
  <c r="L60" i="1" s="1"/>
  <c r="M79" i="1"/>
  <c r="O79" i="1"/>
  <c r="M99" i="1"/>
  <c r="O99" i="1"/>
  <c r="O57" i="1"/>
  <c r="M57" i="1"/>
  <c r="L66" i="1"/>
  <c r="L84" i="1"/>
  <c r="L19" i="1"/>
  <c r="M19" i="1" s="1"/>
  <c r="L63" i="1"/>
  <c r="O98" i="1"/>
  <c r="M98" i="1"/>
  <c r="M80" i="1"/>
  <c r="O80" i="1"/>
  <c r="O77" i="1"/>
  <c r="M77" i="1"/>
  <c r="M93" i="1"/>
  <c r="O93" i="1"/>
  <c r="O91" i="1"/>
  <c r="M91" i="1"/>
  <c r="M76" i="1"/>
  <c r="O76" i="1"/>
  <c r="M71" i="1"/>
  <c r="O71" i="1"/>
  <c r="O78" i="1"/>
  <c r="M78" i="1"/>
  <c r="O58" i="1"/>
  <c r="M58" i="1"/>
  <c r="L61" i="1"/>
  <c r="M90" i="1"/>
  <c r="O90" i="1"/>
  <c r="M59" i="1"/>
  <c r="O59" i="1"/>
  <c r="I40" i="1"/>
  <c r="I52" i="1"/>
  <c r="L52" i="1" s="1"/>
  <c r="O52" i="1" s="1"/>
  <c r="I46" i="1"/>
  <c r="L46" i="1" s="1"/>
  <c r="I23" i="1"/>
  <c r="L23" i="1" s="1"/>
  <c r="N29" i="1"/>
  <c r="N101" i="1"/>
  <c r="N81" i="1"/>
  <c r="N61" i="1"/>
  <c r="I18" i="1"/>
  <c r="L18" i="1" s="1"/>
  <c r="K41" i="1"/>
  <c r="I47" i="1"/>
  <c r="I95" i="1"/>
  <c r="L95" i="1" s="1"/>
  <c r="I75" i="1"/>
  <c r="L75" i="1" s="1"/>
  <c r="O89" i="1"/>
  <c r="O69" i="1"/>
  <c r="N18" i="1"/>
  <c r="N23" i="1"/>
  <c r="I30" i="1"/>
  <c r="L30" i="1" s="1"/>
  <c r="I36" i="1"/>
  <c r="L36" i="1" s="1"/>
  <c r="N47" i="1"/>
  <c r="I94" i="1"/>
  <c r="I74" i="1"/>
  <c r="O88" i="1"/>
  <c r="I45" i="1"/>
  <c r="L45" i="1" s="1"/>
  <c r="N28" i="1"/>
  <c r="N64" i="1"/>
  <c r="N83" i="1"/>
  <c r="I29" i="1"/>
  <c r="L29" i="1" s="1"/>
  <c r="N82" i="1"/>
  <c r="I19" i="1"/>
  <c r="I31" i="1"/>
  <c r="L31" i="1" s="1"/>
  <c r="I42" i="1"/>
  <c r="L42" i="1" s="1"/>
  <c r="N48" i="1"/>
  <c r="N19" i="1"/>
  <c r="N31" i="1"/>
  <c r="N42" i="1"/>
  <c r="N54" i="1"/>
  <c r="N45" i="1"/>
  <c r="I54" i="1"/>
  <c r="L54" i="1" s="1"/>
  <c r="N37" i="1"/>
  <c r="I14" i="1"/>
  <c r="N25" i="1"/>
  <c r="I32" i="1"/>
  <c r="L32" i="1" s="1"/>
  <c r="I43" i="1"/>
  <c r="L43" i="1" s="1"/>
  <c r="N49" i="1"/>
  <c r="I55" i="1"/>
  <c r="L55" i="1" s="1"/>
  <c r="O55" i="1" s="1"/>
  <c r="K86" i="1"/>
  <c r="L86" i="1" s="1"/>
  <c r="K66" i="1"/>
  <c r="N34" i="1"/>
  <c r="N22" i="1"/>
  <c r="I35" i="1"/>
  <c r="L35" i="1" s="1"/>
  <c r="M35" i="1" s="1"/>
  <c r="K105" i="1"/>
  <c r="L105" i="1" s="1"/>
  <c r="K85" i="1"/>
  <c r="L85" i="1" s="1"/>
  <c r="K65" i="1"/>
  <c r="L65" i="1" s="1"/>
  <c r="N16" i="1"/>
  <c r="N84" i="1"/>
  <c r="N103" i="1"/>
  <c r="N62" i="1"/>
  <c r="N14" i="1"/>
  <c r="N20" i="1"/>
  <c r="I26" i="1"/>
  <c r="L26" i="1" s="1"/>
  <c r="O26" i="1" s="1"/>
  <c r="N32" i="1"/>
  <c r="N38" i="1"/>
  <c r="N43" i="1"/>
  <c r="I50" i="1"/>
  <c r="K104" i="1"/>
  <c r="L104" i="1" s="1"/>
  <c r="K84" i="1"/>
  <c r="K64" i="1"/>
  <c r="L64" i="1" s="1"/>
  <c r="I16" i="1"/>
  <c r="L16" i="1" s="1"/>
  <c r="I22" i="1"/>
  <c r="L22" i="1" s="1"/>
  <c r="I17" i="1"/>
  <c r="L17" i="1" s="1"/>
  <c r="N52" i="1"/>
  <c r="I48" i="1"/>
  <c r="L48" i="1" s="1"/>
  <c r="K50" i="1"/>
  <c r="I56" i="1"/>
  <c r="L56" i="1" s="1"/>
  <c r="K103" i="1"/>
  <c r="L103" i="1" s="1"/>
  <c r="K83" i="1"/>
  <c r="L83" i="1" s="1"/>
  <c r="K63" i="1"/>
  <c r="N63" i="1"/>
  <c r="I34" i="1"/>
  <c r="I28" i="1"/>
  <c r="N40" i="1"/>
  <c r="N104" i="1"/>
  <c r="I41" i="1"/>
  <c r="N102" i="1"/>
  <c r="I27" i="1"/>
  <c r="O46" i="1"/>
  <c r="M46" i="1"/>
  <c r="M26" i="1"/>
  <c r="O32" i="1"/>
  <c r="M32" i="1"/>
  <c r="O15" i="1"/>
  <c r="M15" i="1"/>
  <c r="K28" i="1"/>
  <c r="K37" i="1"/>
  <c r="L37" i="1" s="1"/>
  <c r="N46" i="1"/>
  <c r="N15" i="1"/>
  <c r="I24" i="1"/>
  <c r="L24" i="1" s="1"/>
  <c r="I33" i="1"/>
  <c r="L33" i="1" s="1"/>
  <c r="L38" i="1"/>
  <c r="L51" i="1"/>
  <c r="N55" i="1"/>
  <c r="N24" i="1"/>
  <c r="N33" i="1"/>
  <c r="L25" i="1"/>
  <c r="L34" i="1"/>
  <c r="K30" i="1"/>
  <c r="K39" i="1"/>
  <c r="L39" i="1" s="1"/>
  <c r="N17" i="1"/>
  <c r="K48" i="1"/>
  <c r="N26" i="1"/>
  <c r="N35" i="1"/>
  <c r="L40" i="1"/>
  <c r="I44" i="1"/>
  <c r="L44" i="1" s="1"/>
  <c r="I53" i="1"/>
  <c r="L53" i="1" s="1"/>
  <c r="N44" i="1"/>
  <c r="N53" i="1"/>
  <c r="I11" i="1"/>
  <c r="M81" i="1" l="1"/>
  <c r="O81" i="1"/>
  <c r="M82" i="1"/>
  <c r="O82" i="1"/>
  <c r="M60" i="1"/>
  <c r="O60" i="1"/>
  <c r="M92" i="1"/>
  <c r="O92" i="1"/>
  <c r="M87" i="1"/>
  <c r="O87" i="1"/>
  <c r="M21" i="1"/>
  <c r="O21" i="1"/>
  <c r="M101" i="1"/>
  <c r="O101" i="1"/>
  <c r="O102" i="1"/>
  <c r="M102" i="1"/>
  <c r="O70" i="1"/>
  <c r="M67" i="1"/>
  <c r="L47" i="1"/>
  <c r="O47" i="1" s="1"/>
  <c r="L27" i="1"/>
  <c r="O27" i="1" s="1"/>
  <c r="M72" i="1"/>
  <c r="O97" i="1"/>
  <c r="M100" i="1"/>
  <c r="L74" i="1"/>
  <c r="L73" i="1"/>
  <c r="L68" i="1"/>
  <c r="M96" i="1"/>
  <c r="L94" i="1"/>
  <c r="M64" i="1"/>
  <c r="O64" i="1"/>
  <c r="M86" i="1"/>
  <c r="O86" i="1"/>
  <c r="M104" i="1"/>
  <c r="O104" i="1"/>
  <c r="M103" i="1"/>
  <c r="O103" i="1"/>
  <c r="M65" i="1"/>
  <c r="O65" i="1"/>
  <c r="M83" i="1"/>
  <c r="O83" i="1"/>
  <c r="M55" i="1"/>
  <c r="L41" i="1"/>
  <c r="M75" i="1"/>
  <c r="O75" i="1"/>
  <c r="M62" i="1"/>
  <c r="O62" i="1"/>
  <c r="O19" i="1"/>
  <c r="O35" i="1"/>
  <c r="O74" i="1"/>
  <c r="M74" i="1"/>
  <c r="M95" i="1"/>
  <c r="O95" i="1"/>
  <c r="M94" i="1"/>
  <c r="O94" i="1"/>
  <c r="M105" i="1"/>
  <c r="O105" i="1"/>
  <c r="M52" i="1"/>
  <c r="O66" i="1"/>
  <c r="M66" i="1"/>
  <c r="M84" i="1"/>
  <c r="O84" i="1"/>
  <c r="L50" i="1"/>
  <c r="M63" i="1"/>
  <c r="O63" i="1"/>
  <c r="M85" i="1"/>
  <c r="O85" i="1"/>
  <c r="M61" i="1"/>
  <c r="O61" i="1"/>
  <c r="L28" i="1"/>
  <c r="O39" i="1"/>
  <c r="M39" i="1"/>
  <c r="O28" i="1"/>
  <c r="M28" i="1"/>
  <c r="O51" i="1"/>
  <c r="M51" i="1"/>
  <c r="M38" i="1"/>
  <c r="O38" i="1"/>
  <c r="M33" i="1"/>
  <c r="O33" i="1"/>
  <c r="O30" i="1"/>
  <c r="M30" i="1"/>
  <c r="O31" i="1"/>
  <c r="M31" i="1"/>
  <c r="O29" i="1"/>
  <c r="M29" i="1"/>
  <c r="M18" i="1"/>
  <c r="O18" i="1"/>
  <c r="M24" i="1"/>
  <c r="O24" i="1"/>
  <c r="O20" i="1"/>
  <c r="M20" i="1"/>
  <c r="O17" i="1"/>
  <c r="M17" i="1"/>
  <c r="O23" i="1"/>
  <c r="M23" i="1"/>
  <c r="O22" i="1"/>
  <c r="M22" i="1"/>
  <c r="M53" i="1"/>
  <c r="O53" i="1"/>
  <c r="M44" i="1"/>
  <c r="O44" i="1"/>
  <c r="O40" i="1"/>
  <c r="M40" i="1"/>
  <c r="M49" i="1"/>
  <c r="O49" i="1"/>
  <c r="M54" i="1"/>
  <c r="O54" i="1"/>
  <c r="M45" i="1"/>
  <c r="O45" i="1"/>
  <c r="O43" i="1"/>
  <c r="M43" i="1"/>
  <c r="M34" i="1"/>
  <c r="O34" i="1"/>
  <c r="M37" i="1"/>
  <c r="O37" i="1"/>
  <c r="M14" i="1"/>
  <c r="O14" i="1"/>
  <c r="M25" i="1"/>
  <c r="O25" i="1"/>
  <c r="O36" i="1"/>
  <c r="M36" i="1"/>
  <c r="O56" i="1"/>
  <c r="M56" i="1"/>
  <c r="M48" i="1"/>
  <c r="O48" i="1"/>
  <c r="O16" i="1"/>
  <c r="M16" i="1"/>
  <c r="O42" i="1"/>
  <c r="M42" i="1"/>
  <c r="M27" i="1" l="1"/>
  <c r="M47" i="1"/>
  <c r="M73" i="1"/>
  <c r="O73" i="1"/>
  <c r="M68" i="1"/>
  <c r="O68" i="1"/>
  <c r="O41" i="1"/>
  <c r="M41" i="1"/>
  <c r="O50" i="1"/>
  <c r="M50" i="1"/>
</calcChain>
</file>

<file path=xl/sharedStrings.xml><?xml version="1.0" encoding="utf-8"?>
<sst xmlns="http://schemas.openxmlformats.org/spreadsheetml/2006/main" count="34" uniqueCount="31">
  <si>
    <t>Файл</t>
  </si>
  <si>
    <t>C:\Testsystems\Metal\Tests\Зульфия\холодная_быстрая\31.10.2025_20_50\31.10.2025_20_50.001.rez</t>
  </si>
  <si>
    <t>Вид испытания</t>
  </si>
  <si>
    <t>сжатие</t>
  </si>
  <si>
    <t>Дата</t>
  </si>
  <si>
    <t>31 Октябрь 2025 г.</t>
  </si>
  <si>
    <t>Скорость [мм/мин]</t>
  </si>
  <si>
    <t>Форма</t>
  </si>
  <si>
    <t>Круглый</t>
  </si>
  <si>
    <t>Начальные размеры: [мм]</t>
  </si>
  <si>
    <t>Диаметр</t>
  </si>
  <si>
    <t>Толщина</t>
  </si>
  <si>
    <t>Ширина</t>
  </si>
  <si>
    <t>Длина</t>
  </si>
  <si>
    <t>База</t>
  </si>
  <si>
    <t>Расч.дл</t>
  </si>
  <si>
    <t>Размеры после испытания: [мм]</t>
  </si>
  <si>
    <t>Количество точек</t>
  </si>
  <si>
    <t>Время [с]</t>
  </si>
  <si>
    <t>Перемещение [мм]</t>
  </si>
  <si>
    <t>Усилие [Н]</t>
  </si>
  <si>
    <t>H0</t>
  </si>
  <si>
    <t>D0</t>
  </si>
  <si>
    <t>V</t>
  </si>
  <si>
    <t>Hк</t>
  </si>
  <si>
    <t>∆H оконч, мм</t>
  </si>
  <si>
    <t xml:space="preserve"> Hi оконч, мм</t>
  </si>
  <si>
    <t>Si, мм2</t>
  </si>
  <si>
    <t>σi, МПа</t>
  </si>
  <si>
    <t>ε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</si>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</sst>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Лист1!$N$14:$N$105</c:f>
              <c:numCache>
                <c:formatCode>General</c:formatCode>
                <c:ptCount val="92"/>
                <c:pt idx="0">
                  <c:v>0</c:v>
                </c:pt>
                <c:pt idx="1">
                  <c:v>2.3993828866666667E-2</c:v>
                </c:pt>
                <c:pt idx="2">
                  <c:v>4.8386419333333333E-2</c:v>
                </c:pt>
                <c:pt idx="3">
                  <c:v>5.0605384033333339E-2</c:v>
                </c:pt>
                <c:pt idx="4">
                  <c:v>6.6087704766666672E-2</c:v>
                </c:pt>
                <c:pt idx="5">
                  <c:v>7.2299536733333322E-2</c:v>
                </c:pt>
                <c:pt idx="6">
                  <c:v>7.8737524366666659E-2</c:v>
                </c:pt>
                <c:pt idx="7">
                  <c:v>8.4895186466666675E-2</c:v>
                </c:pt>
                <c:pt idx="8">
                  <c:v>9.1160770033333324E-2</c:v>
                </c:pt>
                <c:pt idx="9">
                  <c:v>9.7375796233333325E-2</c:v>
                </c:pt>
                <c:pt idx="10">
                  <c:v>0.10986985573333333</c:v>
                </c:pt>
                <c:pt idx="11">
                  <c:v>0.11612129309999999</c:v>
                </c:pt>
                <c:pt idx="12">
                  <c:v>0.12244505363333331</c:v>
                </c:pt>
                <c:pt idx="13">
                  <c:v>0.12893618913333332</c:v>
                </c:pt>
                <c:pt idx="14">
                  <c:v>0.1352601588</c:v>
                </c:pt>
                <c:pt idx="15">
                  <c:v>0.14154063236666667</c:v>
                </c:pt>
                <c:pt idx="16">
                  <c:v>0.14786039763333333</c:v>
                </c:pt>
                <c:pt idx="17">
                  <c:v>0.1541739026666667</c:v>
                </c:pt>
                <c:pt idx="18">
                  <c:v>0.16051203036666667</c:v>
                </c:pt>
                <c:pt idx="19">
                  <c:v>0.17321956326666668</c:v>
                </c:pt>
                <c:pt idx="20">
                  <c:v>0.17975871296666668</c:v>
                </c:pt>
                <c:pt idx="21">
                  <c:v>0.18615284540000002</c:v>
                </c:pt>
                <c:pt idx="22">
                  <c:v>0.19251927733333332</c:v>
                </c:pt>
                <c:pt idx="23">
                  <c:v>0.1989388453</c:v>
                </c:pt>
                <c:pt idx="24">
                  <c:v>0.20530886606666668</c:v>
                </c:pt>
                <c:pt idx="25">
                  <c:v>0.21170986246666665</c:v>
                </c:pt>
                <c:pt idx="26">
                  <c:v>0.21811127713333336</c:v>
                </c:pt>
                <c:pt idx="27">
                  <c:v>0.22447227353333332</c:v>
                </c:pt>
                <c:pt idx="28">
                  <c:v>0.23108588313333334</c:v>
                </c:pt>
                <c:pt idx="29">
                  <c:v>0.23748883080000002</c:v>
                </c:pt>
                <c:pt idx="30">
                  <c:v>0.24383658659999999</c:v>
                </c:pt>
                <c:pt idx="31">
                  <c:v>0.25025193833333337</c:v>
                </c:pt>
                <c:pt idx="32">
                  <c:v>0.25667847483333334</c:v>
                </c:pt>
                <c:pt idx="33">
                  <c:v>0.26309977309999999</c:v>
                </c:pt>
                <c:pt idx="34">
                  <c:v>0.28240396976666665</c:v>
                </c:pt>
                <c:pt idx="35">
                  <c:v>0.28880741660000003</c:v>
                </c:pt>
                <c:pt idx="36">
                  <c:v>0.2951968099666667</c:v>
                </c:pt>
                <c:pt idx="37">
                  <c:v>0.30155994310000001</c:v>
                </c:pt>
                <c:pt idx="38">
                  <c:v>0.3079658522</c:v>
                </c:pt>
                <c:pt idx="39">
                  <c:v>0.31437011189999997</c:v>
                </c:pt>
                <c:pt idx="40">
                  <c:v>0.32074462709999996</c:v>
                </c:pt>
                <c:pt idx="41">
                  <c:v>0.32709216193333329</c:v>
                </c:pt>
                <c:pt idx="42">
                  <c:v>0.33364328560000001</c:v>
                </c:pt>
                <c:pt idx="43">
                  <c:v>0.3400107158666667</c:v>
                </c:pt>
                <c:pt idx="44">
                  <c:v>0.34636820433333332</c:v>
                </c:pt>
                <c:pt idx="45">
                  <c:v>0.35271716759999999</c:v>
                </c:pt>
                <c:pt idx="46">
                  <c:v>0.35904417959999996</c:v>
                </c:pt>
                <c:pt idx="47">
                  <c:v>0.36533036690000004</c:v>
                </c:pt>
                <c:pt idx="48">
                  <c:v>0.37167399920000005</c:v>
                </c:pt>
                <c:pt idx="49">
                  <c:v>0.37794838616666665</c:v>
                </c:pt>
                <c:pt idx="50">
                  <c:v>0.38447364419999996</c:v>
                </c:pt>
                <c:pt idx="51">
                  <c:v>0.39076945960000004</c:v>
                </c:pt>
                <c:pt idx="52">
                  <c:v>0.39698691256666668</c:v>
                </c:pt>
                <c:pt idx="53">
                  <c:v>0.40324795436666672</c:v>
                </c:pt>
                <c:pt idx="54">
                  <c:v>0.40950510546666669</c:v>
                </c:pt>
                <c:pt idx="55">
                  <c:v>0.41571259296666668</c:v>
                </c:pt>
                <c:pt idx="56">
                  <c:v>0.42803526846666667</c:v>
                </c:pt>
                <c:pt idx="57">
                  <c:v>0.43439453263333333</c:v>
                </c:pt>
                <c:pt idx="58">
                  <c:v>0.44056817580000002</c:v>
                </c:pt>
                <c:pt idx="59">
                  <c:v>0.44672703353333337</c:v>
                </c:pt>
                <c:pt idx="60">
                  <c:v>0.45285213966666665</c:v>
                </c:pt>
                <c:pt idx="61">
                  <c:v>0.45980009083333329</c:v>
                </c:pt>
                <c:pt idx="62">
                  <c:v>0.46592354756666671</c:v>
                </c:pt>
                <c:pt idx="63">
                  <c:v>0.47200433289999999</c:v>
                </c:pt>
                <c:pt idx="64">
                  <c:v>0.47813097203333338</c:v>
                </c:pt>
                <c:pt idx="65">
                  <c:v>0.48435101356666671</c:v>
                </c:pt>
                <c:pt idx="66">
                  <c:v>0.49041517859999995</c:v>
                </c:pt>
                <c:pt idx="67">
                  <c:v>0.49641224686666668</c:v>
                </c:pt>
                <c:pt idx="68">
                  <c:v>0.50240171919999999</c:v>
                </c:pt>
                <c:pt idx="69">
                  <c:v>0.50836975126666673</c:v>
                </c:pt>
                <c:pt idx="70">
                  <c:v>0.51437573933333336</c:v>
                </c:pt>
                <c:pt idx="71">
                  <c:v>0.52028796396666666</c:v>
                </c:pt>
                <c:pt idx="72">
                  <c:v>0.52615289453333336</c:v>
                </c:pt>
                <c:pt idx="73">
                  <c:v>0.53226736046666667</c:v>
                </c:pt>
                <c:pt idx="74">
                  <c:v>0.53809268563333335</c:v>
                </c:pt>
                <c:pt idx="75">
                  <c:v>0.54389062399999999</c:v>
                </c:pt>
                <c:pt idx="76">
                  <c:v>0.54973503173333327</c:v>
                </c:pt>
                <c:pt idx="77">
                  <c:v>0.55547274913333333</c:v>
                </c:pt>
                <c:pt idx="78">
                  <c:v>0.5668256052666667</c:v>
                </c:pt>
                <c:pt idx="79">
                  <c:v>0.57242193963333332</c:v>
                </c:pt>
                <c:pt idx="80">
                  <c:v>0.57827869226666662</c:v>
                </c:pt>
                <c:pt idx="81">
                  <c:v>0.58387748890000002</c:v>
                </c:pt>
                <c:pt idx="82">
                  <c:v>0.58944130279999996</c:v>
                </c:pt>
                <c:pt idx="83">
                  <c:v>0.59501886830000006</c:v>
                </c:pt>
                <c:pt idx="84">
                  <c:v>0.60049803586666661</c:v>
                </c:pt>
                <c:pt idx="85">
                  <c:v>0.6059256004000001</c:v>
                </c:pt>
                <c:pt idx="86">
                  <c:v>0.61126956426666679</c:v>
                </c:pt>
                <c:pt idx="87">
                  <c:v>0.61666420190000004</c:v>
                </c:pt>
                <c:pt idx="88">
                  <c:v>0.62203538883333331</c:v>
                </c:pt>
                <c:pt idx="89">
                  <c:v>0.62734548469999996</c:v>
                </c:pt>
                <c:pt idx="90">
                  <c:v>0.63249635793333348</c:v>
                </c:pt>
                <c:pt idx="91">
                  <c:v>0.64256269156666668</c:v>
                </c:pt>
              </c:numCache>
            </c:numRef>
          </c:cat>
          <c:val>
            <c:numRef>
              <c:f>Лист1!$M$14:$M$105</c:f>
              <c:numCache>
                <c:formatCode>General</c:formatCode>
                <c:ptCount val="92"/>
                <c:pt idx="0">
                  <c:v>3.2057842582447358</c:v>
                </c:pt>
                <c:pt idx="1">
                  <c:v>67.601116148056065</c:v>
                </c:pt>
                <c:pt idx="2">
                  <c:v>261.52673568343909</c:v>
                </c:pt>
                <c:pt idx="3">
                  <c:v>366.32676979665752</c:v>
                </c:pt>
                <c:pt idx="4">
                  <c:v>466.2505379875638</c:v>
                </c:pt>
                <c:pt idx="5">
                  <c:v>476.03668131515025</c:v>
                </c:pt>
                <c:pt idx="6">
                  <c:v>485.39239227505487</c:v>
                </c:pt>
                <c:pt idx="7">
                  <c:v>496.07246538119642</c:v>
                </c:pt>
                <c:pt idx="8">
                  <c:v>504.69942488651981</c:v>
                </c:pt>
                <c:pt idx="9">
                  <c:v>512.68670044956593</c:v>
                </c:pt>
                <c:pt idx="10">
                  <c:v>527.62822537714476</c:v>
                </c:pt>
                <c:pt idx="11">
                  <c:v>535.05721452302907</c:v>
                </c:pt>
                <c:pt idx="12">
                  <c:v>541.16134904039347</c:v>
                </c:pt>
                <c:pt idx="13">
                  <c:v>547.7120617314788</c:v>
                </c:pt>
                <c:pt idx="14">
                  <c:v>553.23650514926624</c:v>
                </c:pt>
                <c:pt idx="15">
                  <c:v>559.283389021831</c:v>
                </c:pt>
                <c:pt idx="16">
                  <c:v>564.47720610580154</c:v>
                </c:pt>
                <c:pt idx="17">
                  <c:v>569.80446396638297</c:v>
                </c:pt>
                <c:pt idx="18">
                  <c:v>574.46750140450638</c:v>
                </c:pt>
                <c:pt idx="19">
                  <c:v>583.67794007160694</c:v>
                </c:pt>
                <c:pt idx="20">
                  <c:v>588.03645300679648</c:v>
                </c:pt>
                <c:pt idx="21">
                  <c:v>591.7939663128426</c:v>
                </c:pt>
                <c:pt idx="22">
                  <c:v>595.98772229138831</c:v>
                </c:pt>
                <c:pt idx="23">
                  <c:v>599.48412151198784</c:v>
                </c:pt>
                <c:pt idx="24">
                  <c:v>603.46023731039827</c:v>
                </c:pt>
                <c:pt idx="25">
                  <c:v>607.18927459996837</c:v>
                </c:pt>
                <c:pt idx="26">
                  <c:v>610.26069784384083</c:v>
                </c:pt>
                <c:pt idx="27">
                  <c:v>613.74662735046104</c:v>
                </c:pt>
                <c:pt idx="28">
                  <c:v>617.03013261256274</c:v>
                </c:pt>
                <c:pt idx="29">
                  <c:v>620.04011669562817</c:v>
                </c:pt>
                <c:pt idx="30">
                  <c:v>623.73261704574793</c:v>
                </c:pt>
                <c:pt idx="31">
                  <c:v>626.83624952715945</c:v>
                </c:pt>
                <c:pt idx="32">
                  <c:v>629.46229536414251</c:v>
                </c:pt>
                <c:pt idx="33">
                  <c:v>632.40924226194284</c:v>
                </c:pt>
                <c:pt idx="34">
                  <c:v>640.68296915029521</c:v>
                </c:pt>
                <c:pt idx="35">
                  <c:v>643.3684126076181</c:v>
                </c:pt>
                <c:pt idx="36">
                  <c:v>646.0427179421589</c:v>
                </c:pt>
                <c:pt idx="37">
                  <c:v>648.80887433212683</c:v>
                </c:pt>
                <c:pt idx="38">
                  <c:v>650.99271407708943</c:v>
                </c:pt>
                <c:pt idx="39">
                  <c:v>653.50220918396849</c:v>
                </c:pt>
                <c:pt idx="40">
                  <c:v>655.93211534557611</c:v>
                </c:pt>
                <c:pt idx="41">
                  <c:v>658.56298204344023</c:v>
                </c:pt>
                <c:pt idx="42">
                  <c:v>660.87682040537982</c:v>
                </c:pt>
                <c:pt idx="43">
                  <c:v>663.2632848926429</c:v>
                </c:pt>
                <c:pt idx="44">
                  <c:v>665.11814300843048</c:v>
                </c:pt>
                <c:pt idx="45">
                  <c:v>667.48387392265204</c:v>
                </c:pt>
                <c:pt idx="46">
                  <c:v>669.83444826337404</c:v>
                </c:pt>
                <c:pt idx="47">
                  <c:v>672.27273710680072</c:v>
                </c:pt>
                <c:pt idx="48">
                  <c:v>673.99809051174554</c:v>
                </c:pt>
                <c:pt idx="49">
                  <c:v>676.37711523649318</c:v>
                </c:pt>
                <c:pt idx="50">
                  <c:v>678.33297449200518</c:v>
                </c:pt>
                <c:pt idx="51">
                  <c:v>680.69242527564336</c:v>
                </c:pt>
                <c:pt idx="52">
                  <c:v>683.12089987748141</c:v>
                </c:pt>
                <c:pt idx="53">
                  <c:v>685.35089560495658</c:v>
                </c:pt>
                <c:pt idx="54">
                  <c:v>687.0609626771901</c:v>
                </c:pt>
                <c:pt idx="55">
                  <c:v>689.73146960142071</c:v>
                </c:pt>
                <c:pt idx="56">
                  <c:v>694.16655661723439</c:v>
                </c:pt>
                <c:pt idx="57">
                  <c:v>696.8766988404609</c:v>
                </c:pt>
                <c:pt idx="58">
                  <c:v>698.65829513183758</c:v>
                </c:pt>
                <c:pt idx="59">
                  <c:v>700.99251175600125</c:v>
                </c:pt>
                <c:pt idx="60">
                  <c:v>703.50923067614474</c:v>
                </c:pt>
                <c:pt idx="61">
                  <c:v>705.91756338416201</c:v>
                </c:pt>
                <c:pt idx="62">
                  <c:v>708.31702214207951</c:v>
                </c:pt>
                <c:pt idx="63">
                  <c:v>710.74200314493316</c:v>
                </c:pt>
                <c:pt idx="64">
                  <c:v>712.53284965702778</c:v>
                </c:pt>
                <c:pt idx="65">
                  <c:v>715.38667959673694</c:v>
                </c:pt>
                <c:pt idx="66">
                  <c:v>717.30446230504037</c:v>
                </c:pt>
                <c:pt idx="67">
                  <c:v>719.89831746159496</c:v>
                </c:pt>
                <c:pt idx="68">
                  <c:v>722.49499333765198</c:v>
                </c:pt>
                <c:pt idx="69">
                  <c:v>725.0322317132493</c:v>
                </c:pt>
                <c:pt idx="70">
                  <c:v>726.94828853121908</c:v>
                </c:pt>
                <c:pt idx="71">
                  <c:v>729.52727861901599</c:v>
                </c:pt>
                <c:pt idx="72">
                  <c:v>732.36829125051088</c:v>
                </c:pt>
                <c:pt idx="73">
                  <c:v>734.64599106022069</c:v>
                </c:pt>
                <c:pt idx="74">
                  <c:v>737.55813611643725</c:v>
                </c:pt>
                <c:pt idx="75">
                  <c:v>740.29287183846463</c:v>
                </c:pt>
                <c:pt idx="76">
                  <c:v>742.35466635467321</c:v>
                </c:pt>
                <c:pt idx="77">
                  <c:v>745.16507752621226</c:v>
                </c:pt>
                <c:pt idx="78">
                  <c:v>750.56944613785379</c:v>
                </c:pt>
                <c:pt idx="79">
                  <c:v>754.43178980538687</c:v>
                </c:pt>
                <c:pt idx="80">
                  <c:v>757.19217137484111</c:v>
                </c:pt>
                <c:pt idx="81">
                  <c:v>760.31053551691264</c:v>
                </c:pt>
                <c:pt idx="82">
                  <c:v>763.42374630756274</c:v>
                </c:pt>
                <c:pt idx="83">
                  <c:v>765.88284200299961</c:v>
                </c:pt>
                <c:pt idx="84">
                  <c:v>769.46445875030008</c:v>
                </c:pt>
                <c:pt idx="85">
                  <c:v>773.19776271559135</c:v>
                </c:pt>
                <c:pt idx="86">
                  <c:v>777.05834756658999</c:v>
                </c:pt>
                <c:pt idx="87">
                  <c:v>780.19633007334028</c:v>
                </c:pt>
                <c:pt idx="88">
                  <c:v>785.05602091519643</c:v>
                </c:pt>
                <c:pt idx="89">
                  <c:v>788.45216002625</c:v>
                </c:pt>
                <c:pt idx="90">
                  <c:v>793.09111683760761</c:v>
                </c:pt>
                <c:pt idx="91">
                  <c:v>802.42422743018881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01-4B88-9AE0-48AE5CAFD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6644735"/>
        <c:axId val="1544342831"/>
      </c:lineChart>
      <c:catAx>
        <c:axId val="1556644735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4342831"/>
        <c:crosses val="autoZero"/>
        <c:auto val="1"/>
        <c:lblAlgn val="ctr"/>
        <c:lblOffset val="100"/>
        <c:tickMarkSkip val="50"/>
        <c:noMultiLvlLbl val="0"/>
      </c:catAx>
      <c:valAx>
        <c:axId val="154434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664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Лист1!$O$14:$O$105</c:f>
              <c:numCache>
                <c:formatCode>General</c:formatCode>
                <c:ptCount val="92"/>
                <c:pt idx="0">
                  <c:v>0</c:v>
                </c:pt>
                <c:pt idx="1">
                  <c:v>2.4286369706520178E-2</c:v>
                </c:pt>
                <c:pt idx="2">
                  <c:v>4.9596229252619847E-2</c:v>
                </c:pt>
                <c:pt idx="3">
                  <c:v>5.1930743866183078E-2</c:v>
                </c:pt>
                <c:pt idx="4">
                  <c:v>6.837274748216475E-2</c:v>
                </c:pt>
                <c:pt idx="5">
                  <c:v>7.5046374951831016E-2</c:v>
                </c:pt>
                <c:pt idx="6">
                  <c:v>8.2010293498822634E-2</c:v>
                </c:pt>
                <c:pt idx="7">
                  <c:v>8.871666995734738E-2</c:v>
                </c:pt>
                <c:pt idx="8">
                  <c:v>9.5587065170206639E-2</c:v>
                </c:pt>
                <c:pt idx="9">
                  <c:v>0.10244897634200231</c:v>
                </c:pt>
                <c:pt idx="10">
                  <c:v>0.11638759743333596</c:v>
                </c:pt>
                <c:pt idx="11">
                  <c:v>0.1234354351477033</c:v>
                </c:pt>
                <c:pt idx="12">
                  <c:v>0.1306157086604047</c:v>
                </c:pt>
                <c:pt idx="13">
                  <c:v>0.13804004319813329</c:v>
                </c:pt>
                <c:pt idx="14">
                  <c:v>0.14532657890660119</c:v>
                </c:pt>
                <c:pt idx="15">
                  <c:v>0.15261592925410186</c:v>
                </c:pt>
                <c:pt idx="16">
                  <c:v>0.16000491303214714</c:v>
                </c:pt>
                <c:pt idx="17">
                  <c:v>0.16744149921364443</c:v>
                </c:pt>
                <c:pt idx="18">
                  <c:v>0.17496313296229912</c:v>
                </c:pt>
                <c:pt idx="19">
                  <c:v>0.1902161128800362</c:v>
                </c:pt>
                <c:pt idx="20">
                  <c:v>0.1981567295279337</c:v>
                </c:pt>
                <c:pt idx="21">
                  <c:v>0.20598270137240393</c:v>
                </c:pt>
                <c:pt idx="22">
                  <c:v>0.2138360970289038</c:v>
                </c:pt>
                <c:pt idx="23">
                  <c:v>0.22181798688805868</c:v>
                </c:pt>
                <c:pt idx="24">
                  <c:v>0.2298017505933509</c:v>
                </c:pt>
                <c:pt idx="25">
                  <c:v>0.23788906205208837</c:v>
                </c:pt>
                <c:pt idx="26">
                  <c:v>0.24604284668663168</c:v>
                </c:pt>
                <c:pt idx="27">
                  <c:v>0.25421154398511026</c:v>
                </c:pt>
                <c:pt idx="28">
                  <c:v>0.26277599729115159</c:v>
                </c:pt>
                <c:pt idx="29">
                  <c:v>0.27113812247670566</c:v>
                </c:pt>
                <c:pt idx="30">
                  <c:v>0.27949777086978789</c:v>
                </c:pt>
                <c:pt idx="31">
                  <c:v>0.28801804666257369</c:v>
                </c:pt>
                <c:pt idx="32">
                  <c:v>0.29662658874826592</c:v>
                </c:pt>
                <c:pt idx="33">
                  <c:v>0.30530277329770938</c:v>
                </c:pt>
                <c:pt idx="34">
                  <c:v>0.33184850025768325</c:v>
                </c:pt>
                <c:pt idx="35">
                  <c:v>0.34081202312703091</c:v>
                </c:pt>
                <c:pt idx="36">
                  <c:v>0.34983667821641878</c:v>
                </c:pt>
                <c:pt idx="37">
                  <c:v>0.35890592086094369</c:v>
                </c:pt>
                <c:pt idx="38">
                  <c:v>0.3681199780501756</c:v>
                </c:pt>
                <c:pt idx="39">
                  <c:v>0.37741731857058142</c:v>
                </c:pt>
                <c:pt idx="40">
                  <c:v>0.3867581206591173</c:v>
                </c:pt>
                <c:pt idx="41">
                  <c:v>0.39614690066627545</c:v>
                </c:pt>
                <c:pt idx="42">
                  <c:v>0.40593014462088395</c:v>
                </c:pt>
                <c:pt idx="43">
                  <c:v>0.41553168025508985</c:v>
                </c:pt>
                <c:pt idx="44">
                  <c:v>0.42521108963874565</c:v>
                </c:pt>
                <c:pt idx="45">
                  <c:v>0.43497193564241715</c:v>
                </c:pt>
                <c:pt idx="46">
                  <c:v>0.44479474736967878</c:v>
                </c:pt>
                <c:pt idx="47">
                  <c:v>0.45465067830775852</c:v>
                </c:pt>
                <c:pt idx="48">
                  <c:v>0.46469613765055201</c:v>
                </c:pt>
                <c:pt idx="49">
                  <c:v>0.47473220924620113</c:v>
                </c:pt>
                <c:pt idx="50">
                  <c:v>0.48527751412816256</c:v>
                </c:pt>
                <c:pt idx="51">
                  <c:v>0.49555852724133337</c:v>
                </c:pt>
                <c:pt idx="52">
                  <c:v>0.50581637862093609</c:v>
                </c:pt>
                <c:pt idx="53">
                  <c:v>0.5162535858120838</c:v>
                </c:pt>
                <c:pt idx="54">
                  <c:v>0.52679428938830641</c:v>
                </c:pt>
                <c:pt idx="55">
                  <c:v>0.53736228188173518</c:v>
                </c:pt>
                <c:pt idx="56">
                  <c:v>0.5586779476617898</c:v>
                </c:pt>
                <c:pt idx="57">
                  <c:v>0.56985849795663102</c:v>
                </c:pt>
                <c:pt idx="58">
                  <c:v>0.5808336099504291</c:v>
                </c:pt>
                <c:pt idx="59">
                  <c:v>0.59190378899812879</c:v>
                </c:pt>
                <c:pt idx="60">
                  <c:v>0.60303620169220806</c:v>
                </c:pt>
                <c:pt idx="61">
                  <c:v>0.61581600577123552</c:v>
                </c:pt>
                <c:pt idx="62">
                  <c:v>0.62721628091888415</c:v>
                </c:pt>
                <c:pt idx="63">
                  <c:v>0.63866720155954682</c:v>
                </c:pt>
                <c:pt idx="64">
                  <c:v>0.65033862685965937</c:v>
                </c:pt>
                <c:pt idx="65">
                  <c:v>0.6623290038317392</c:v>
                </c:pt>
                <c:pt idx="66">
                  <c:v>0.67415896048959578</c:v>
                </c:pt>
                <c:pt idx="67">
                  <c:v>0.68599729574677926</c:v>
                </c:pt>
                <c:pt idx="68">
                  <c:v>0.69796219254705871</c:v>
                </c:pt>
                <c:pt idx="69">
                  <c:v>0.71002837199255353</c:v>
                </c:pt>
                <c:pt idx="70">
                  <c:v>0.72232008029810646</c:v>
                </c:pt>
                <c:pt idx="71">
                  <c:v>0.73456928003772248</c:v>
                </c:pt>
                <c:pt idx="72">
                  <c:v>0.74687057162808157</c:v>
                </c:pt>
                <c:pt idx="73">
                  <c:v>0.75985842935725934</c:v>
                </c:pt>
                <c:pt idx="74">
                  <c:v>0.77239102628090028</c:v>
                </c:pt>
                <c:pt idx="75">
                  <c:v>0.78502263858035481</c:v>
                </c:pt>
                <c:pt idx="76">
                  <c:v>0.79791905113291872</c:v>
                </c:pt>
                <c:pt idx="77">
                  <c:v>0.81074391912071042</c:v>
                </c:pt>
                <c:pt idx="78">
                  <c:v>0.83661487286597813</c:v>
                </c:pt>
                <c:pt idx="79">
                  <c:v>0.84961840992526105</c:v>
                </c:pt>
                <c:pt idx="80">
                  <c:v>0.86341059132653775</c:v>
                </c:pt>
                <c:pt idx="81">
                  <c:v>0.87677556424031111</c:v>
                </c:pt>
                <c:pt idx="82">
                  <c:v>0.89023637078671236</c:v>
                </c:pt>
                <c:pt idx="83">
                  <c:v>0.90391480135593283</c:v>
                </c:pt>
                <c:pt idx="84">
                  <c:v>0.91753659730896153</c:v>
                </c:pt>
                <c:pt idx="85">
                  <c:v>0.93121555603854034</c:v>
                </c:pt>
                <c:pt idx="86">
                  <c:v>0.94486914284298185</c:v>
                </c:pt>
                <c:pt idx="87">
                  <c:v>0.9588439164875352</c:v>
                </c:pt>
                <c:pt idx="88">
                  <c:v>0.97295470899749681</c:v>
                </c:pt>
                <c:pt idx="89">
                  <c:v>0.98710352099632359</c:v>
                </c:pt>
                <c:pt idx="90">
                  <c:v>1.0010220499928657</c:v>
                </c:pt>
                <c:pt idx="91">
                  <c:v>1.0287952932512581</c:v>
                </c:pt>
              </c:numCache>
            </c:numRef>
          </c:cat>
          <c:val>
            <c:numRef>
              <c:f>Лист1!$M$14:$M$105</c:f>
              <c:numCache>
                <c:formatCode>General</c:formatCode>
                <c:ptCount val="92"/>
                <c:pt idx="0">
                  <c:v>3.2057842582447358</c:v>
                </c:pt>
                <c:pt idx="1">
                  <c:v>67.601116148056065</c:v>
                </c:pt>
                <c:pt idx="2">
                  <c:v>261.52673568343909</c:v>
                </c:pt>
                <c:pt idx="3">
                  <c:v>366.32676979665752</c:v>
                </c:pt>
                <c:pt idx="4">
                  <c:v>466.2505379875638</c:v>
                </c:pt>
                <c:pt idx="5">
                  <c:v>476.03668131515025</c:v>
                </c:pt>
                <c:pt idx="6">
                  <c:v>485.39239227505487</c:v>
                </c:pt>
                <c:pt idx="7">
                  <c:v>496.07246538119642</c:v>
                </c:pt>
                <c:pt idx="8">
                  <c:v>504.69942488651981</c:v>
                </c:pt>
                <c:pt idx="9">
                  <c:v>512.68670044956593</c:v>
                </c:pt>
                <c:pt idx="10">
                  <c:v>527.62822537714476</c:v>
                </c:pt>
                <c:pt idx="11">
                  <c:v>535.05721452302907</c:v>
                </c:pt>
                <c:pt idx="12">
                  <c:v>541.16134904039347</c:v>
                </c:pt>
                <c:pt idx="13">
                  <c:v>547.7120617314788</c:v>
                </c:pt>
                <c:pt idx="14">
                  <c:v>553.23650514926624</c:v>
                </c:pt>
                <c:pt idx="15">
                  <c:v>559.283389021831</c:v>
                </c:pt>
                <c:pt idx="16">
                  <c:v>564.47720610580154</c:v>
                </c:pt>
                <c:pt idx="17">
                  <c:v>569.80446396638297</c:v>
                </c:pt>
                <c:pt idx="18">
                  <c:v>574.46750140450638</c:v>
                </c:pt>
                <c:pt idx="19">
                  <c:v>583.67794007160694</c:v>
                </c:pt>
                <c:pt idx="20">
                  <c:v>588.03645300679648</c:v>
                </c:pt>
                <c:pt idx="21">
                  <c:v>591.7939663128426</c:v>
                </c:pt>
                <c:pt idx="22">
                  <c:v>595.98772229138831</c:v>
                </c:pt>
                <c:pt idx="23">
                  <c:v>599.48412151198784</c:v>
                </c:pt>
                <c:pt idx="24">
                  <c:v>603.46023731039827</c:v>
                </c:pt>
                <c:pt idx="25">
                  <c:v>607.18927459996837</c:v>
                </c:pt>
                <c:pt idx="26">
                  <c:v>610.26069784384083</c:v>
                </c:pt>
                <c:pt idx="27">
                  <c:v>613.74662735046104</c:v>
                </c:pt>
                <c:pt idx="28">
                  <c:v>617.03013261256274</c:v>
                </c:pt>
                <c:pt idx="29">
                  <c:v>620.04011669562817</c:v>
                </c:pt>
                <c:pt idx="30">
                  <c:v>623.73261704574793</c:v>
                </c:pt>
                <c:pt idx="31">
                  <c:v>626.83624952715945</c:v>
                </c:pt>
                <c:pt idx="32">
                  <c:v>629.46229536414251</c:v>
                </c:pt>
                <c:pt idx="33">
                  <c:v>632.40924226194284</c:v>
                </c:pt>
                <c:pt idx="34">
                  <c:v>640.68296915029521</c:v>
                </c:pt>
                <c:pt idx="35">
                  <c:v>643.3684126076181</c:v>
                </c:pt>
                <c:pt idx="36">
                  <c:v>646.0427179421589</c:v>
                </c:pt>
                <c:pt idx="37">
                  <c:v>648.80887433212683</c:v>
                </c:pt>
                <c:pt idx="38">
                  <c:v>650.99271407708943</c:v>
                </c:pt>
                <c:pt idx="39">
                  <c:v>653.50220918396849</c:v>
                </c:pt>
                <c:pt idx="40">
                  <c:v>655.93211534557611</c:v>
                </c:pt>
                <c:pt idx="41">
                  <c:v>658.56298204344023</c:v>
                </c:pt>
                <c:pt idx="42">
                  <c:v>660.87682040537982</c:v>
                </c:pt>
                <c:pt idx="43">
                  <c:v>663.2632848926429</c:v>
                </c:pt>
                <c:pt idx="44">
                  <c:v>665.11814300843048</c:v>
                </c:pt>
                <c:pt idx="45">
                  <c:v>667.48387392265204</c:v>
                </c:pt>
                <c:pt idx="46">
                  <c:v>669.83444826337404</c:v>
                </c:pt>
                <c:pt idx="47">
                  <c:v>672.27273710680072</c:v>
                </c:pt>
                <c:pt idx="48">
                  <c:v>673.99809051174554</c:v>
                </c:pt>
                <c:pt idx="49">
                  <c:v>676.37711523649318</c:v>
                </c:pt>
                <c:pt idx="50">
                  <c:v>678.33297449200518</c:v>
                </c:pt>
                <c:pt idx="51">
                  <c:v>680.69242527564336</c:v>
                </c:pt>
                <c:pt idx="52">
                  <c:v>683.12089987748141</c:v>
                </c:pt>
                <c:pt idx="53">
                  <c:v>685.35089560495658</c:v>
                </c:pt>
                <c:pt idx="54">
                  <c:v>687.0609626771901</c:v>
                </c:pt>
                <c:pt idx="55">
                  <c:v>689.73146960142071</c:v>
                </c:pt>
                <c:pt idx="56">
                  <c:v>694.16655661723439</c:v>
                </c:pt>
                <c:pt idx="57">
                  <c:v>696.8766988404609</c:v>
                </c:pt>
                <c:pt idx="58">
                  <c:v>698.65829513183758</c:v>
                </c:pt>
                <c:pt idx="59">
                  <c:v>700.99251175600125</c:v>
                </c:pt>
                <c:pt idx="60">
                  <c:v>703.50923067614474</c:v>
                </c:pt>
                <c:pt idx="61">
                  <c:v>705.91756338416201</c:v>
                </c:pt>
                <c:pt idx="62">
                  <c:v>708.31702214207951</c:v>
                </c:pt>
                <c:pt idx="63">
                  <c:v>710.74200314493316</c:v>
                </c:pt>
                <c:pt idx="64">
                  <c:v>712.53284965702778</c:v>
                </c:pt>
                <c:pt idx="65">
                  <c:v>715.38667959673694</c:v>
                </c:pt>
                <c:pt idx="66">
                  <c:v>717.30446230504037</c:v>
                </c:pt>
                <c:pt idx="67">
                  <c:v>719.89831746159496</c:v>
                </c:pt>
                <c:pt idx="68">
                  <c:v>722.49499333765198</c:v>
                </c:pt>
                <c:pt idx="69">
                  <c:v>725.0322317132493</c:v>
                </c:pt>
                <c:pt idx="70">
                  <c:v>726.94828853121908</c:v>
                </c:pt>
                <c:pt idx="71">
                  <c:v>729.52727861901599</c:v>
                </c:pt>
                <c:pt idx="72">
                  <c:v>732.36829125051088</c:v>
                </c:pt>
                <c:pt idx="73">
                  <c:v>734.64599106022069</c:v>
                </c:pt>
                <c:pt idx="74">
                  <c:v>737.55813611643725</c:v>
                </c:pt>
                <c:pt idx="75">
                  <c:v>740.29287183846463</c:v>
                </c:pt>
                <c:pt idx="76">
                  <c:v>742.35466635467321</c:v>
                </c:pt>
                <c:pt idx="77">
                  <c:v>745.16507752621226</c:v>
                </c:pt>
                <c:pt idx="78">
                  <c:v>750.56944613785379</c:v>
                </c:pt>
                <c:pt idx="79">
                  <c:v>754.43178980538687</c:v>
                </c:pt>
                <c:pt idx="80">
                  <c:v>757.19217137484111</c:v>
                </c:pt>
                <c:pt idx="81">
                  <c:v>760.31053551691264</c:v>
                </c:pt>
                <c:pt idx="82">
                  <c:v>763.42374630756274</c:v>
                </c:pt>
                <c:pt idx="83">
                  <c:v>765.88284200299961</c:v>
                </c:pt>
                <c:pt idx="84">
                  <c:v>769.46445875030008</c:v>
                </c:pt>
                <c:pt idx="85">
                  <c:v>773.19776271559135</c:v>
                </c:pt>
                <c:pt idx="86">
                  <c:v>777.05834756658999</c:v>
                </c:pt>
                <c:pt idx="87">
                  <c:v>780.19633007334028</c:v>
                </c:pt>
                <c:pt idx="88">
                  <c:v>785.05602091519643</c:v>
                </c:pt>
                <c:pt idx="89">
                  <c:v>788.45216002625</c:v>
                </c:pt>
                <c:pt idx="90">
                  <c:v>793.09111683760761</c:v>
                </c:pt>
                <c:pt idx="91">
                  <c:v>802.42422743018881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39-4625-B4D8-6F85ECC39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6644735"/>
        <c:axId val="1544342831"/>
      </c:lineChart>
      <c:catAx>
        <c:axId val="1556644735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4342831"/>
        <c:crosses val="autoZero"/>
        <c:auto val="1"/>
        <c:lblAlgn val="ctr"/>
        <c:lblOffset val="100"/>
        <c:tickMarkSkip val="50"/>
        <c:noMultiLvlLbl val="0"/>
      </c:catAx>
      <c:valAx>
        <c:axId val="154434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664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588819</xdr:colOff>
      <xdr:row>10</xdr:row>
      <xdr:rowOff>184726</xdr:rowOff>
    </xdr:from>
    <xdr:to>
      <xdr:col>32</xdr:col>
      <xdr:colOff>230909</xdr:colOff>
      <xdr:row>39</xdr:row>
      <xdr:rowOff>92362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78AF115-B530-4852-9490-4924537A7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457200</xdr:colOff>
      <xdr:row>44</xdr:row>
      <xdr:rowOff>127000</xdr:rowOff>
    </xdr:from>
    <xdr:to>
      <xdr:col>32</xdr:col>
      <xdr:colOff>99290</xdr:colOff>
      <xdr:row>73</xdr:row>
      <xdr:rowOff>34636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89F7340-951E-4EBD-8B7F-171A74FE6C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0.95654</cdr:x>
      <cdr:y>0.94561</cdr:y>
    </cdr:from>
    <cdr:to>
      <cdr:x>0.9849</cdr:x>
      <cdr:y>1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003525C-DAD1-4942-9EDA-E7B1C13239C4}"/>
            </a:ext>
          </a:extLst>
        </cdr:cNvPr>
        <cdr:cNvSpPr txBox="1"/>
      </cdr:nvSpPr>
      <cdr:spPr>
        <a:xfrm xmlns:a="http://schemas.openxmlformats.org/drawingml/2006/main">
          <a:off x="7266710" y="4978390"/>
          <a:ext cx="215473" cy="2863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0" tIns="0" rIns="0" bIns="0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l-GR" sz="2000" b="1">
              <a:latin typeface="Times New Roman" panose="02020603050405020304" pitchFamily="18" charset="0"/>
              <a:cs typeface="Times New Roman" panose="02020603050405020304" pitchFamily="18" charset="0"/>
            </a:rPr>
            <a:t>ε</a:t>
          </a:r>
          <a:endParaRPr lang="ru-RU"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0.00671</cdr:x>
      <cdr:y>0.01003</cdr:y>
    </cdr:from>
    <cdr:to>
      <cdr:x>0.17272</cdr:x>
      <cdr:y>0.10551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1D31574-C425-4C29-B831-E705AB62EFD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56138" cy="4834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0" tIns="0" rIns="0" bIns="0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l-GR" sz="1400" b="1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σ</a:t>
          </a:r>
          <a:r>
            <a:rPr lang="en-US" sz="1400" b="1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i, </a:t>
          </a:r>
          <a:r>
            <a:rPr lang="ru-RU" sz="1400" b="1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МПа</a:t>
          </a:r>
          <a:endParaRPr lang="ru-RU" sz="14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 xmlns:a="http://schemas.openxmlformats.org/drawingml/2006/main">
          <a:endParaRPr lang="ru-RU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0.95654</cdr:x>
      <cdr:y>0.94561</cdr:y>
    </cdr:from>
    <cdr:to>
      <cdr:x>0.9849</cdr:x>
      <cdr:y>1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003525C-DAD1-4942-9EDA-E7B1C13239C4}"/>
            </a:ext>
          </a:extLst>
        </cdr:cNvPr>
        <cdr:cNvSpPr txBox="1"/>
      </cdr:nvSpPr>
      <cdr:spPr>
        <a:xfrm xmlns:a="http://schemas.openxmlformats.org/drawingml/2006/main">
          <a:off x="7266710" y="4978390"/>
          <a:ext cx="215473" cy="2863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0" tIns="0" rIns="0" bIns="0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</a:t>
          </a:r>
          <a:endParaRPr lang="ru-RU"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0.00671</cdr:x>
      <cdr:y>0.01003</cdr:y>
    </cdr:from>
    <cdr:to>
      <cdr:x>0.17272</cdr:x>
      <cdr:y>0.10551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1D31574-C425-4C29-B831-E705AB62EFD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56138" cy="4834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0" tIns="0" rIns="0" bIns="0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l-GR" sz="1400" b="1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σ</a:t>
          </a:r>
          <a:r>
            <a:rPr lang="en-US" sz="1400" b="1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i, </a:t>
          </a:r>
          <a:r>
            <a:rPr lang="ru-RU" sz="1400" b="1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МПа</a:t>
          </a:r>
          <a:endParaRPr lang="ru-RU" sz="14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 xmlns:a="http://schemas.openxmlformats.org/drawingml/2006/main">
          <a:endParaRPr lang="ru-RU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5"/>
  <sheetViews>
    <sheetView tabSelected="1" zoomScale="70" zoomScaleNormal="70" workbookViewId="0">
      <selection activeCell="R42" sqref="R42"/>
    </sheetView>
  </sheetViews>
  <sheetFormatPr defaultRowHeight="14.5" x14ac:dyDescent="0.35"/>
  <sheetData>
    <row r="1" spans="1:15" x14ac:dyDescent="0.35">
      <c r="A1" t="s">
        <v>0</v>
      </c>
      <c r="B1" t="s">
        <v>1</v>
      </c>
    </row>
    <row r="2" spans="1:15" x14ac:dyDescent="0.35">
      <c r="A2" t="s">
        <v>2</v>
      </c>
      <c r="B2" t="s">
        <v>3</v>
      </c>
      <c r="C2">
        <v>1</v>
      </c>
    </row>
    <row r="3" spans="1:15" x14ac:dyDescent="0.35">
      <c r="A3" t="s">
        <v>4</v>
      </c>
      <c r="B3" t="s">
        <v>5</v>
      </c>
      <c r="C3" s="1">
        <v>0.70958333333333334</v>
      </c>
    </row>
    <row r="4" spans="1:15" x14ac:dyDescent="0.35">
      <c r="A4" t="s">
        <v>6</v>
      </c>
      <c r="B4">
        <v>50</v>
      </c>
    </row>
    <row r="5" spans="1:15" x14ac:dyDescent="0.35">
      <c r="A5" t="s">
        <v>7</v>
      </c>
      <c r="B5" t="s">
        <v>8</v>
      </c>
      <c r="C5">
        <v>0</v>
      </c>
    </row>
    <row r="6" spans="1:15" x14ac:dyDescent="0.35">
      <c r="A6" t="s">
        <v>9</v>
      </c>
    </row>
    <row r="7" spans="1:15" x14ac:dyDescent="0.3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</row>
    <row r="8" spans="1:15" x14ac:dyDescent="0.35">
      <c r="A8">
        <v>9.1999999999999993</v>
      </c>
      <c r="D8">
        <v>14.8</v>
      </c>
      <c r="E8">
        <v>11</v>
      </c>
      <c r="F8">
        <v>14.9</v>
      </c>
    </row>
    <row r="9" spans="1:15" x14ac:dyDescent="0.35">
      <c r="A9" t="s">
        <v>16</v>
      </c>
    </row>
    <row r="10" spans="1:15" x14ac:dyDescent="0.35">
      <c r="G10" t="s">
        <v>21</v>
      </c>
      <c r="H10" t="s">
        <v>22</v>
      </c>
      <c r="I10" t="s">
        <v>23</v>
      </c>
      <c r="J10" t="s">
        <v>24</v>
      </c>
    </row>
    <row r="11" spans="1:15" x14ac:dyDescent="0.35">
      <c r="A11" t="s">
        <v>17</v>
      </c>
      <c r="B11">
        <v>92</v>
      </c>
      <c r="G11">
        <v>15</v>
      </c>
      <c r="H11">
        <v>9.1999999999999993</v>
      </c>
      <c r="I11">
        <f>I14</f>
        <v>996.63599999999985</v>
      </c>
      <c r="J11">
        <v>4.46</v>
      </c>
    </row>
    <row r="13" spans="1:15" x14ac:dyDescent="0.35">
      <c r="A13" t="s">
        <v>18</v>
      </c>
      <c r="B13" t="s">
        <v>19</v>
      </c>
      <c r="C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26</v>
      </c>
      <c r="L13" t="s">
        <v>27</v>
      </c>
      <c r="M13" t="s">
        <v>28</v>
      </c>
      <c r="N13" t="s">
        <v>29</v>
      </c>
      <c r="O13" t="s">
        <v>30</v>
      </c>
    </row>
    <row r="14" spans="1:15" x14ac:dyDescent="0.35">
      <c r="A14">
        <v>0</v>
      </c>
      <c r="B14">
        <v>0</v>
      </c>
      <c r="C14" s="2">
        <v>213</v>
      </c>
      <c r="G14">
        <f>$G$11</f>
        <v>15</v>
      </c>
      <c r="H14">
        <f>$H$11</f>
        <v>9.1999999999999993</v>
      </c>
      <c r="I14">
        <f>(3.14*POWER(H14,2)*0.25*G14)</f>
        <v>996.63599999999985</v>
      </c>
      <c r="J14">
        <f>0</f>
        <v>0</v>
      </c>
      <c r="K14">
        <f>G14-J14</f>
        <v>15</v>
      </c>
      <c r="L14">
        <f>I14/K14</f>
        <v>66.442399999999992</v>
      </c>
      <c r="M14">
        <f>C14/L14</f>
        <v>3.2057842582447358</v>
      </c>
      <c r="N14">
        <f>J14/G14</f>
        <v>0</v>
      </c>
      <c r="O14">
        <f>LN(L14/(3.14*H14^2/4))</f>
        <v>0</v>
      </c>
    </row>
    <row r="15" spans="1:15" x14ac:dyDescent="0.35">
      <c r="A15">
        <v>0.1</v>
      </c>
      <c r="B15">
        <v>0.40239999999999998</v>
      </c>
      <c r="C15" s="2">
        <v>4602</v>
      </c>
      <c r="G15">
        <f>$G$11</f>
        <v>15</v>
      </c>
      <c r="H15">
        <f t="shared" ref="H15:H78" si="0">$H$11</f>
        <v>9.1999999999999993</v>
      </c>
      <c r="I15">
        <f t="shared" ref="I15:I78" si="1">(3.14*POWER(H15,2)*0.25*G15)</f>
        <v>996.63599999999985</v>
      </c>
      <c r="J15">
        <f>B15-C15/(2*10^5/1.8467)</f>
        <v>0.359907433</v>
      </c>
      <c r="K15">
        <f t="shared" ref="K15:K78" si="2">G15-J15</f>
        <v>14.640092567</v>
      </c>
      <c r="L15">
        <f t="shared" ref="L15:L78" si="3">I15/K15</f>
        <v>68.07579907291715</v>
      </c>
      <c r="M15">
        <f t="shared" ref="M15:M78" si="4">C15/L15</f>
        <v>67.601116148056065</v>
      </c>
      <c r="N15">
        <f t="shared" ref="N15:N78" si="5">J15/G15</f>
        <v>2.3993828866666667E-2</v>
      </c>
      <c r="O15">
        <f t="shared" ref="O15:O78" si="6">LN(L15/(3.14*H15^2/4))</f>
        <v>2.4286369706520178E-2</v>
      </c>
    </row>
    <row r="16" spans="1:15" x14ac:dyDescent="0.35">
      <c r="A16">
        <v>0.2</v>
      </c>
      <c r="B16">
        <v>0.89439999999999997</v>
      </c>
      <c r="C16" s="2">
        <v>18260</v>
      </c>
      <c r="G16">
        <f t="shared" ref="G16:G79" si="7">$G$11</f>
        <v>15</v>
      </c>
      <c r="H16">
        <f t="shared" si="0"/>
        <v>9.1999999999999993</v>
      </c>
      <c r="I16">
        <f t="shared" si="1"/>
        <v>996.63599999999985</v>
      </c>
      <c r="J16">
        <f t="shared" ref="J16:J79" si="8">B16-C16/(2*10^5/1.8467)</f>
        <v>0.72579629000000001</v>
      </c>
      <c r="K16">
        <f t="shared" si="2"/>
        <v>14.27420371</v>
      </c>
      <c r="L16">
        <f t="shared" si="3"/>
        <v>69.820777414139897</v>
      </c>
      <c r="M16">
        <f t="shared" si="4"/>
        <v>261.52673568343909</v>
      </c>
      <c r="N16">
        <f t="shared" si="5"/>
        <v>4.8386419333333333E-2</v>
      </c>
      <c r="O16">
        <f t="shared" si="6"/>
        <v>4.9596229252619847E-2</v>
      </c>
    </row>
    <row r="17" spans="1:15" x14ac:dyDescent="0.35">
      <c r="A17">
        <v>0.3</v>
      </c>
      <c r="B17">
        <v>0.99580000000000002</v>
      </c>
      <c r="C17" s="2">
        <v>25637</v>
      </c>
      <c r="G17">
        <f t="shared" si="7"/>
        <v>15</v>
      </c>
      <c r="H17">
        <f t="shared" si="0"/>
        <v>9.1999999999999993</v>
      </c>
      <c r="I17">
        <f t="shared" si="1"/>
        <v>996.63599999999985</v>
      </c>
      <c r="J17">
        <f t="shared" si="8"/>
        <v>0.75908076050000006</v>
      </c>
      <c r="K17">
        <f t="shared" si="2"/>
        <v>14.2409192395</v>
      </c>
      <c r="L17">
        <f t="shared" si="3"/>
        <v>69.983965447654057</v>
      </c>
      <c r="M17">
        <f t="shared" si="4"/>
        <v>366.32676979665752</v>
      </c>
      <c r="N17">
        <f t="shared" si="5"/>
        <v>5.0605384033333339E-2</v>
      </c>
      <c r="O17">
        <f t="shared" si="6"/>
        <v>5.1930743866183078E-2</v>
      </c>
    </row>
    <row r="18" spans="1:15" x14ac:dyDescent="0.35">
      <c r="A18">
        <v>0.4</v>
      </c>
      <c r="B18">
        <v>1.2976000000000001</v>
      </c>
      <c r="C18" s="2">
        <v>33171</v>
      </c>
      <c r="G18">
        <f t="shared" si="7"/>
        <v>15</v>
      </c>
      <c r="H18">
        <f t="shared" si="0"/>
        <v>9.1999999999999993</v>
      </c>
      <c r="I18">
        <f t="shared" si="1"/>
        <v>996.63599999999985</v>
      </c>
      <c r="J18">
        <f t="shared" si="8"/>
        <v>0.99131557150000016</v>
      </c>
      <c r="K18">
        <f t="shared" si="2"/>
        <v>14.008684428500001</v>
      </c>
      <c r="L18">
        <f t="shared" si="3"/>
        <v>71.144153834487938</v>
      </c>
      <c r="M18">
        <f t="shared" si="4"/>
        <v>466.2505379875638</v>
      </c>
      <c r="N18">
        <f t="shared" si="5"/>
        <v>6.6087704766666672E-2</v>
      </c>
      <c r="O18">
        <f t="shared" si="6"/>
        <v>6.837274748216475E-2</v>
      </c>
    </row>
    <row r="19" spans="1:15" x14ac:dyDescent="0.35">
      <c r="A19">
        <v>0.5</v>
      </c>
      <c r="B19">
        <v>1.3993</v>
      </c>
      <c r="C19" s="2">
        <v>34094</v>
      </c>
      <c r="G19">
        <f t="shared" si="7"/>
        <v>15</v>
      </c>
      <c r="H19">
        <f t="shared" si="0"/>
        <v>9.1999999999999993</v>
      </c>
      <c r="I19">
        <f t="shared" si="1"/>
        <v>996.63599999999985</v>
      </c>
      <c r="J19">
        <f t="shared" si="8"/>
        <v>1.0844930509999999</v>
      </c>
      <c r="K19">
        <f t="shared" si="2"/>
        <v>13.915506949000001</v>
      </c>
      <c r="L19">
        <f t="shared" si="3"/>
        <v>71.620531228409206</v>
      </c>
      <c r="M19">
        <f t="shared" si="4"/>
        <v>476.03668131515025</v>
      </c>
      <c r="N19">
        <f t="shared" si="5"/>
        <v>7.2299536733333322E-2</v>
      </c>
      <c r="O19">
        <f t="shared" si="6"/>
        <v>7.5046374951831016E-2</v>
      </c>
    </row>
    <row r="20" spans="1:15" x14ac:dyDescent="0.35">
      <c r="A20">
        <v>0.6</v>
      </c>
      <c r="B20">
        <v>1.5043</v>
      </c>
      <c r="C20" s="2">
        <v>35007</v>
      </c>
      <c r="G20">
        <f t="shared" si="7"/>
        <v>15</v>
      </c>
      <c r="H20">
        <f t="shared" si="0"/>
        <v>9.1999999999999993</v>
      </c>
      <c r="I20">
        <f t="shared" si="1"/>
        <v>996.63599999999985</v>
      </c>
      <c r="J20">
        <f t="shared" si="8"/>
        <v>1.1810628654999999</v>
      </c>
      <c r="K20">
        <f t="shared" si="2"/>
        <v>13.8189371345</v>
      </c>
      <c r="L20">
        <f t="shared" si="3"/>
        <v>72.121031472950563</v>
      </c>
      <c r="M20">
        <f t="shared" si="4"/>
        <v>485.39239227505487</v>
      </c>
      <c r="N20">
        <f t="shared" si="5"/>
        <v>7.8737524366666659E-2</v>
      </c>
      <c r="O20">
        <f t="shared" si="6"/>
        <v>8.2010293498822634E-2</v>
      </c>
    </row>
    <row r="21" spans="1:15" x14ac:dyDescent="0.35">
      <c r="A21">
        <v>0.7</v>
      </c>
      <c r="B21">
        <v>1.6060000000000001</v>
      </c>
      <c r="C21" s="2">
        <v>36018</v>
      </c>
      <c r="G21">
        <f t="shared" si="7"/>
        <v>15</v>
      </c>
      <c r="H21">
        <f t="shared" si="0"/>
        <v>9.1999999999999993</v>
      </c>
      <c r="I21">
        <f t="shared" si="1"/>
        <v>996.63599999999985</v>
      </c>
      <c r="J21">
        <f t="shared" si="8"/>
        <v>1.2734277970000001</v>
      </c>
      <c r="K21">
        <f t="shared" si="2"/>
        <v>13.726572203</v>
      </c>
      <c r="L21">
        <f t="shared" si="3"/>
        <v>72.606327731418688</v>
      </c>
      <c r="M21">
        <f t="shared" si="4"/>
        <v>496.07246538119642</v>
      </c>
      <c r="N21">
        <f t="shared" si="5"/>
        <v>8.4895186466666675E-2</v>
      </c>
      <c r="O21">
        <f t="shared" si="6"/>
        <v>8.871666995734738E-2</v>
      </c>
    </row>
    <row r="22" spans="1:15" x14ac:dyDescent="0.35">
      <c r="A22">
        <v>0.8</v>
      </c>
      <c r="B22">
        <v>1.7081</v>
      </c>
      <c r="C22" s="2">
        <v>36897</v>
      </c>
      <c r="G22">
        <f t="shared" si="7"/>
        <v>15</v>
      </c>
      <c r="H22">
        <f t="shared" si="0"/>
        <v>9.1999999999999993</v>
      </c>
      <c r="I22">
        <f t="shared" si="1"/>
        <v>996.63599999999985</v>
      </c>
      <c r="J22">
        <f t="shared" si="8"/>
        <v>1.3674115505</v>
      </c>
      <c r="K22">
        <f t="shared" si="2"/>
        <v>13.6325884495</v>
      </c>
      <c r="L22">
        <f t="shared" si="3"/>
        <v>73.106879422928174</v>
      </c>
      <c r="M22">
        <f t="shared" si="4"/>
        <v>504.69942488651981</v>
      </c>
      <c r="N22">
        <f t="shared" si="5"/>
        <v>9.1160770033333324E-2</v>
      </c>
      <c r="O22">
        <f t="shared" si="6"/>
        <v>9.5587065170206639E-2</v>
      </c>
    </row>
    <row r="23" spans="1:15" x14ac:dyDescent="0.35">
      <c r="A23">
        <v>0.9</v>
      </c>
      <c r="B23">
        <v>1.8090999999999999</v>
      </c>
      <c r="C23" s="2">
        <v>37739</v>
      </c>
      <c r="G23">
        <f t="shared" si="7"/>
        <v>15</v>
      </c>
      <c r="H23">
        <f t="shared" si="0"/>
        <v>9.1999999999999993</v>
      </c>
      <c r="I23">
        <f t="shared" si="1"/>
        <v>996.63599999999985</v>
      </c>
      <c r="J23">
        <f t="shared" si="8"/>
        <v>1.4606369435</v>
      </c>
      <c r="K23">
        <f t="shared" si="2"/>
        <v>13.539363056500001</v>
      </c>
      <c r="L23">
        <f t="shared" si="3"/>
        <v>73.610257427991272</v>
      </c>
      <c r="M23">
        <f t="shared" si="4"/>
        <v>512.68670044956593</v>
      </c>
      <c r="N23">
        <f t="shared" si="5"/>
        <v>9.7375796233333325E-2</v>
      </c>
      <c r="O23">
        <f t="shared" si="6"/>
        <v>0.10244897634200231</v>
      </c>
    </row>
    <row r="24" spans="1:15" x14ac:dyDescent="0.35">
      <c r="A24">
        <v>1</v>
      </c>
      <c r="B24">
        <v>2.0116999999999998</v>
      </c>
      <c r="C24" s="2">
        <v>39384</v>
      </c>
      <c r="G24">
        <f t="shared" si="7"/>
        <v>15</v>
      </c>
      <c r="H24">
        <f t="shared" si="0"/>
        <v>9.1999999999999993</v>
      </c>
      <c r="I24">
        <f t="shared" si="1"/>
        <v>996.63599999999985</v>
      </c>
      <c r="J24">
        <f t="shared" si="8"/>
        <v>1.6480478359999999</v>
      </c>
      <c r="K24">
        <f t="shared" si="2"/>
        <v>13.351952164</v>
      </c>
      <c r="L24">
        <f t="shared" si="3"/>
        <v>74.643466944643848</v>
      </c>
      <c r="M24">
        <f t="shared" si="4"/>
        <v>527.62822537714476</v>
      </c>
      <c r="N24">
        <f t="shared" si="5"/>
        <v>0.10986985573333333</v>
      </c>
      <c r="O24">
        <f t="shared" si="6"/>
        <v>0.11638759743333596</v>
      </c>
    </row>
    <row r="25" spans="1:15" x14ac:dyDescent="0.35">
      <c r="A25">
        <v>1.1000000000000001</v>
      </c>
      <c r="B25">
        <v>2.1132</v>
      </c>
      <c r="C25" s="2">
        <v>40221</v>
      </c>
      <c r="G25">
        <f t="shared" si="7"/>
        <v>15</v>
      </c>
      <c r="H25">
        <f t="shared" si="0"/>
        <v>9.1999999999999993</v>
      </c>
      <c r="I25">
        <f t="shared" si="1"/>
        <v>996.63599999999985</v>
      </c>
      <c r="J25">
        <f t="shared" si="8"/>
        <v>1.7418193965</v>
      </c>
      <c r="K25">
        <f t="shared" si="2"/>
        <v>13.2581806035</v>
      </c>
      <c r="L25">
        <f t="shared" si="3"/>
        <v>75.171400194752209</v>
      </c>
      <c r="M25">
        <f t="shared" si="4"/>
        <v>535.05721452302907</v>
      </c>
      <c r="N25">
        <f t="shared" si="5"/>
        <v>0.11612129309999999</v>
      </c>
      <c r="O25">
        <f t="shared" si="6"/>
        <v>0.1234354351477033</v>
      </c>
    </row>
    <row r="26" spans="1:15" x14ac:dyDescent="0.35">
      <c r="A26">
        <v>1.2</v>
      </c>
      <c r="B26">
        <v>2.2149999999999999</v>
      </c>
      <c r="C26" s="2">
        <v>40973</v>
      </c>
      <c r="G26">
        <f t="shared" si="7"/>
        <v>15</v>
      </c>
      <c r="H26">
        <f t="shared" si="0"/>
        <v>9.1999999999999993</v>
      </c>
      <c r="I26">
        <f t="shared" si="1"/>
        <v>996.63599999999985</v>
      </c>
      <c r="J26">
        <f t="shared" si="8"/>
        <v>1.8366758044999998</v>
      </c>
      <c r="K26">
        <f t="shared" si="2"/>
        <v>13.1633241955</v>
      </c>
      <c r="L26">
        <f t="shared" si="3"/>
        <v>75.71309383542409</v>
      </c>
      <c r="M26">
        <f t="shared" si="4"/>
        <v>541.16134904039347</v>
      </c>
      <c r="N26">
        <f t="shared" si="5"/>
        <v>0.12244505363333331</v>
      </c>
      <c r="O26">
        <f t="shared" si="6"/>
        <v>0.1306157086604047</v>
      </c>
    </row>
    <row r="27" spans="1:15" x14ac:dyDescent="0.35">
      <c r="A27">
        <v>1.3</v>
      </c>
      <c r="B27">
        <v>2.3197999999999999</v>
      </c>
      <c r="C27" s="2">
        <v>41778</v>
      </c>
      <c r="G27">
        <f t="shared" si="7"/>
        <v>15</v>
      </c>
      <c r="H27">
        <f t="shared" si="0"/>
        <v>9.1999999999999993</v>
      </c>
      <c r="I27">
        <f t="shared" si="1"/>
        <v>996.63599999999985</v>
      </c>
      <c r="J27">
        <f t="shared" si="8"/>
        <v>1.9340428369999998</v>
      </c>
      <c r="K27">
        <f t="shared" si="2"/>
        <v>13.065957163</v>
      </c>
      <c r="L27">
        <f t="shared" si="3"/>
        <v>76.277305027622475</v>
      </c>
      <c r="M27">
        <f t="shared" si="4"/>
        <v>547.7120617314788</v>
      </c>
      <c r="N27">
        <f t="shared" si="5"/>
        <v>0.12893618913333332</v>
      </c>
      <c r="O27">
        <f t="shared" si="6"/>
        <v>0.13804004319813329</v>
      </c>
    </row>
    <row r="28" spans="1:15" x14ac:dyDescent="0.35">
      <c r="A28">
        <v>1.4</v>
      </c>
      <c r="B28">
        <v>2.4214000000000002</v>
      </c>
      <c r="C28" s="2">
        <v>42508</v>
      </c>
      <c r="G28">
        <f t="shared" si="7"/>
        <v>15</v>
      </c>
      <c r="H28">
        <f t="shared" si="0"/>
        <v>9.1999999999999993</v>
      </c>
      <c r="I28">
        <f t="shared" si="1"/>
        <v>996.63599999999985</v>
      </c>
      <c r="J28">
        <f t="shared" si="8"/>
        <v>2.0289023820000001</v>
      </c>
      <c r="K28">
        <f t="shared" si="2"/>
        <v>12.971097618</v>
      </c>
      <c r="L28">
        <f t="shared" si="3"/>
        <v>76.835132180099194</v>
      </c>
      <c r="M28">
        <f t="shared" si="4"/>
        <v>553.23650514926624</v>
      </c>
      <c r="N28">
        <f t="shared" si="5"/>
        <v>0.1352601588</v>
      </c>
      <c r="O28">
        <f t="shared" si="6"/>
        <v>0.14532657890660119</v>
      </c>
    </row>
    <row r="29" spans="1:15" x14ac:dyDescent="0.35">
      <c r="A29">
        <v>1.5</v>
      </c>
      <c r="B29">
        <v>2.5228000000000002</v>
      </c>
      <c r="C29" s="2">
        <v>43287</v>
      </c>
      <c r="G29">
        <f t="shared" si="7"/>
        <v>15</v>
      </c>
      <c r="H29">
        <f t="shared" si="0"/>
        <v>9.1999999999999993</v>
      </c>
      <c r="I29">
        <f t="shared" si="1"/>
        <v>996.63599999999985</v>
      </c>
      <c r="J29">
        <f t="shared" si="8"/>
        <v>2.1231094855000001</v>
      </c>
      <c r="K29">
        <f t="shared" si="2"/>
        <v>12.876890514499999</v>
      </c>
      <c r="L29">
        <f t="shared" si="3"/>
        <v>77.397256649634443</v>
      </c>
      <c r="M29">
        <f t="shared" si="4"/>
        <v>559.283389021831</v>
      </c>
      <c r="N29">
        <f t="shared" si="5"/>
        <v>0.14154063236666667</v>
      </c>
      <c r="O29">
        <f t="shared" si="6"/>
        <v>0.15261592925410186</v>
      </c>
    </row>
    <row r="30" spans="1:15" x14ac:dyDescent="0.35">
      <c r="A30">
        <v>1.6</v>
      </c>
      <c r="B30">
        <v>2.6242999999999999</v>
      </c>
      <c r="C30" s="2">
        <v>44013</v>
      </c>
      <c r="G30">
        <f t="shared" si="7"/>
        <v>15</v>
      </c>
      <c r="H30">
        <f t="shared" si="0"/>
        <v>9.1999999999999993</v>
      </c>
      <c r="I30">
        <f t="shared" si="1"/>
        <v>996.63599999999985</v>
      </c>
      <c r="J30">
        <f t="shared" si="8"/>
        <v>2.2179059644999999</v>
      </c>
      <c r="K30">
        <f t="shared" si="2"/>
        <v>12.7820940355</v>
      </c>
      <c r="L30">
        <f t="shared" si="3"/>
        <v>77.971261769160833</v>
      </c>
      <c r="M30">
        <f t="shared" si="4"/>
        <v>564.47720610580154</v>
      </c>
      <c r="N30">
        <f t="shared" si="5"/>
        <v>0.14786039763333333</v>
      </c>
      <c r="O30">
        <f t="shared" si="6"/>
        <v>0.16000491303214714</v>
      </c>
    </row>
    <row r="31" spans="1:15" x14ac:dyDescent="0.35">
      <c r="A31">
        <v>1.7</v>
      </c>
      <c r="B31">
        <v>2.7259000000000002</v>
      </c>
      <c r="C31" s="2">
        <v>44760</v>
      </c>
      <c r="G31">
        <f t="shared" si="7"/>
        <v>15</v>
      </c>
      <c r="H31">
        <f t="shared" si="0"/>
        <v>9.1999999999999993</v>
      </c>
      <c r="I31">
        <f t="shared" si="1"/>
        <v>996.63599999999985</v>
      </c>
      <c r="J31">
        <f t="shared" si="8"/>
        <v>2.3126085400000003</v>
      </c>
      <c r="K31">
        <f t="shared" si="2"/>
        <v>12.687391460000001</v>
      </c>
      <c r="L31">
        <f t="shared" si="3"/>
        <v>78.553263146497088</v>
      </c>
      <c r="M31">
        <f t="shared" si="4"/>
        <v>569.80446396638297</v>
      </c>
      <c r="N31">
        <f t="shared" si="5"/>
        <v>0.1541739026666667</v>
      </c>
      <c r="O31">
        <f t="shared" si="6"/>
        <v>0.16744149921364443</v>
      </c>
    </row>
    <row r="32" spans="1:15" x14ac:dyDescent="0.35">
      <c r="A32">
        <v>1.8</v>
      </c>
      <c r="B32">
        <v>2.8275000000000001</v>
      </c>
      <c r="C32" s="2">
        <v>45467</v>
      </c>
      <c r="G32">
        <f t="shared" si="7"/>
        <v>15</v>
      </c>
      <c r="H32">
        <f t="shared" si="0"/>
        <v>9.1999999999999993</v>
      </c>
      <c r="I32">
        <f t="shared" si="1"/>
        <v>996.63599999999985</v>
      </c>
      <c r="J32">
        <f t="shared" si="8"/>
        <v>2.4076804555</v>
      </c>
      <c r="K32">
        <f t="shared" si="2"/>
        <v>12.5923195445</v>
      </c>
      <c r="L32">
        <f t="shared" si="3"/>
        <v>79.146339677768481</v>
      </c>
      <c r="M32">
        <f t="shared" si="4"/>
        <v>574.46750140450638</v>
      </c>
      <c r="N32">
        <f t="shared" si="5"/>
        <v>0.16051203036666667</v>
      </c>
      <c r="O32">
        <f t="shared" si="6"/>
        <v>0.17496313296229912</v>
      </c>
    </row>
    <row r="33" spans="1:15" x14ac:dyDescent="0.35">
      <c r="A33">
        <v>1.9</v>
      </c>
      <c r="B33">
        <v>3.0314000000000001</v>
      </c>
      <c r="C33" s="2">
        <v>46906</v>
      </c>
      <c r="G33">
        <f t="shared" si="7"/>
        <v>15</v>
      </c>
      <c r="H33">
        <f t="shared" si="0"/>
        <v>9.1999999999999993</v>
      </c>
      <c r="I33">
        <f t="shared" si="1"/>
        <v>996.63599999999985</v>
      </c>
      <c r="J33">
        <f t="shared" si="8"/>
        <v>2.5982934490000003</v>
      </c>
      <c r="K33">
        <f t="shared" si="2"/>
        <v>12.401706551</v>
      </c>
      <c r="L33">
        <f t="shared" si="3"/>
        <v>80.362811029393129</v>
      </c>
      <c r="M33">
        <f t="shared" si="4"/>
        <v>583.67794007160694</v>
      </c>
      <c r="N33">
        <f t="shared" si="5"/>
        <v>0.17321956326666668</v>
      </c>
      <c r="O33">
        <f t="shared" si="6"/>
        <v>0.1902161128800362</v>
      </c>
    </row>
    <row r="34" spans="1:15" x14ac:dyDescent="0.35">
      <c r="A34">
        <v>2</v>
      </c>
      <c r="B34">
        <v>3.1362000000000001</v>
      </c>
      <c r="C34" s="2">
        <v>47633</v>
      </c>
      <c r="G34">
        <f t="shared" si="7"/>
        <v>15</v>
      </c>
      <c r="H34">
        <f t="shared" si="0"/>
        <v>9.1999999999999993</v>
      </c>
      <c r="I34">
        <f t="shared" si="1"/>
        <v>996.63599999999985</v>
      </c>
      <c r="J34">
        <f t="shared" si="8"/>
        <v>2.6963806945000002</v>
      </c>
      <c r="K34">
        <f t="shared" si="2"/>
        <v>12.3036193055</v>
      </c>
      <c r="L34">
        <f t="shared" si="3"/>
        <v>81.003481597848264</v>
      </c>
      <c r="M34">
        <f t="shared" si="4"/>
        <v>588.03645300679648</v>
      </c>
      <c r="N34">
        <f t="shared" si="5"/>
        <v>0.17975871296666668</v>
      </c>
      <c r="O34">
        <f t="shared" si="6"/>
        <v>0.1981567295279337</v>
      </c>
    </row>
    <row r="35" spans="1:15" x14ac:dyDescent="0.35">
      <c r="A35">
        <v>2.1</v>
      </c>
      <c r="B35">
        <v>3.2383999999999999</v>
      </c>
      <c r="C35" s="2">
        <v>48314</v>
      </c>
      <c r="G35">
        <f t="shared" si="7"/>
        <v>15</v>
      </c>
      <c r="H35">
        <f t="shared" si="0"/>
        <v>9.1999999999999993</v>
      </c>
      <c r="I35">
        <f t="shared" si="1"/>
        <v>996.63599999999985</v>
      </c>
      <c r="J35">
        <f t="shared" si="8"/>
        <v>2.7922926810000002</v>
      </c>
      <c r="K35">
        <f t="shared" si="2"/>
        <v>12.207707319000001</v>
      </c>
      <c r="L35">
        <f t="shared" si="3"/>
        <v>81.639899610702628</v>
      </c>
      <c r="M35">
        <f t="shared" si="4"/>
        <v>591.7939663128426</v>
      </c>
      <c r="N35">
        <f t="shared" si="5"/>
        <v>0.18615284540000002</v>
      </c>
      <c r="O35">
        <f t="shared" si="6"/>
        <v>0.20598270137240393</v>
      </c>
    </row>
    <row r="36" spans="1:15" x14ac:dyDescent="0.35">
      <c r="A36">
        <v>2.2000000000000002</v>
      </c>
      <c r="B36">
        <v>3.3405999999999998</v>
      </c>
      <c r="C36" s="2">
        <v>49040</v>
      </c>
      <c r="G36">
        <f t="shared" si="7"/>
        <v>15</v>
      </c>
      <c r="H36">
        <f t="shared" si="0"/>
        <v>9.1999999999999993</v>
      </c>
      <c r="I36">
        <f t="shared" si="1"/>
        <v>996.63599999999985</v>
      </c>
      <c r="J36">
        <f t="shared" si="8"/>
        <v>2.8877891599999996</v>
      </c>
      <c r="K36">
        <f t="shared" si="2"/>
        <v>12.112210839999999</v>
      </c>
      <c r="L36">
        <f t="shared" si="3"/>
        <v>82.283574251255345</v>
      </c>
      <c r="M36">
        <f t="shared" si="4"/>
        <v>595.98772229138831</v>
      </c>
      <c r="N36">
        <f t="shared" si="5"/>
        <v>0.19251927733333332</v>
      </c>
      <c r="O36">
        <f t="shared" si="6"/>
        <v>0.2138360970289038</v>
      </c>
    </row>
    <row r="37" spans="1:15" x14ac:dyDescent="0.35">
      <c r="A37">
        <v>2.2999999999999998</v>
      </c>
      <c r="B37">
        <v>3.4432</v>
      </c>
      <c r="C37" s="2">
        <v>49723</v>
      </c>
      <c r="G37">
        <f t="shared" si="7"/>
        <v>15</v>
      </c>
      <c r="H37">
        <f t="shared" si="0"/>
        <v>9.1999999999999993</v>
      </c>
      <c r="I37">
        <f t="shared" si="1"/>
        <v>996.63599999999985</v>
      </c>
      <c r="J37">
        <f t="shared" si="8"/>
        <v>2.9840826795000002</v>
      </c>
      <c r="K37">
        <f t="shared" si="2"/>
        <v>12.0159173205</v>
      </c>
      <c r="L37">
        <f t="shared" si="3"/>
        <v>82.942980832571877</v>
      </c>
      <c r="M37">
        <f t="shared" si="4"/>
        <v>599.48412151198784</v>
      </c>
      <c r="N37">
        <f t="shared" si="5"/>
        <v>0.1989388453</v>
      </c>
      <c r="O37">
        <f t="shared" si="6"/>
        <v>0.22181798688805868</v>
      </c>
    </row>
    <row r="38" spans="1:15" x14ac:dyDescent="0.35">
      <c r="A38">
        <v>2.4</v>
      </c>
      <c r="B38">
        <v>3.5455000000000001</v>
      </c>
      <c r="C38" s="2">
        <v>50454</v>
      </c>
      <c r="G38">
        <f t="shared" si="7"/>
        <v>15</v>
      </c>
      <c r="H38">
        <f t="shared" si="0"/>
        <v>9.1999999999999993</v>
      </c>
      <c r="I38">
        <f t="shared" si="1"/>
        <v>996.63599999999985</v>
      </c>
      <c r="J38">
        <f t="shared" si="8"/>
        <v>3.079632991</v>
      </c>
      <c r="K38">
        <f t="shared" si="2"/>
        <v>11.920367009</v>
      </c>
      <c r="L38">
        <f t="shared" si="3"/>
        <v>83.60782845423546</v>
      </c>
      <c r="M38">
        <f t="shared" si="4"/>
        <v>603.46023731039827</v>
      </c>
      <c r="N38">
        <f t="shared" si="5"/>
        <v>0.20530886606666668</v>
      </c>
      <c r="O38">
        <f t="shared" si="6"/>
        <v>0.2298017505933509</v>
      </c>
    </row>
    <row r="39" spans="1:15" x14ac:dyDescent="0.35">
      <c r="A39">
        <v>2.5</v>
      </c>
      <c r="B39">
        <v>3.6482000000000001</v>
      </c>
      <c r="C39" s="2">
        <v>51178</v>
      </c>
      <c r="G39">
        <f t="shared" si="7"/>
        <v>15</v>
      </c>
      <c r="H39">
        <f t="shared" si="0"/>
        <v>9.1999999999999993</v>
      </c>
      <c r="I39">
        <f t="shared" si="1"/>
        <v>996.63599999999985</v>
      </c>
      <c r="J39">
        <f t="shared" si="8"/>
        <v>3.1756479369999999</v>
      </c>
      <c r="K39">
        <f t="shared" si="2"/>
        <v>11.824352062999999</v>
      </c>
      <c r="L39">
        <f t="shared" si="3"/>
        <v>84.28673255751653</v>
      </c>
      <c r="M39">
        <f t="shared" si="4"/>
        <v>607.18927459996837</v>
      </c>
      <c r="N39">
        <f t="shared" si="5"/>
        <v>0.21170986246666665</v>
      </c>
      <c r="O39">
        <f t="shared" si="6"/>
        <v>0.23788906205208837</v>
      </c>
    </row>
    <row r="40" spans="1:15" x14ac:dyDescent="0.35">
      <c r="A40">
        <v>2.6</v>
      </c>
      <c r="B40">
        <v>3.7505000000000002</v>
      </c>
      <c r="C40" s="2">
        <v>51858</v>
      </c>
      <c r="G40">
        <f t="shared" si="7"/>
        <v>15</v>
      </c>
      <c r="H40">
        <f t="shared" si="0"/>
        <v>9.1999999999999993</v>
      </c>
      <c r="I40">
        <f t="shared" si="1"/>
        <v>996.63599999999985</v>
      </c>
      <c r="J40">
        <f t="shared" si="8"/>
        <v>3.2716691570000003</v>
      </c>
      <c r="K40">
        <f t="shared" si="2"/>
        <v>11.728330843</v>
      </c>
      <c r="L40">
        <f t="shared" si="3"/>
        <v>84.976797921320355</v>
      </c>
      <c r="M40">
        <f t="shared" si="4"/>
        <v>610.26069784384083</v>
      </c>
      <c r="N40">
        <f t="shared" si="5"/>
        <v>0.21811127713333336</v>
      </c>
      <c r="O40">
        <f t="shared" si="6"/>
        <v>0.24604284668663168</v>
      </c>
    </row>
    <row r="41" spans="1:15" x14ac:dyDescent="0.35">
      <c r="A41">
        <v>2.7</v>
      </c>
      <c r="B41">
        <v>3.8525999999999998</v>
      </c>
      <c r="C41" s="2">
        <v>52582</v>
      </c>
      <c r="G41">
        <f t="shared" si="7"/>
        <v>15</v>
      </c>
      <c r="H41">
        <f t="shared" si="0"/>
        <v>9.1999999999999993</v>
      </c>
      <c r="I41">
        <f t="shared" si="1"/>
        <v>996.63599999999985</v>
      </c>
      <c r="J41">
        <f t="shared" si="8"/>
        <v>3.3670841029999998</v>
      </c>
      <c r="K41">
        <f t="shared" si="2"/>
        <v>11.632915897</v>
      </c>
      <c r="L41">
        <f t="shared" si="3"/>
        <v>85.67379054610214</v>
      </c>
      <c r="M41">
        <f t="shared" si="4"/>
        <v>613.74662735046104</v>
      </c>
      <c r="N41">
        <f t="shared" si="5"/>
        <v>0.22447227353333332</v>
      </c>
      <c r="O41">
        <f t="shared" si="6"/>
        <v>0.25421154398511026</v>
      </c>
    </row>
    <row r="42" spans="1:15" x14ac:dyDescent="0.35">
      <c r="A42">
        <v>2.8</v>
      </c>
      <c r="B42">
        <v>3.9586000000000001</v>
      </c>
      <c r="C42" s="2">
        <v>53318</v>
      </c>
      <c r="G42">
        <f t="shared" si="7"/>
        <v>15</v>
      </c>
      <c r="H42">
        <f t="shared" si="0"/>
        <v>9.1999999999999993</v>
      </c>
      <c r="I42">
        <f t="shared" si="1"/>
        <v>996.63599999999985</v>
      </c>
      <c r="J42">
        <f t="shared" si="8"/>
        <v>3.466288247</v>
      </c>
      <c r="K42">
        <f t="shared" si="2"/>
        <v>11.533711753</v>
      </c>
      <c r="L42">
        <f t="shared" si="3"/>
        <v>86.410690794380898</v>
      </c>
      <c r="M42">
        <f t="shared" si="4"/>
        <v>617.03013261256274</v>
      </c>
      <c r="N42">
        <f t="shared" si="5"/>
        <v>0.23108588313333334</v>
      </c>
      <c r="O42">
        <f t="shared" si="6"/>
        <v>0.26277599729115159</v>
      </c>
    </row>
    <row r="43" spans="1:15" x14ac:dyDescent="0.35">
      <c r="A43">
        <v>2.9</v>
      </c>
      <c r="B43">
        <v>4.0612000000000004</v>
      </c>
      <c r="C43" s="2">
        <v>54028</v>
      </c>
      <c r="G43">
        <f t="shared" si="7"/>
        <v>15</v>
      </c>
      <c r="H43">
        <f t="shared" si="0"/>
        <v>9.1999999999999993</v>
      </c>
      <c r="I43">
        <f t="shared" si="1"/>
        <v>996.63599999999985</v>
      </c>
      <c r="J43">
        <f t="shared" si="8"/>
        <v>3.5623324620000005</v>
      </c>
      <c r="K43">
        <f t="shared" si="2"/>
        <v>11.437667537999999</v>
      </c>
      <c r="L43">
        <f t="shared" si="3"/>
        <v>87.136297386579969</v>
      </c>
      <c r="M43">
        <f t="shared" si="4"/>
        <v>620.04011669562817</v>
      </c>
      <c r="N43">
        <f t="shared" si="5"/>
        <v>0.23748883080000002</v>
      </c>
      <c r="O43">
        <f t="shared" si="6"/>
        <v>0.27113812247670566</v>
      </c>
    </row>
    <row r="44" spans="1:15" x14ac:dyDescent="0.35">
      <c r="A44">
        <v>3</v>
      </c>
      <c r="B44">
        <v>4.1635999999999997</v>
      </c>
      <c r="C44" s="2">
        <v>54806</v>
      </c>
      <c r="G44">
        <f t="shared" si="7"/>
        <v>15</v>
      </c>
      <c r="H44">
        <f t="shared" si="0"/>
        <v>9.1999999999999993</v>
      </c>
      <c r="I44">
        <f t="shared" si="1"/>
        <v>996.63599999999985</v>
      </c>
      <c r="J44">
        <f t="shared" si="8"/>
        <v>3.6575487989999997</v>
      </c>
      <c r="K44">
        <f t="shared" si="2"/>
        <v>11.342451200999999</v>
      </c>
      <c r="L44">
        <f t="shared" si="3"/>
        <v>87.867779401345999</v>
      </c>
      <c r="M44">
        <f t="shared" si="4"/>
        <v>623.73261704574793</v>
      </c>
      <c r="N44">
        <f t="shared" si="5"/>
        <v>0.24383658659999999</v>
      </c>
      <c r="O44">
        <f t="shared" si="6"/>
        <v>0.27949777086978789</v>
      </c>
    </row>
    <row r="45" spans="1:15" x14ac:dyDescent="0.35">
      <c r="A45">
        <v>3.1</v>
      </c>
      <c r="B45">
        <v>4.2667000000000002</v>
      </c>
      <c r="C45" s="2">
        <v>55550</v>
      </c>
      <c r="G45">
        <f t="shared" si="7"/>
        <v>15</v>
      </c>
      <c r="H45">
        <f t="shared" si="0"/>
        <v>9.1999999999999993</v>
      </c>
      <c r="I45">
        <f t="shared" si="1"/>
        <v>996.63599999999985</v>
      </c>
      <c r="J45">
        <f t="shared" si="8"/>
        <v>3.7537790750000002</v>
      </c>
      <c r="K45">
        <f t="shared" si="2"/>
        <v>11.246220924999999</v>
      </c>
      <c r="L45">
        <f t="shared" si="3"/>
        <v>88.619635577717403</v>
      </c>
      <c r="M45">
        <f t="shared" si="4"/>
        <v>626.83624952715945</v>
      </c>
      <c r="N45">
        <f t="shared" si="5"/>
        <v>0.25025193833333337</v>
      </c>
      <c r="O45">
        <f t="shared" si="6"/>
        <v>0.28801804666257369</v>
      </c>
    </row>
    <row r="46" spans="1:15" x14ac:dyDescent="0.35">
      <c r="A46">
        <v>3.2</v>
      </c>
      <c r="B46">
        <v>4.3696999999999999</v>
      </c>
      <c r="C46" s="2">
        <v>56265</v>
      </c>
      <c r="G46">
        <f t="shared" si="7"/>
        <v>15</v>
      </c>
      <c r="H46">
        <f t="shared" si="0"/>
        <v>9.1999999999999993</v>
      </c>
      <c r="I46">
        <f t="shared" si="1"/>
        <v>996.63599999999985</v>
      </c>
      <c r="J46">
        <f t="shared" si="8"/>
        <v>3.8501771224999999</v>
      </c>
      <c r="K46">
        <f t="shared" si="2"/>
        <v>11.1498228775</v>
      </c>
      <c r="L46">
        <f t="shared" si="3"/>
        <v>89.385814550577365</v>
      </c>
      <c r="M46">
        <f t="shared" si="4"/>
        <v>629.46229536414251</v>
      </c>
      <c r="N46">
        <f t="shared" si="5"/>
        <v>0.25667847483333334</v>
      </c>
      <c r="O46">
        <f t="shared" si="6"/>
        <v>0.29662658874826592</v>
      </c>
    </row>
    <row r="47" spans="1:15" x14ac:dyDescent="0.35">
      <c r="A47">
        <v>3.3</v>
      </c>
      <c r="B47">
        <v>4.4729999999999999</v>
      </c>
      <c r="C47" s="2">
        <v>57021</v>
      </c>
      <c r="G47">
        <f t="shared" si="7"/>
        <v>15</v>
      </c>
      <c r="H47">
        <f t="shared" si="0"/>
        <v>9.1999999999999993</v>
      </c>
      <c r="I47">
        <f t="shared" si="1"/>
        <v>996.63599999999985</v>
      </c>
      <c r="J47">
        <f t="shared" si="8"/>
        <v>3.9464965964999998</v>
      </c>
      <c r="K47">
        <f t="shared" si="2"/>
        <v>11.053503403500001</v>
      </c>
      <c r="L47">
        <f t="shared" si="3"/>
        <v>90.164716435915082</v>
      </c>
      <c r="M47">
        <f t="shared" si="4"/>
        <v>632.40924226194284</v>
      </c>
      <c r="N47">
        <f t="shared" si="5"/>
        <v>0.26309977309999999</v>
      </c>
      <c r="O47">
        <f t="shared" si="6"/>
        <v>0.30530277329770938</v>
      </c>
    </row>
    <row r="48" spans="1:15" x14ac:dyDescent="0.35">
      <c r="A48">
        <v>3.4</v>
      </c>
      <c r="B48">
        <v>4.7838000000000003</v>
      </c>
      <c r="C48" s="2">
        <v>59321</v>
      </c>
      <c r="G48">
        <f t="shared" si="7"/>
        <v>15</v>
      </c>
      <c r="H48">
        <f t="shared" si="0"/>
        <v>9.1999999999999993</v>
      </c>
      <c r="I48">
        <f t="shared" si="1"/>
        <v>996.63599999999985</v>
      </c>
      <c r="J48">
        <f t="shared" si="8"/>
        <v>4.2360595464999999</v>
      </c>
      <c r="K48">
        <f t="shared" si="2"/>
        <v>10.7639404535</v>
      </c>
      <c r="L48">
        <f t="shared" si="3"/>
        <v>92.590255799485959</v>
      </c>
      <c r="M48">
        <f t="shared" si="4"/>
        <v>640.68296915029521</v>
      </c>
      <c r="N48">
        <f t="shared" si="5"/>
        <v>0.28240396976666665</v>
      </c>
      <c r="O48">
        <f t="shared" si="6"/>
        <v>0.33184850025768325</v>
      </c>
    </row>
    <row r="49" spans="1:15" x14ac:dyDescent="0.35">
      <c r="A49">
        <v>3.5</v>
      </c>
      <c r="B49">
        <v>4.8871000000000002</v>
      </c>
      <c r="C49" s="2">
        <v>60106</v>
      </c>
      <c r="G49">
        <f t="shared" si="7"/>
        <v>15</v>
      </c>
      <c r="H49">
        <f t="shared" si="0"/>
        <v>9.1999999999999993</v>
      </c>
      <c r="I49">
        <f t="shared" si="1"/>
        <v>996.63599999999985</v>
      </c>
      <c r="J49">
        <f t="shared" si="8"/>
        <v>4.3321112490000004</v>
      </c>
      <c r="K49">
        <f t="shared" si="2"/>
        <v>10.667888751</v>
      </c>
      <c r="L49">
        <f t="shared" si="3"/>
        <v>93.423921383373624</v>
      </c>
      <c r="M49">
        <f t="shared" si="4"/>
        <v>643.3684126076181</v>
      </c>
      <c r="N49">
        <f t="shared" si="5"/>
        <v>0.28880741660000003</v>
      </c>
      <c r="O49">
        <f t="shared" si="6"/>
        <v>0.34081202312703091</v>
      </c>
    </row>
    <row r="50" spans="1:15" x14ac:dyDescent="0.35">
      <c r="A50">
        <v>3.6</v>
      </c>
      <c r="B50">
        <v>4.9903000000000004</v>
      </c>
      <c r="C50" s="2">
        <v>60903</v>
      </c>
      <c r="G50">
        <f t="shared" si="7"/>
        <v>15</v>
      </c>
      <c r="H50">
        <f t="shared" si="0"/>
        <v>9.1999999999999993</v>
      </c>
      <c r="I50">
        <f t="shared" si="1"/>
        <v>996.63599999999985</v>
      </c>
      <c r="J50">
        <f t="shared" si="8"/>
        <v>4.4279521495000003</v>
      </c>
      <c r="K50">
        <f t="shared" si="2"/>
        <v>10.572047850499999</v>
      </c>
      <c r="L50">
        <f t="shared" si="3"/>
        <v>94.270855948960218</v>
      </c>
      <c r="M50">
        <f t="shared" si="4"/>
        <v>646.0427179421589</v>
      </c>
      <c r="N50">
        <f t="shared" si="5"/>
        <v>0.2951968099666667</v>
      </c>
      <c r="O50">
        <f t="shared" si="6"/>
        <v>0.34983667821641878</v>
      </c>
    </row>
    <row r="51" spans="1:15" x14ac:dyDescent="0.35">
      <c r="A51">
        <v>3.7</v>
      </c>
      <c r="B51">
        <v>5.0933000000000002</v>
      </c>
      <c r="C51" s="2">
        <v>61721</v>
      </c>
      <c r="G51">
        <f t="shared" si="7"/>
        <v>15</v>
      </c>
      <c r="H51">
        <f t="shared" si="0"/>
        <v>9.1999999999999993</v>
      </c>
      <c r="I51">
        <f t="shared" si="1"/>
        <v>996.63599999999985</v>
      </c>
      <c r="J51">
        <f t="shared" si="8"/>
        <v>4.5233991465000001</v>
      </c>
      <c r="K51">
        <f t="shared" si="2"/>
        <v>10.476600853499999</v>
      </c>
      <c r="L51">
        <f t="shared" si="3"/>
        <v>95.129709906533847</v>
      </c>
      <c r="M51">
        <f t="shared" si="4"/>
        <v>648.80887433212683</v>
      </c>
      <c r="N51">
        <f t="shared" si="5"/>
        <v>0.30155994310000001</v>
      </c>
      <c r="O51">
        <f t="shared" si="6"/>
        <v>0.35890592086094369</v>
      </c>
    </row>
    <row r="52" spans="1:15" x14ac:dyDescent="0.35">
      <c r="A52">
        <v>3.8</v>
      </c>
      <c r="B52">
        <v>5.1966000000000001</v>
      </c>
      <c r="C52" s="2">
        <v>62502</v>
      </c>
      <c r="G52">
        <f t="shared" si="7"/>
        <v>15</v>
      </c>
      <c r="H52">
        <f t="shared" si="0"/>
        <v>9.1999999999999993</v>
      </c>
      <c r="I52">
        <f t="shared" si="1"/>
        <v>996.63599999999985</v>
      </c>
      <c r="J52">
        <f t="shared" si="8"/>
        <v>4.6194877830000003</v>
      </c>
      <c r="K52">
        <f t="shared" si="2"/>
        <v>10.380512217</v>
      </c>
      <c r="L52">
        <f t="shared" si="3"/>
        <v>96.010291126850646</v>
      </c>
      <c r="M52">
        <f t="shared" si="4"/>
        <v>650.99271407708943</v>
      </c>
      <c r="N52">
        <f t="shared" si="5"/>
        <v>0.3079658522</v>
      </c>
      <c r="O52">
        <f t="shared" si="6"/>
        <v>0.3681199780501756</v>
      </c>
    </row>
    <row r="53" spans="1:15" x14ac:dyDescent="0.35">
      <c r="A53">
        <v>3.9</v>
      </c>
      <c r="B53">
        <v>5.3003</v>
      </c>
      <c r="C53" s="2">
        <v>63329</v>
      </c>
      <c r="G53">
        <f t="shared" si="7"/>
        <v>15</v>
      </c>
      <c r="H53">
        <f t="shared" si="0"/>
        <v>9.1999999999999993</v>
      </c>
      <c r="I53">
        <f t="shared" si="1"/>
        <v>996.63599999999985</v>
      </c>
      <c r="J53">
        <f t="shared" si="8"/>
        <v>4.7155516784999998</v>
      </c>
      <c r="K53">
        <f t="shared" si="2"/>
        <v>10.284448321500001</v>
      </c>
      <c r="L53">
        <f t="shared" si="3"/>
        <v>96.907093977661134</v>
      </c>
      <c r="M53">
        <f t="shared" si="4"/>
        <v>653.50220918396849</v>
      </c>
      <c r="N53">
        <f t="shared" si="5"/>
        <v>0.31437011189999997</v>
      </c>
      <c r="O53">
        <f t="shared" si="6"/>
        <v>0.37741731857058142</v>
      </c>
    </row>
    <row r="54" spans="1:15" x14ac:dyDescent="0.35">
      <c r="A54">
        <v>4</v>
      </c>
      <c r="B54">
        <v>5.4036</v>
      </c>
      <c r="C54" s="2">
        <v>64161</v>
      </c>
      <c r="G54">
        <f t="shared" si="7"/>
        <v>15</v>
      </c>
      <c r="H54">
        <f t="shared" si="0"/>
        <v>9.1999999999999993</v>
      </c>
      <c r="I54">
        <f t="shared" si="1"/>
        <v>996.63599999999985</v>
      </c>
      <c r="J54">
        <f t="shared" si="8"/>
        <v>4.8111694064999995</v>
      </c>
      <c r="K54">
        <f t="shared" si="2"/>
        <v>10.188830593500001</v>
      </c>
      <c r="L54">
        <f t="shared" si="3"/>
        <v>97.816524757591637</v>
      </c>
      <c r="M54">
        <f t="shared" si="4"/>
        <v>655.93211534557611</v>
      </c>
      <c r="N54">
        <f t="shared" si="5"/>
        <v>0.32074462709999996</v>
      </c>
      <c r="O54">
        <f t="shared" si="6"/>
        <v>0.3867581206591173</v>
      </c>
    </row>
    <row r="55" spans="1:15" x14ac:dyDescent="0.35">
      <c r="A55">
        <v>4.0999999999999996</v>
      </c>
      <c r="B55">
        <v>5.5068000000000001</v>
      </c>
      <c r="C55" s="2">
        <v>65026</v>
      </c>
      <c r="G55">
        <f t="shared" si="7"/>
        <v>15</v>
      </c>
      <c r="H55">
        <f t="shared" si="0"/>
        <v>9.1999999999999993</v>
      </c>
      <c r="I55">
        <f t="shared" si="1"/>
        <v>996.63599999999985</v>
      </c>
      <c r="J55">
        <f t="shared" si="8"/>
        <v>4.9063824289999998</v>
      </c>
      <c r="K55">
        <f t="shared" si="2"/>
        <v>10.093617570999999</v>
      </c>
      <c r="L55">
        <f t="shared" si="3"/>
        <v>98.739227337425334</v>
      </c>
      <c r="M55">
        <f t="shared" si="4"/>
        <v>658.56298204344023</v>
      </c>
      <c r="N55">
        <f t="shared" si="5"/>
        <v>0.32709216193333329</v>
      </c>
      <c r="O55">
        <f t="shared" si="6"/>
        <v>0.39614690066627545</v>
      </c>
    </row>
    <row r="56" spans="1:15" x14ac:dyDescent="0.35">
      <c r="A56">
        <v>4.2</v>
      </c>
      <c r="B56">
        <v>5.6131000000000002</v>
      </c>
      <c r="C56" s="2">
        <v>65896</v>
      </c>
      <c r="G56">
        <f t="shared" si="7"/>
        <v>15</v>
      </c>
      <c r="H56">
        <f t="shared" si="0"/>
        <v>9.1999999999999993</v>
      </c>
      <c r="I56">
        <f t="shared" si="1"/>
        <v>996.63599999999985</v>
      </c>
      <c r="J56">
        <f t="shared" si="8"/>
        <v>5.0046492840000001</v>
      </c>
      <c r="K56">
        <f t="shared" si="2"/>
        <v>9.9953507160000008</v>
      </c>
      <c r="L56">
        <f t="shared" si="3"/>
        <v>99.709957991232912</v>
      </c>
      <c r="M56">
        <f t="shared" si="4"/>
        <v>660.87682040537982</v>
      </c>
      <c r="N56">
        <f t="shared" si="5"/>
        <v>0.33364328560000001</v>
      </c>
      <c r="O56">
        <f t="shared" si="6"/>
        <v>0.40593014462088395</v>
      </c>
    </row>
    <row r="57" spans="1:15" x14ac:dyDescent="0.35">
      <c r="A57">
        <v>4.3</v>
      </c>
      <c r="B57">
        <v>5.7167000000000003</v>
      </c>
      <c r="C57" s="2">
        <v>66772</v>
      </c>
      <c r="G57">
        <f t="shared" si="7"/>
        <v>15</v>
      </c>
      <c r="H57">
        <f t="shared" si="0"/>
        <v>9.1999999999999993</v>
      </c>
      <c r="I57">
        <f t="shared" si="1"/>
        <v>996.63599999999985</v>
      </c>
      <c r="J57">
        <f t="shared" si="8"/>
        <v>5.1001607380000005</v>
      </c>
      <c r="K57">
        <f t="shared" si="2"/>
        <v>9.8998392620000004</v>
      </c>
      <c r="L57">
        <f t="shared" si="3"/>
        <v>100.67193755615139</v>
      </c>
      <c r="M57">
        <f t="shared" si="4"/>
        <v>663.2632848926429</v>
      </c>
      <c r="N57">
        <f t="shared" si="5"/>
        <v>0.3400107158666667</v>
      </c>
      <c r="O57">
        <f t="shared" si="6"/>
        <v>0.41553168025508985</v>
      </c>
    </row>
    <row r="58" spans="1:15" x14ac:dyDescent="0.35">
      <c r="A58">
        <v>4.4000000000000004</v>
      </c>
      <c r="B58">
        <v>5.8197999999999999</v>
      </c>
      <c r="C58" s="2">
        <v>67610</v>
      </c>
      <c r="G58">
        <f t="shared" si="7"/>
        <v>15</v>
      </c>
      <c r="H58">
        <f t="shared" si="0"/>
        <v>9.1999999999999993</v>
      </c>
      <c r="I58">
        <f t="shared" si="1"/>
        <v>996.63599999999985</v>
      </c>
      <c r="J58">
        <f t="shared" si="8"/>
        <v>5.1955230649999997</v>
      </c>
      <c r="K58">
        <f t="shared" si="2"/>
        <v>9.8044769350000003</v>
      </c>
      <c r="L58">
        <f t="shared" si="3"/>
        <v>101.6511137317495</v>
      </c>
      <c r="M58">
        <f t="shared" si="4"/>
        <v>665.11814300843048</v>
      </c>
      <c r="N58">
        <f t="shared" si="5"/>
        <v>0.34636820433333332</v>
      </c>
      <c r="O58">
        <f t="shared" si="6"/>
        <v>0.42521108963874565</v>
      </c>
    </row>
    <row r="59" spans="1:15" x14ac:dyDescent="0.35">
      <c r="A59">
        <v>4.5</v>
      </c>
      <c r="B59">
        <v>5.9234</v>
      </c>
      <c r="C59" s="2">
        <v>68516</v>
      </c>
      <c r="G59">
        <f t="shared" si="7"/>
        <v>15</v>
      </c>
      <c r="H59">
        <f t="shared" si="0"/>
        <v>9.1999999999999993</v>
      </c>
      <c r="I59">
        <f t="shared" si="1"/>
        <v>996.63599999999985</v>
      </c>
      <c r="J59">
        <f t="shared" si="8"/>
        <v>5.2907575140000001</v>
      </c>
      <c r="K59">
        <f t="shared" si="2"/>
        <v>9.7092424860000008</v>
      </c>
      <c r="L59">
        <f t="shared" si="3"/>
        <v>102.64817275261939</v>
      </c>
      <c r="M59">
        <f t="shared" si="4"/>
        <v>667.48387392265204</v>
      </c>
      <c r="N59">
        <f t="shared" si="5"/>
        <v>0.35271716759999999</v>
      </c>
      <c r="O59">
        <f t="shared" si="6"/>
        <v>0.43497193564241715</v>
      </c>
    </row>
    <row r="60" spans="1:15" x14ac:dyDescent="0.35">
      <c r="A60">
        <v>4.5999999999999996</v>
      </c>
      <c r="B60">
        <v>6.0267999999999997</v>
      </c>
      <c r="C60" s="2">
        <v>69436</v>
      </c>
      <c r="G60">
        <f t="shared" si="7"/>
        <v>15</v>
      </c>
      <c r="H60">
        <f t="shared" si="0"/>
        <v>9.1999999999999993</v>
      </c>
      <c r="I60">
        <f t="shared" si="1"/>
        <v>996.63599999999985</v>
      </c>
      <c r="J60">
        <f t="shared" si="8"/>
        <v>5.3856626939999996</v>
      </c>
      <c r="K60">
        <f t="shared" si="2"/>
        <v>9.6143373059999995</v>
      </c>
      <c r="L60">
        <f t="shared" si="3"/>
        <v>103.66143482172518</v>
      </c>
      <c r="M60">
        <f t="shared" si="4"/>
        <v>669.83444826337404</v>
      </c>
      <c r="N60">
        <f t="shared" si="5"/>
        <v>0.35904417959999996</v>
      </c>
      <c r="O60">
        <f t="shared" si="6"/>
        <v>0.44479474736967878</v>
      </c>
    </row>
    <row r="61" spans="1:15" x14ac:dyDescent="0.35">
      <c r="A61">
        <v>4.7</v>
      </c>
      <c r="B61">
        <v>6.1298000000000004</v>
      </c>
      <c r="C61" s="2">
        <v>70379</v>
      </c>
      <c r="G61">
        <f t="shared" si="7"/>
        <v>15</v>
      </c>
      <c r="H61">
        <f t="shared" si="0"/>
        <v>9.1999999999999993</v>
      </c>
      <c r="I61">
        <f t="shared" si="1"/>
        <v>996.63599999999985</v>
      </c>
      <c r="J61">
        <f t="shared" si="8"/>
        <v>5.4799555035000003</v>
      </c>
      <c r="K61">
        <f t="shared" si="2"/>
        <v>9.5200444964999988</v>
      </c>
      <c r="L61">
        <f t="shared" si="3"/>
        <v>104.68816614947636</v>
      </c>
      <c r="M61">
        <f t="shared" si="4"/>
        <v>672.27273710680072</v>
      </c>
      <c r="N61">
        <f t="shared" si="5"/>
        <v>0.36533036690000004</v>
      </c>
      <c r="O61">
        <f t="shared" si="6"/>
        <v>0.45465067830775852</v>
      </c>
    </row>
    <row r="62" spans="1:15" x14ac:dyDescent="0.35">
      <c r="A62">
        <v>4.8</v>
      </c>
      <c r="B62">
        <v>6.2332000000000001</v>
      </c>
      <c r="C62" s="2">
        <v>71272</v>
      </c>
      <c r="G62">
        <f t="shared" si="7"/>
        <v>15</v>
      </c>
      <c r="H62">
        <f t="shared" si="0"/>
        <v>9.1999999999999993</v>
      </c>
      <c r="I62">
        <f t="shared" si="1"/>
        <v>996.63599999999985</v>
      </c>
      <c r="J62">
        <f t="shared" si="8"/>
        <v>5.5751099880000003</v>
      </c>
      <c r="K62">
        <f t="shared" si="2"/>
        <v>9.4248900119999988</v>
      </c>
      <c r="L62">
        <f t="shared" si="3"/>
        <v>105.74510670480596</v>
      </c>
      <c r="M62">
        <f t="shared" si="4"/>
        <v>673.99809051174554</v>
      </c>
      <c r="N62">
        <f t="shared" si="5"/>
        <v>0.37167399920000005</v>
      </c>
      <c r="O62">
        <f t="shared" si="6"/>
        <v>0.46469613765055201</v>
      </c>
    </row>
    <row r="63" spans="1:15" x14ac:dyDescent="0.35">
      <c r="A63">
        <v>4.9000000000000004</v>
      </c>
      <c r="B63">
        <v>6.3362999999999996</v>
      </c>
      <c r="C63" s="2">
        <v>72245</v>
      </c>
      <c r="G63">
        <f t="shared" si="7"/>
        <v>15</v>
      </c>
      <c r="H63">
        <f t="shared" si="0"/>
        <v>9.1999999999999993</v>
      </c>
      <c r="I63">
        <f t="shared" si="1"/>
        <v>996.63599999999985</v>
      </c>
      <c r="J63">
        <f t="shared" si="8"/>
        <v>5.6692257924999998</v>
      </c>
      <c r="K63">
        <f t="shared" si="2"/>
        <v>9.3307742074999993</v>
      </c>
      <c r="L63">
        <f t="shared" si="3"/>
        <v>106.81171549504563</v>
      </c>
      <c r="M63">
        <f t="shared" si="4"/>
        <v>676.37711523649318</v>
      </c>
      <c r="N63">
        <f t="shared" si="5"/>
        <v>0.37794838616666665</v>
      </c>
      <c r="O63">
        <f t="shared" si="6"/>
        <v>0.47473220924620113</v>
      </c>
    </row>
    <row r="64" spans="1:15" x14ac:dyDescent="0.35">
      <c r="A64">
        <v>5</v>
      </c>
      <c r="B64">
        <v>6.4432</v>
      </c>
      <c r="C64" s="2">
        <v>73222</v>
      </c>
      <c r="G64">
        <f t="shared" si="7"/>
        <v>15</v>
      </c>
      <c r="H64">
        <f t="shared" si="0"/>
        <v>9.1999999999999993</v>
      </c>
      <c r="I64">
        <f t="shared" si="1"/>
        <v>996.63599999999985</v>
      </c>
      <c r="J64">
        <f t="shared" si="8"/>
        <v>5.7671046629999996</v>
      </c>
      <c r="K64">
        <f t="shared" si="2"/>
        <v>9.2328953370000004</v>
      </c>
      <c r="L64">
        <f t="shared" si="3"/>
        <v>107.94403744685272</v>
      </c>
      <c r="M64">
        <f t="shared" si="4"/>
        <v>678.33297449200518</v>
      </c>
      <c r="N64">
        <f t="shared" si="5"/>
        <v>0.38447364419999996</v>
      </c>
      <c r="O64">
        <f t="shared" si="6"/>
        <v>0.48527751412816256</v>
      </c>
    </row>
    <row r="65" spans="1:15" x14ac:dyDescent="0.35">
      <c r="A65">
        <v>5.0999999999999996</v>
      </c>
      <c r="B65">
        <v>6.5469999999999997</v>
      </c>
      <c r="C65" s="2">
        <v>74236</v>
      </c>
      <c r="G65">
        <f t="shared" si="7"/>
        <v>15</v>
      </c>
      <c r="H65">
        <f t="shared" si="0"/>
        <v>9.1999999999999993</v>
      </c>
      <c r="I65">
        <f t="shared" si="1"/>
        <v>996.63599999999985</v>
      </c>
      <c r="J65">
        <f t="shared" si="8"/>
        <v>5.8615418940000001</v>
      </c>
      <c r="K65">
        <f t="shared" si="2"/>
        <v>9.1384581059999999</v>
      </c>
      <c r="L65">
        <f t="shared" si="3"/>
        <v>109.0595359129176</v>
      </c>
      <c r="M65">
        <f t="shared" si="4"/>
        <v>680.69242527564336</v>
      </c>
      <c r="N65">
        <f t="shared" si="5"/>
        <v>0.39076945960000004</v>
      </c>
      <c r="O65">
        <f t="shared" si="6"/>
        <v>0.49555852724133337</v>
      </c>
    </row>
    <row r="66" spans="1:15" x14ac:dyDescent="0.35">
      <c r="A66">
        <v>5.2</v>
      </c>
      <c r="B66">
        <v>6.6497999999999999</v>
      </c>
      <c r="C66" s="2">
        <v>75269</v>
      </c>
      <c r="G66">
        <f t="shared" si="7"/>
        <v>15</v>
      </c>
      <c r="H66">
        <f t="shared" si="0"/>
        <v>9.1999999999999993</v>
      </c>
      <c r="I66">
        <f t="shared" si="1"/>
        <v>996.63599999999985</v>
      </c>
      <c r="J66">
        <f t="shared" si="8"/>
        <v>5.9548036885000002</v>
      </c>
      <c r="K66">
        <f t="shared" si="2"/>
        <v>9.0451963114999998</v>
      </c>
      <c r="L66">
        <f t="shared" si="3"/>
        <v>110.18400990732327</v>
      </c>
      <c r="M66">
        <f t="shared" si="4"/>
        <v>683.12089987748141</v>
      </c>
      <c r="N66">
        <f t="shared" si="5"/>
        <v>0.39698691256666668</v>
      </c>
      <c r="O66">
        <f t="shared" si="6"/>
        <v>0.50581637862093609</v>
      </c>
    </row>
    <row r="67" spans="1:15" x14ac:dyDescent="0.35">
      <c r="A67">
        <v>5.3</v>
      </c>
      <c r="B67">
        <v>6.7533000000000003</v>
      </c>
      <c r="C67" s="2">
        <v>76307</v>
      </c>
      <c r="G67">
        <f t="shared" si="7"/>
        <v>15</v>
      </c>
      <c r="H67">
        <f t="shared" si="0"/>
        <v>9.1999999999999993</v>
      </c>
      <c r="I67">
        <f t="shared" si="1"/>
        <v>996.63599999999985</v>
      </c>
      <c r="J67">
        <f t="shared" si="8"/>
        <v>6.0487193155000005</v>
      </c>
      <c r="K67">
        <f t="shared" si="2"/>
        <v>8.9512806844999986</v>
      </c>
      <c r="L67">
        <f t="shared" si="3"/>
        <v>111.34004564573321</v>
      </c>
      <c r="M67">
        <f t="shared" si="4"/>
        <v>685.35089560495658</v>
      </c>
      <c r="N67">
        <f t="shared" si="5"/>
        <v>0.40324795436666672</v>
      </c>
      <c r="O67">
        <f t="shared" si="6"/>
        <v>0.5162535858120838</v>
      </c>
    </row>
    <row r="68" spans="1:15" x14ac:dyDescent="0.35">
      <c r="A68">
        <v>5.4</v>
      </c>
      <c r="B68">
        <v>6.8563999999999998</v>
      </c>
      <c r="C68" s="2">
        <v>77308</v>
      </c>
      <c r="G68">
        <f t="shared" si="7"/>
        <v>15</v>
      </c>
      <c r="H68">
        <f t="shared" si="0"/>
        <v>9.1999999999999993</v>
      </c>
      <c r="I68">
        <f t="shared" si="1"/>
        <v>996.63599999999985</v>
      </c>
      <c r="J68">
        <f t="shared" si="8"/>
        <v>6.1425765820000002</v>
      </c>
      <c r="K68">
        <f t="shared" si="2"/>
        <v>8.8574234179999998</v>
      </c>
      <c r="L68">
        <f t="shared" si="3"/>
        <v>112.51985515049924</v>
      </c>
      <c r="M68">
        <f t="shared" si="4"/>
        <v>687.0609626771901</v>
      </c>
      <c r="N68">
        <f t="shared" si="5"/>
        <v>0.40950510546666669</v>
      </c>
      <c r="O68">
        <f t="shared" si="6"/>
        <v>0.52679428938830641</v>
      </c>
    </row>
    <row r="69" spans="1:15" x14ac:dyDescent="0.35">
      <c r="A69">
        <v>5.5</v>
      </c>
      <c r="B69">
        <v>6.9599000000000002</v>
      </c>
      <c r="C69" s="2">
        <v>78433</v>
      </c>
      <c r="G69">
        <f t="shared" si="7"/>
        <v>15</v>
      </c>
      <c r="H69">
        <f t="shared" si="0"/>
        <v>9.1999999999999993</v>
      </c>
      <c r="I69">
        <f t="shared" si="1"/>
        <v>996.63599999999985</v>
      </c>
      <c r="J69">
        <f t="shared" si="8"/>
        <v>6.2356888945</v>
      </c>
      <c r="K69">
        <f t="shared" si="2"/>
        <v>8.7643111054999991</v>
      </c>
      <c r="L69">
        <f t="shared" si="3"/>
        <v>113.71526957487463</v>
      </c>
      <c r="M69">
        <f t="shared" si="4"/>
        <v>689.73146960142071</v>
      </c>
      <c r="N69">
        <f t="shared" si="5"/>
        <v>0.41571259296666668</v>
      </c>
      <c r="O69">
        <f t="shared" si="6"/>
        <v>0.53736228188173518</v>
      </c>
    </row>
    <row r="70" spans="1:15" x14ac:dyDescent="0.35">
      <c r="A70">
        <v>5.6</v>
      </c>
      <c r="B70">
        <v>7.1650999999999998</v>
      </c>
      <c r="C70" s="2">
        <v>80638</v>
      </c>
      <c r="G70">
        <f t="shared" si="7"/>
        <v>15</v>
      </c>
      <c r="H70">
        <f t="shared" si="0"/>
        <v>9.1999999999999993</v>
      </c>
      <c r="I70">
        <f t="shared" si="1"/>
        <v>996.63599999999985</v>
      </c>
      <c r="J70">
        <f t="shared" si="8"/>
        <v>6.4205290269999997</v>
      </c>
      <c r="K70">
        <f t="shared" si="2"/>
        <v>8.5794709729999994</v>
      </c>
      <c r="L70">
        <f t="shared" si="3"/>
        <v>116.16520449063357</v>
      </c>
      <c r="M70">
        <f t="shared" si="4"/>
        <v>694.16655661723439</v>
      </c>
      <c r="N70">
        <f t="shared" si="5"/>
        <v>0.42803526846666667</v>
      </c>
      <c r="O70">
        <f t="shared" si="6"/>
        <v>0.5586779476617898</v>
      </c>
    </row>
    <row r="71" spans="1:15" x14ac:dyDescent="0.35">
      <c r="A71">
        <v>5.7</v>
      </c>
      <c r="B71">
        <v>7.2717999999999998</v>
      </c>
      <c r="C71" s="2">
        <v>81863</v>
      </c>
      <c r="G71">
        <f t="shared" si="7"/>
        <v>15</v>
      </c>
      <c r="H71">
        <f t="shared" si="0"/>
        <v>9.1999999999999993</v>
      </c>
      <c r="I71">
        <f t="shared" si="1"/>
        <v>996.63599999999985</v>
      </c>
      <c r="J71">
        <f t="shared" si="8"/>
        <v>6.5159179895000001</v>
      </c>
      <c r="K71">
        <f t="shared" si="2"/>
        <v>8.4840820104999999</v>
      </c>
      <c r="L71">
        <f t="shared" si="3"/>
        <v>117.4712831354708</v>
      </c>
      <c r="M71">
        <f t="shared" si="4"/>
        <v>696.8766988404609</v>
      </c>
      <c r="N71">
        <f t="shared" si="5"/>
        <v>0.43439453263333333</v>
      </c>
      <c r="O71">
        <f t="shared" si="6"/>
        <v>0.56985849795663102</v>
      </c>
    </row>
    <row r="72" spans="1:15" x14ac:dyDescent="0.35">
      <c r="A72">
        <v>5.8</v>
      </c>
      <c r="B72">
        <v>7.3746999999999998</v>
      </c>
      <c r="C72" s="2">
        <v>82978</v>
      </c>
      <c r="G72">
        <f t="shared" si="7"/>
        <v>15</v>
      </c>
      <c r="H72">
        <f t="shared" si="0"/>
        <v>9.1999999999999993</v>
      </c>
      <c r="I72">
        <f t="shared" si="1"/>
        <v>996.63599999999985</v>
      </c>
      <c r="J72">
        <f t="shared" si="8"/>
        <v>6.6085226370000001</v>
      </c>
      <c r="K72">
        <f t="shared" si="2"/>
        <v>8.3914773629999999</v>
      </c>
      <c r="L72">
        <f t="shared" si="3"/>
        <v>118.76764446680184</v>
      </c>
      <c r="M72">
        <f t="shared" si="4"/>
        <v>698.65829513183758</v>
      </c>
      <c r="N72">
        <f t="shared" si="5"/>
        <v>0.44056817580000002</v>
      </c>
      <c r="O72">
        <f t="shared" si="6"/>
        <v>0.5808336099504291</v>
      </c>
    </row>
    <row r="73" spans="1:15" x14ac:dyDescent="0.35">
      <c r="A73">
        <v>5.9</v>
      </c>
      <c r="B73">
        <v>7.4782000000000002</v>
      </c>
      <c r="C73" s="2">
        <v>84182</v>
      </c>
      <c r="G73">
        <f t="shared" si="7"/>
        <v>15</v>
      </c>
      <c r="H73">
        <f t="shared" si="0"/>
        <v>9.1999999999999993</v>
      </c>
      <c r="I73">
        <f t="shared" si="1"/>
        <v>996.63599999999985</v>
      </c>
      <c r="J73">
        <f t="shared" si="8"/>
        <v>6.7009055030000004</v>
      </c>
      <c r="K73">
        <f t="shared" si="2"/>
        <v>8.2990944969999987</v>
      </c>
      <c r="L73">
        <f t="shared" si="3"/>
        <v>120.08972790468516</v>
      </c>
      <c r="M73">
        <f t="shared" si="4"/>
        <v>700.99251175600125</v>
      </c>
      <c r="N73">
        <f t="shared" si="5"/>
        <v>0.44672703353333337</v>
      </c>
      <c r="O73">
        <f t="shared" si="6"/>
        <v>0.59190378899812879</v>
      </c>
    </row>
    <row r="74" spans="1:15" x14ac:dyDescent="0.35">
      <c r="A74">
        <v>6</v>
      </c>
      <c r="B74">
        <v>7.5815999999999999</v>
      </c>
      <c r="C74" s="2">
        <v>85430</v>
      </c>
      <c r="G74">
        <f t="shared" si="7"/>
        <v>15</v>
      </c>
      <c r="H74">
        <f t="shared" si="0"/>
        <v>9.1999999999999993</v>
      </c>
      <c r="I74">
        <f t="shared" si="1"/>
        <v>996.63599999999985</v>
      </c>
      <c r="J74">
        <f t="shared" si="8"/>
        <v>6.7927820949999997</v>
      </c>
      <c r="K74">
        <f t="shared" si="2"/>
        <v>8.2072179050000003</v>
      </c>
      <c r="L74">
        <f t="shared" si="3"/>
        <v>121.43408540338979</v>
      </c>
      <c r="M74">
        <f t="shared" si="4"/>
        <v>703.50923067614474</v>
      </c>
      <c r="N74">
        <f t="shared" si="5"/>
        <v>0.45285213966666665</v>
      </c>
      <c r="O74">
        <f t="shared" si="6"/>
        <v>0.60303620169220806</v>
      </c>
    </row>
    <row r="75" spans="1:15" x14ac:dyDescent="0.35">
      <c r="A75">
        <v>6.1</v>
      </c>
      <c r="B75">
        <v>7.6986999999999997</v>
      </c>
      <c r="C75" s="2">
        <v>86825</v>
      </c>
      <c r="G75">
        <f t="shared" si="7"/>
        <v>15</v>
      </c>
      <c r="H75">
        <f t="shared" si="0"/>
        <v>9.1999999999999993</v>
      </c>
      <c r="I75">
        <f t="shared" si="1"/>
        <v>996.63599999999985</v>
      </c>
      <c r="J75">
        <f t="shared" si="8"/>
        <v>6.8970013624999993</v>
      </c>
      <c r="K75">
        <f t="shared" si="2"/>
        <v>8.1029986375000007</v>
      </c>
      <c r="L75">
        <f t="shared" si="3"/>
        <v>122.99594811575702</v>
      </c>
      <c r="M75">
        <f t="shared" si="4"/>
        <v>705.91756338416201</v>
      </c>
      <c r="N75">
        <f t="shared" si="5"/>
        <v>0.45980009083333329</v>
      </c>
      <c r="O75">
        <f t="shared" si="6"/>
        <v>0.61581600577123552</v>
      </c>
    </row>
    <row r="76" spans="1:15" x14ac:dyDescent="0.35">
      <c r="A76">
        <v>6.2</v>
      </c>
      <c r="B76">
        <v>7.8025000000000002</v>
      </c>
      <c r="C76" s="2">
        <v>88119</v>
      </c>
      <c r="G76">
        <f t="shared" si="7"/>
        <v>15</v>
      </c>
      <c r="H76">
        <f t="shared" si="0"/>
        <v>9.1999999999999993</v>
      </c>
      <c r="I76">
        <f t="shared" si="1"/>
        <v>996.63599999999985</v>
      </c>
      <c r="J76">
        <f t="shared" si="8"/>
        <v>6.9888532135000005</v>
      </c>
      <c r="K76">
        <f t="shared" si="2"/>
        <v>8.0111467864999995</v>
      </c>
      <c r="L76">
        <f t="shared" si="3"/>
        <v>124.40615888844816</v>
      </c>
      <c r="M76">
        <f t="shared" si="4"/>
        <v>708.31702214207951</v>
      </c>
      <c r="N76">
        <f t="shared" si="5"/>
        <v>0.46592354756666671</v>
      </c>
      <c r="O76">
        <f t="shared" si="6"/>
        <v>0.62721628091888415</v>
      </c>
    </row>
    <row r="77" spans="1:15" x14ac:dyDescent="0.35">
      <c r="A77">
        <v>6.3</v>
      </c>
      <c r="B77">
        <v>7.9058999999999999</v>
      </c>
      <c r="C77" s="2">
        <v>89439</v>
      </c>
      <c r="G77">
        <f t="shared" si="7"/>
        <v>15</v>
      </c>
      <c r="H77">
        <f t="shared" si="0"/>
        <v>9.1999999999999993</v>
      </c>
      <c r="I77">
        <f t="shared" si="1"/>
        <v>996.63599999999985</v>
      </c>
      <c r="J77">
        <f t="shared" si="8"/>
        <v>7.0800649934999997</v>
      </c>
      <c r="K77">
        <f t="shared" si="2"/>
        <v>7.9199350065000003</v>
      </c>
      <c r="L77">
        <f t="shared" si="3"/>
        <v>125.83891145344587</v>
      </c>
      <c r="M77">
        <f t="shared" si="4"/>
        <v>710.74200314493316</v>
      </c>
      <c r="N77">
        <f t="shared" si="5"/>
        <v>0.47200433289999999</v>
      </c>
      <c r="O77">
        <f t="shared" si="6"/>
        <v>0.63866720155954682</v>
      </c>
    </row>
    <row r="78" spans="1:15" x14ac:dyDescent="0.35">
      <c r="A78">
        <v>6.4</v>
      </c>
      <c r="B78">
        <v>8.0096000000000007</v>
      </c>
      <c r="C78" s="2">
        <v>90717</v>
      </c>
      <c r="G78">
        <f t="shared" si="7"/>
        <v>15</v>
      </c>
      <c r="H78">
        <f t="shared" si="0"/>
        <v>9.1999999999999993</v>
      </c>
      <c r="I78">
        <f t="shared" si="1"/>
        <v>996.63599999999985</v>
      </c>
      <c r="J78">
        <f t="shared" si="8"/>
        <v>7.171964580500001</v>
      </c>
      <c r="K78">
        <f t="shared" si="2"/>
        <v>7.828035419499999</v>
      </c>
      <c r="L78">
        <f t="shared" si="3"/>
        <v>127.31623537590714</v>
      </c>
      <c r="M78">
        <f t="shared" si="4"/>
        <v>712.53284965702778</v>
      </c>
      <c r="N78">
        <f t="shared" si="5"/>
        <v>0.47813097203333338</v>
      </c>
      <c r="O78">
        <f t="shared" si="6"/>
        <v>0.65033862685965937</v>
      </c>
    </row>
    <row r="79" spans="1:15" x14ac:dyDescent="0.35">
      <c r="A79">
        <v>6.5</v>
      </c>
      <c r="B79">
        <v>8.1164000000000005</v>
      </c>
      <c r="C79" s="2">
        <v>92179</v>
      </c>
      <c r="G79">
        <f t="shared" si="7"/>
        <v>15</v>
      </c>
      <c r="H79">
        <f t="shared" ref="H79:H105" si="9">$H$11</f>
        <v>9.1999999999999993</v>
      </c>
      <c r="I79">
        <f t="shared" ref="I79:I105" si="10">(3.14*POWER(H79,2)*0.25*G79)</f>
        <v>996.63599999999985</v>
      </c>
      <c r="J79">
        <f t="shared" si="8"/>
        <v>7.2652652035000003</v>
      </c>
      <c r="K79">
        <f t="shared" ref="K79:K105" si="11">G79-J79</f>
        <v>7.7347347964999997</v>
      </c>
      <c r="L79">
        <f t="shared" ref="L79:L105" si="12">I79/K79</f>
        <v>128.85199379440675</v>
      </c>
      <c r="M79">
        <f t="shared" ref="M79:M105" si="13">C79/L79</f>
        <v>715.38667959673694</v>
      </c>
      <c r="N79">
        <f t="shared" ref="N79:N105" si="14">J79/G79</f>
        <v>0.48435101356666671</v>
      </c>
      <c r="O79">
        <f t="shared" ref="O79:O105" si="15">LN(L79/(3.14*H79^2/4))</f>
        <v>0.6623290038317392</v>
      </c>
    </row>
    <row r="80" spans="1:15" x14ac:dyDescent="0.35">
      <c r="A80">
        <v>6.6</v>
      </c>
      <c r="B80">
        <v>8.2197999999999993</v>
      </c>
      <c r="C80" s="2">
        <v>93526</v>
      </c>
      <c r="G80">
        <f t="shared" ref="G80:G105" si="16">$G$11</f>
        <v>15</v>
      </c>
      <c r="H80">
        <f t="shared" si="9"/>
        <v>9.1999999999999993</v>
      </c>
      <c r="I80">
        <f t="shared" si="10"/>
        <v>996.63599999999985</v>
      </c>
      <c r="J80">
        <f t="shared" ref="J80:J105" si="17">B80-C80/(2*10^5/1.8467)</f>
        <v>7.356227678999999</v>
      </c>
      <c r="K80">
        <f t="shared" si="11"/>
        <v>7.643772321000001</v>
      </c>
      <c r="L80">
        <f t="shared" si="12"/>
        <v>130.38535923707553</v>
      </c>
      <c r="M80">
        <f t="shared" si="13"/>
        <v>717.30446230504037</v>
      </c>
      <c r="N80">
        <f t="shared" si="14"/>
        <v>0.49041517859999995</v>
      </c>
      <c r="O80">
        <f t="shared" si="15"/>
        <v>0.67415896048959578</v>
      </c>
    </row>
    <row r="81" spans="1:15" x14ac:dyDescent="0.35">
      <c r="A81">
        <v>6.7</v>
      </c>
      <c r="B81">
        <v>8.3231999999999999</v>
      </c>
      <c r="C81" s="2">
        <v>94982</v>
      </c>
      <c r="G81">
        <f t="shared" si="16"/>
        <v>15</v>
      </c>
      <c r="H81">
        <f t="shared" si="9"/>
        <v>9.1999999999999993</v>
      </c>
      <c r="I81">
        <f t="shared" si="10"/>
        <v>996.63599999999985</v>
      </c>
      <c r="J81">
        <f t="shared" si="17"/>
        <v>7.446183703</v>
      </c>
      <c r="K81">
        <f t="shared" si="11"/>
        <v>7.553816297</v>
      </c>
      <c r="L81">
        <f t="shared" si="12"/>
        <v>131.9380774981004</v>
      </c>
      <c r="M81">
        <f t="shared" si="13"/>
        <v>719.89831746159496</v>
      </c>
      <c r="N81">
        <f t="shared" si="14"/>
        <v>0.49641224686666668</v>
      </c>
      <c r="O81">
        <f t="shared" si="15"/>
        <v>0.68599729574677926</v>
      </c>
    </row>
    <row r="82" spans="1:15" x14ac:dyDescent="0.35">
      <c r="A82">
        <v>6.8</v>
      </c>
      <c r="B82">
        <v>8.4268000000000001</v>
      </c>
      <c r="C82" s="2">
        <v>96472</v>
      </c>
      <c r="G82">
        <f t="shared" si="16"/>
        <v>15</v>
      </c>
      <c r="H82">
        <f t="shared" si="9"/>
        <v>9.1999999999999993</v>
      </c>
      <c r="I82">
        <f t="shared" si="10"/>
        <v>996.63599999999985</v>
      </c>
      <c r="J82">
        <f t="shared" si="17"/>
        <v>7.5360257879999999</v>
      </c>
      <c r="K82">
        <f t="shared" si="11"/>
        <v>7.4639742120000001</v>
      </c>
      <c r="L82">
        <f t="shared" si="12"/>
        <v>133.52618480349057</v>
      </c>
      <c r="M82">
        <f t="shared" si="13"/>
        <v>722.49499333765198</v>
      </c>
      <c r="N82">
        <f t="shared" si="14"/>
        <v>0.50240171919999999</v>
      </c>
      <c r="O82">
        <f t="shared" si="15"/>
        <v>0.69796219254705871</v>
      </c>
    </row>
    <row r="83" spans="1:15" x14ac:dyDescent="0.35">
      <c r="A83">
        <v>6.9</v>
      </c>
      <c r="B83">
        <v>8.5303000000000004</v>
      </c>
      <c r="C83" s="2">
        <v>97986</v>
      </c>
      <c r="G83">
        <f t="shared" si="16"/>
        <v>15</v>
      </c>
      <c r="H83">
        <f t="shared" si="9"/>
        <v>9.1999999999999993</v>
      </c>
      <c r="I83">
        <f t="shared" si="10"/>
        <v>996.63599999999985</v>
      </c>
      <c r="J83">
        <f t="shared" si="17"/>
        <v>7.6255462690000009</v>
      </c>
      <c r="K83">
        <f t="shared" si="11"/>
        <v>7.3744537309999991</v>
      </c>
      <c r="L83">
        <f t="shared" si="12"/>
        <v>135.14709514149368</v>
      </c>
      <c r="M83">
        <f t="shared" si="13"/>
        <v>725.0322317132493</v>
      </c>
      <c r="N83">
        <f t="shared" si="14"/>
        <v>0.50836975126666673</v>
      </c>
      <c r="O83">
        <f t="shared" si="15"/>
        <v>0.71002837199255353</v>
      </c>
    </row>
    <row r="84" spans="1:15" x14ac:dyDescent="0.35">
      <c r="A84">
        <v>7</v>
      </c>
      <c r="B84">
        <v>8.6340000000000003</v>
      </c>
      <c r="C84" s="2">
        <v>99460</v>
      </c>
      <c r="G84">
        <f t="shared" si="16"/>
        <v>15</v>
      </c>
      <c r="H84">
        <f t="shared" si="9"/>
        <v>9.1999999999999993</v>
      </c>
      <c r="I84">
        <f t="shared" si="10"/>
        <v>996.63599999999985</v>
      </c>
      <c r="J84">
        <f t="shared" si="17"/>
        <v>7.7156360900000003</v>
      </c>
      <c r="K84">
        <f t="shared" si="11"/>
        <v>7.2843639099999997</v>
      </c>
      <c r="L84">
        <f t="shared" si="12"/>
        <v>136.81853519588918</v>
      </c>
      <c r="M84">
        <f t="shared" si="13"/>
        <v>726.94828853121908</v>
      </c>
      <c r="N84">
        <f t="shared" si="14"/>
        <v>0.51437573933333336</v>
      </c>
      <c r="O84">
        <f t="shared" si="15"/>
        <v>0.72232008029810646</v>
      </c>
    </row>
    <row r="85" spans="1:15" x14ac:dyDescent="0.35">
      <c r="A85">
        <v>7.1</v>
      </c>
      <c r="B85">
        <v>8.7372999999999994</v>
      </c>
      <c r="C85" s="2">
        <v>101043</v>
      </c>
      <c r="G85">
        <f t="shared" si="16"/>
        <v>15</v>
      </c>
      <c r="H85">
        <f t="shared" si="9"/>
        <v>9.1999999999999993</v>
      </c>
      <c r="I85">
        <f t="shared" si="10"/>
        <v>996.63599999999985</v>
      </c>
      <c r="J85">
        <f t="shared" si="17"/>
        <v>7.8043194594999994</v>
      </c>
      <c r="K85">
        <f t="shared" si="11"/>
        <v>7.1956805405000006</v>
      </c>
      <c r="L85">
        <f t="shared" si="12"/>
        <v>138.50475912466612</v>
      </c>
      <c r="M85">
        <f t="shared" si="13"/>
        <v>729.52727861901599</v>
      </c>
      <c r="N85">
        <f t="shared" si="14"/>
        <v>0.52028796396666666</v>
      </c>
      <c r="O85">
        <f t="shared" si="15"/>
        <v>0.73456928003772248</v>
      </c>
    </row>
    <row r="86" spans="1:15" x14ac:dyDescent="0.35">
      <c r="A86">
        <v>7.2</v>
      </c>
      <c r="B86">
        <v>8.8405000000000005</v>
      </c>
      <c r="C86" s="2">
        <v>102692</v>
      </c>
      <c r="G86">
        <f t="shared" si="16"/>
        <v>15</v>
      </c>
      <c r="H86">
        <f t="shared" si="9"/>
        <v>9.1999999999999993</v>
      </c>
      <c r="I86">
        <f t="shared" si="10"/>
        <v>996.63599999999985</v>
      </c>
      <c r="J86">
        <f t="shared" si="17"/>
        <v>7.8922934180000004</v>
      </c>
      <c r="K86">
        <f t="shared" si="11"/>
        <v>7.1077065819999996</v>
      </c>
      <c r="L86">
        <f t="shared" si="12"/>
        <v>140.21906904879037</v>
      </c>
      <c r="M86">
        <f t="shared" si="13"/>
        <v>732.36829125051088</v>
      </c>
      <c r="N86">
        <f t="shared" si="14"/>
        <v>0.52615289453333336</v>
      </c>
      <c r="O86">
        <f t="shared" si="15"/>
        <v>0.74687057162808157</v>
      </c>
    </row>
    <row r="87" spans="1:15" x14ac:dyDescent="0.35">
      <c r="A87">
        <v>7.3</v>
      </c>
      <c r="B87">
        <v>8.9475999999999996</v>
      </c>
      <c r="C87" s="2">
        <v>104358</v>
      </c>
      <c r="G87">
        <f t="shared" si="16"/>
        <v>15</v>
      </c>
      <c r="H87">
        <f t="shared" si="9"/>
        <v>9.1999999999999993</v>
      </c>
      <c r="I87">
        <f t="shared" si="10"/>
        <v>996.63599999999985</v>
      </c>
      <c r="J87">
        <f t="shared" si="17"/>
        <v>7.9840104069999995</v>
      </c>
      <c r="K87">
        <f t="shared" si="11"/>
        <v>7.0159895930000005</v>
      </c>
      <c r="L87">
        <f t="shared" si="12"/>
        <v>142.05209212316456</v>
      </c>
      <c r="M87">
        <f t="shared" si="13"/>
        <v>734.64599106022069</v>
      </c>
      <c r="N87">
        <f t="shared" si="14"/>
        <v>0.53226736046666667</v>
      </c>
      <c r="O87">
        <f t="shared" si="15"/>
        <v>0.75985842935725934</v>
      </c>
    </row>
    <row r="88" spans="1:15" x14ac:dyDescent="0.35">
      <c r="A88">
        <v>7.4</v>
      </c>
      <c r="B88">
        <v>9.0510000000000002</v>
      </c>
      <c r="C88" s="2">
        <v>106093</v>
      </c>
      <c r="G88">
        <f t="shared" si="16"/>
        <v>15</v>
      </c>
      <c r="H88">
        <f t="shared" si="9"/>
        <v>9.1999999999999993</v>
      </c>
      <c r="I88">
        <f t="shared" si="10"/>
        <v>996.63599999999985</v>
      </c>
      <c r="J88">
        <f t="shared" si="17"/>
        <v>8.0713902844999996</v>
      </c>
      <c r="K88">
        <f t="shared" si="11"/>
        <v>6.9286097155000004</v>
      </c>
      <c r="L88">
        <f t="shared" si="12"/>
        <v>143.84357626183279</v>
      </c>
      <c r="M88">
        <f t="shared" si="13"/>
        <v>737.55813611643725</v>
      </c>
      <c r="N88">
        <f t="shared" si="14"/>
        <v>0.53809268563333335</v>
      </c>
      <c r="O88">
        <f t="shared" si="15"/>
        <v>0.77239102628090028</v>
      </c>
    </row>
    <row r="89" spans="1:15" x14ac:dyDescent="0.35">
      <c r="A89">
        <v>7.5</v>
      </c>
      <c r="B89">
        <v>9.1540999999999997</v>
      </c>
      <c r="C89" s="2">
        <v>107840</v>
      </c>
      <c r="G89">
        <f t="shared" si="16"/>
        <v>15</v>
      </c>
      <c r="H89">
        <f t="shared" si="9"/>
        <v>9.1999999999999993</v>
      </c>
      <c r="I89">
        <f t="shared" si="10"/>
        <v>996.63599999999985</v>
      </c>
      <c r="J89">
        <f t="shared" si="17"/>
        <v>8.1583593600000004</v>
      </c>
      <c r="K89">
        <f t="shared" si="11"/>
        <v>6.8416406399999996</v>
      </c>
      <c r="L89">
        <f t="shared" si="12"/>
        <v>145.67207669065763</v>
      </c>
      <c r="M89">
        <f t="shared" si="13"/>
        <v>740.29287183846463</v>
      </c>
      <c r="N89">
        <f t="shared" si="14"/>
        <v>0.54389062399999999</v>
      </c>
      <c r="O89">
        <f t="shared" si="15"/>
        <v>0.78502263858035481</v>
      </c>
    </row>
    <row r="90" spans="1:15" x14ac:dyDescent="0.35">
      <c r="A90">
        <v>7.6</v>
      </c>
      <c r="B90">
        <v>9.2575000000000003</v>
      </c>
      <c r="C90" s="2">
        <v>109544</v>
      </c>
      <c r="G90">
        <f t="shared" si="16"/>
        <v>15</v>
      </c>
      <c r="H90">
        <f t="shared" si="9"/>
        <v>9.1999999999999993</v>
      </c>
      <c r="I90">
        <f t="shared" si="10"/>
        <v>996.63599999999985</v>
      </c>
      <c r="J90">
        <f t="shared" si="17"/>
        <v>8.2460254759999998</v>
      </c>
      <c r="K90">
        <f t="shared" si="11"/>
        <v>6.7539745240000002</v>
      </c>
      <c r="L90">
        <f t="shared" si="12"/>
        <v>147.56289003733883</v>
      </c>
      <c r="M90">
        <f t="shared" si="13"/>
        <v>742.35466635467321</v>
      </c>
      <c r="N90">
        <f t="shared" si="14"/>
        <v>0.54973503173333327</v>
      </c>
      <c r="O90">
        <f t="shared" si="15"/>
        <v>0.79791905113291872</v>
      </c>
    </row>
    <row r="91" spans="1:15" x14ac:dyDescent="0.35">
      <c r="A91">
        <v>7.7</v>
      </c>
      <c r="B91">
        <v>9.3605</v>
      </c>
      <c r="C91" s="2">
        <v>111378</v>
      </c>
      <c r="G91">
        <f t="shared" si="16"/>
        <v>15</v>
      </c>
      <c r="H91">
        <f t="shared" si="9"/>
        <v>9.1999999999999993</v>
      </c>
      <c r="I91">
        <f t="shared" si="10"/>
        <v>996.63599999999985</v>
      </c>
      <c r="J91">
        <f t="shared" si="17"/>
        <v>8.3320912370000002</v>
      </c>
      <c r="K91">
        <f t="shared" si="11"/>
        <v>6.6679087629999998</v>
      </c>
      <c r="L91">
        <f t="shared" si="12"/>
        <v>149.4675520352497</v>
      </c>
      <c r="M91">
        <f t="shared" si="13"/>
        <v>745.16507752621226</v>
      </c>
      <c r="N91">
        <f t="shared" si="14"/>
        <v>0.55547274913333333</v>
      </c>
      <c r="O91">
        <f t="shared" si="15"/>
        <v>0.81074391912071042</v>
      </c>
    </row>
    <row r="92" spans="1:15" x14ac:dyDescent="0.35">
      <c r="A92">
        <v>7.8</v>
      </c>
      <c r="B92">
        <v>9.5654000000000003</v>
      </c>
      <c r="C92" s="2">
        <v>115126</v>
      </c>
      <c r="G92">
        <f t="shared" si="16"/>
        <v>15</v>
      </c>
      <c r="H92">
        <f t="shared" si="9"/>
        <v>9.1999999999999993</v>
      </c>
      <c r="I92">
        <f t="shared" si="10"/>
        <v>996.63599999999985</v>
      </c>
      <c r="J92">
        <f t="shared" si="17"/>
        <v>8.5023840790000005</v>
      </c>
      <c r="K92">
        <f t="shared" si="11"/>
        <v>6.4976159209999995</v>
      </c>
      <c r="L92">
        <f t="shared" si="12"/>
        <v>153.38487410111725</v>
      </c>
      <c r="M92">
        <f t="shared" si="13"/>
        <v>750.56944613785379</v>
      </c>
      <c r="N92">
        <f t="shared" si="14"/>
        <v>0.5668256052666667</v>
      </c>
      <c r="O92">
        <f t="shared" si="15"/>
        <v>0.83661487286597813</v>
      </c>
    </row>
    <row r="93" spans="1:15" x14ac:dyDescent="0.35">
      <c r="A93">
        <v>7.9</v>
      </c>
      <c r="B93">
        <v>9.6687999999999992</v>
      </c>
      <c r="C93" s="2">
        <v>117233</v>
      </c>
      <c r="G93">
        <f t="shared" si="16"/>
        <v>15</v>
      </c>
      <c r="H93">
        <f t="shared" si="9"/>
        <v>9.1999999999999993</v>
      </c>
      <c r="I93">
        <f t="shared" si="10"/>
        <v>996.63599999999985</v>
      </c>
      <c r="J93">
        <f t="shared" si="17"/>
        <v>8.5863290944999999</v>
      </c>
      <c r="K93">
        <f t="shared" si="11"/>
        <v>6.4136709055000001</v>
      </c>
      <c r="L93">
        <f t="shared" si="12"/>
        <v>155.39244446504753</v>
      </c>
      <c r="M93">
        <f t="shared" si="13"/>
        <v>754.43178980538687</v>
      </c>
      <c r="N93">
        <f t="shared" si="14"/>
        <v>0.57242193963333332</v>
      </c>
      <c r="O93">
        <f t="shared" si="15"/>
        <v>0.84961840992526105</v>
      </c>
    </row>
    <row r="94" spans="1:15" x14ac:dyDescent="0.35">
      <c r="A94">
        <v>8</v>
      </c>
      <c r="B94">
        <v>9.7757000000000005</v>
      </c>
      <c r="C94" s="2">
        <v>119296</v>
      </c>
      <c r="G94">
        <f t="shared" si="16"/>
        <v>15</v>
      </c>
      <c r="H94">
        <f t="shared" si="9"/>
        <v>9.1999999999999993</v>
      </c>
      <c r="I94">
        <f t="shared" si="10"/>
        <v>996.63599999999985</v>
      </c>
      <c r="J94">
        <f t="shared" si="17"/>
        <v>8.6741803839999996</v>
      </c>
      <c r="K94">
        <f t="shared" si="11"/>
        <v>6.3258196160000004</v>
      </c>
      <c r="L94">
        <f t="shared" si="12"/>
        <v>157.550493137552</v>
      </c>
      <c r="M94">
        <f t="shared" si="13"/>
        <v>757.19217137484111</v>
      </c>
      <c r="N94">
        <f t="shared" si="14"/>
        <v>0.57827869226666662</v>
      </c>
      <c r="O94">
        <f t="shared" si="15"/>
        <v>0.86341059132653775</v>
      </c>
    </row>
    <row r="95" spans="1:15" x14ac:dyDescent="0.35">
      <c r="A95">
        <v>8.1</v>
      </c>
      <c r="B95">
        <v>9.8790999999999993</v>
      </c>
      <c r="C95" s="2">
        <v>121399</v>
      </c>
      <c r="G95">
        <f t="shared" si="16"/>
        <v>15</v>
      </c>
      <c r="H95">
        <f t="shared" si="9"/>
        <v>9.1999999999999993</v>
      </c>
      <c r="I95">
        <f t="shared" si="10"/>
        <v>996.63599999999985</v>
      </c>
      <c r="J95">
        <f t="shared" si="17"/>
        <v>8.7581623334999996</v>
      </c>
      <c r="K95">
        <f t="shared" si="11"/>
        <v>6.2418376665000004</v>
      </c>
      <c r="L95">
        <f t="shared" si="12"/>
        <v>159.6702851387748</v>
      </c>
      <c r="M95">
        <f t="shared" si="13"/>
        <v>760.31053551691264</v>
      </c>
      <c r="N95">
        <f t="shared" si="14"/>
        <v>0.58387748890000002</v>
      </c>
      <c r="O95">
        <f t="shared" si="15"/>
        <v>0.87677556424031111</v>
      </c>
    </row>
    <row r="96" spans="1:15" x14ac:dyDescent="0.35">
      <c r="A96">
        <v>8.1999999999999993</v>
      </c>
      <c r="B96">
        <v>9.9824000000000002</v>
      </c>
      <c r="C96" s="2">
        <v>123548</v>
      </c>
      <c r="G96">
        <f t="shared" si="16"/>
        <v>15</v>
      </c>
      <c r="H96">
        <f t="shared" si="9"/>
        <v>9.1999999999999993</v>
      </c>
      <c r="I96">
        <f t="shared" si="10"/>
        <v>996.63599999999985</v>
      </c>
      <c r="J96">
        <f t="shared" si="17"/>
        <v>8.8416195420000001</v>
      </c>
      <c r="K96">
        <f t="shared" si="11"/>
        <v>6.1583804579999999</v>
      </c>
      <c r="L96">
        <f t="shared" si="12"/>
        <v>161.83410667740202</v>
      </c>
      <c r="M96">
        <f t="shared" si="13"/>
        <v>763.42374630756274</v>
      </c>
      <c r="N96">
        <f t="shared" si="14"/>
        <v>0.58944130279999996</v>
      </c>
      <c r="O96">
        <f t="shared" si="15"/>
        <v>0.89023637078671236</v>
      </c>
    </row>
    <row r="97" spans="1:15" x14ac:dyDescent="0.35">
      <c r="A97">
        <v>8.3000000000000007</v>
      </c>
      <c r="B97">
        <v>10.0855</v>
      </c>
      <c r="C97" s="2">
        <v>125653</v>
      </c>
      <c r="G97">
        <f t="shared" si="16"/>
        <v>15</v>
      </c>
      <c r="H97">
        <f t="shared" si="9"/>
        <v>9.1999999999999993</v>
      </c>
      <c r="I97">
        <f t="shared" si="10"/>
        <v>996.63599999999985</v>
      </c>
      <c r="J97">
        <f t="shared" si="17"/>
        <v>8.9252830245000006</v>
      </c>
      <c r="K97">
        <f t="shared" si="11"/>
        <v>6.0747169754999994</v>
      </c>
      <c r="L97">
        <f t="shared" si="12"/>
        <v>164.06295207160142</v>
      </c>
      <c r="M97">
        <f t="shared" si="13"/>
        <v>765.88284200299961</v>
      </c>
      <c r="N97">
        <f t="shared" si="14"/>
        <v>0.59501886830000006</v>
      </c>
      <c r="O97">
        <f t="shared" si="15"/>
        <v>0.90391480135593283</v>
      </c>
    </row>
    <row r="98" spans="1:15" x14ac:dyDescent="0.35">
      <c r="A98">
        <v>8.4</v>
      </c>
      <c r="B98">
        <v>10.1891</v>
      </c>
      <c r="C98" s="2">
        <v>127972</v>
      </c>
      <c r="G98">
        <f t="shared" si="16"/>
        <v>15</v>
      </c>
      <c r="H98">
        <f t="shared" si="9"/>
        <v>9.1999999999999993</v>
      </c>
      <c r="I98">
        <f t="shared" si="10"/>
        <v>996.63599999999985</v>
      </c>
      <c r="J98">
        <f t="shared" si="17"/>
        <v>9.0074705379999997</v>
      </c>
      <c r="K98">
        <f t="shared" si="11"/>
        <v>5.9925294620000003</v>
      </c>
      <c r="L98">
        <f t="shared" si="12"/>
        <v>166.31307469072897</v>
      </c>
      <c r="M98">
        <f t="shared" si="13"/>
        <v>769.46445875030008</v>
      </c>
      <c r="N98">
        <f t="shared" si="14"/>
        <v>0.60049803586666661</v>
      </c>
      <c r="O98">
        <f t="shared" si="15"/>
        <v>0.91753659730896153</v>
      </c>
    </row>
    <row r="99" spans="1:15" x14ac:dyDescent="0.35">
      <c r="A99">
        <v>8.5</v>
      </c>
      <c r="B99">
        <v>10.2926</v>
      </c>
      <c r="C99" s="2">
        <v>130364</v>
      </c>
      <c r="G99">
        <f t="shared" si="16"/>
        <v>15</v>
      </c>
      <c r="H99">
        <f t="shared" si="9"/>
        <v>9.1999999999999993</v>
      </c>
      <c r="I99">
        <f t="shared" si="10"/>
        <v>996.63599999999985</v>
      </c>
      <c r="J99">
        <f t="shared" si="17"/>
        <v>9.0888840060000007</v>
      </c>
      <c r="K99">
        <f t="shared" si="11"/>
        <v>5.9111159939999993</v>
      </c>
      <c r="L99">
        <f t="shared" si="12"/>
        <v>168.60369531093994</v>
      </c>
      <c r="M99">
        <f t="shared" si="13"/>
        <v>773.19776271559135</v>
      </c>
      <c r="N99">
        <f t="shared" si="14"/>
        <v>0.6059256004000001</v>
      </c>
      <c r="O99">
        <f t="shared" si="15"/>
        <v>0.93121555603854034</v>
      </c>
    </row>
    <row r="100" spans="1:15" x14ac:dyDescent="0.35">
      <c r="A100">
        <v>8.6</v>
      </c>
      <c r="B100">
        <v>10.3954</v>
      </c>
      <c r="C100" s="2">
        <v>132816</v>
      </c>
      <c r="G100">
        <f t="shared" si="16"/>
        <v>15</v>
      </c>
      <c r="H100">
        <f t="shared" si="9"/>
        <v>9.1999999999999993</v>
      </c>
      <c r="I100">
        <f t="shared" si="10"/>
        <v>996.63599999999985</v>
      </c>
      <c r="J100">
        <f t="shared" si="17"/>
        <v>9.1690434640000014</v>
      </c>
      <c r="K100">
        <f t="shared" si="11"/>
        <v>5.8309565359999986</v>
      </c>
      <c r="L100">
        <f t="shared" si="12"/>
        <v>170.92152785684905</v>
      </c>
      <c r="M100">
        <f t="shared" si="13"/>
        <v>777.05834756658999</v>
      </c>
      <c r="N100">
        <f t="shared" si="14"/>
        <v>0.61126956426666679</v>
      </c>
      <c r="O100">
        <f t="shared" si="15"/>
        <v>0.94486914284298185</v>
      </c>
    </row>
    <row r="101" spans="1:15" x14ac:dyDescent="0.35">
      <c r="A101">
        <v>8.6999999999999993</v>
      </c>
      <c r="B101">
        <v>10.4986</v>
      </c>
      <c r="C101" s="2">
        <v>135229</v>
      </c>
      <c r="G101">
        <f t="shared" si="16"/>
        <v>15</v>
      </c>
      <c r="H101">
        <f t="shared" si="9"/>
        <v>9.1999999999999993</v>
      </c>
      <c r="I101">
        <f t="shared" si="10"/>
        <v>996.63599999999985</v>
      </c>
      <c r="J101">
        <f t="shared" si="17"/>
        <v>9.2499630284999999</v>
      </c>
      <c r="K101">
        <f t="shared" si="11"/>
        <v>5.7500369715000001</v>
      </c>
      <c r="L101">
        <f t="shared" si="12"/>
        <v>173.32688553826978</v>
      </c>
      <c r="M101">
        <f t="shared" si="13"/>
        <v>780.19633007334028</v>
      </c>
      <c r="N101">
        <f t="shared" si="14"/>
        <v>0.61666420190000004</v>
      </c>
      <c r="O101">
        <f t="shared" si="15"/>
        <v>0.9588439164875352</v>
      </c>
    </row>
    <row r="102" spans="1:15" x14ac:dyDescent="0.35">
      <c r="A102">
        <v>8.8000000000000007</v>
      </c>
      <c r="B102">
        <v>10.604799999999999</v>
      </c>
      <c r="C102" s="2">
        <v>138005</v>
      </c>
      <c r="G102">
        <f t="shared" si="16"/>
        <v>15</v>
      </c>
      <c r="H102">
        <f t="shared" si="9"/>
        <v>9.1999999999999993</v>
      </c>
      <c r="I102">
        <f t="shared" si="10"/>
        <v>996.63599999999985</v>
      </c>
      <c r="J102">
        <f t="shared" si="17"/>
        <v>9.3305308324999991</v>
      </c>
      <c r="K102">
        <f t="shared" si="11"/>
        <v>5.6694691675000009</v>
      </c>
      <c r="L102">
        <f t="shared" si="12"/>
        <v>175.7900026537184</v>
      </c>
      <c r="M102">
        <f t="shared" si="13"/>
        <v>785.05602091519643</v>
      </c>
      <c r="N102">
        <f t="shared" si="14"/>
        <v>0.62203538883333331</v>
      </c>
      <c r="O102">
        <f t="shared" si="15"/>
        <v>0.97295470899749681</v>
      </c>
    </row>
    <row r="103" spans="1:15" x14ac:dyDescent="0.35">
      <c r="A103">
        <v>8.9</v>
      </c>
      <c r="B103">
        <v>10.7082</v>
      </c>
      <c r="C103" s="2">
        <v>140577</v>
      </c>
      <c r="G103">
        <f t="shared" si="16"/>
        <v>15</v>
      </c>
      <c r="H103">
        <f t="shared" si="9"/>
        <v>9.1999999999999993</v>
      </c>
      <c r="I103">
        <f t="shared" si="10"/>
        <v>996.63599999999985</v>
      </c>
      <c r="J103">
        <f t="shared" si="17"/>
        <v>9.4101822705</v>
      </c>
      <c r="K103">
        <f t="shared" si="11"/>
        <v>5.5898177295</v>
      </c>
      <c r="L103">
        <f t="shared" si="12"/>
        <v>178.29490123448932</v>
      </c>
      <c r="M103">
        <f t="shared" si="13"/>
        <v>788.45216002625</v>
      </c>
      <c r="N103">
        <f t="shared" si="14"/>
        <v>0.62734548469999996</v>
      </c>
      <c r="O103">
        <f t="shared" si="15"/>
        <v>0.98710352099632359</v>
      </c>
    </row>
    <row r="104" spans="1:15" x14ac:dyDescent="0.35">
      <c r="A104">
        <v>9</v>
      </c>
      <c r="B104">
        <v>10.811400000000001</v>
      </c>
      <c r="C104" s="2">
        <v>143386</v>
      </c>
      <c r="G104">
        <f t="shared" si="16"/>
        <v>15</v>
      </c>
      <c r="H104">
        <f t="shared" si="9"/>
        <v>9.1999999999999993</v>
      </c>
      <c r="I104">
        <f t="shared" si="10"/>
        <v>996.63599999999985</v>
      </c>
      <c r="J104">
        <f t="shared" si="17"/>
        <v>9.4874453690000013</v>
      </c>
      <c r="K104">
        <f t="shared" si="11"/>
        <v>5.5125546309999987</v>
      </c>
      <c r="L104">
        <f t="shared" si="12"/>
        <v>180.79385452171132</v>
      </c>
      <c r="M104">
        <f t="shared" si="13"/>
        <v>793.09111683760761</v>
      </c>
      <c r="N104">
        <f t="shared" si="14"/>
        <v>0.63249635793333348</v>
      </c>
      <c r="O104">
        <f t="shared" si="15"/>
        <v>1.0010220499928657</v>
      </c>
    </row>
    <row r="105" spans="1:15" x14ac:dyDescent="0.35">
      <c r="A105">
        <v>9.1</v>
      </c>
      <c r="B105">
        <v>11.015700000000001</v>
      </c>
      <c r="C105" s="2">
        <v>149159</v>
      </c>
      <c r="G105">
        <f t="shared" si="16"/>
        <v>15</v>
      </c>
      <c r="H105">
        <f t="shared" si="9"/>
        <v>9.1999999999999993</v>
      </c>
      <c r="I105">
        <f t="shared" si="10"/>
        <v>996.63599999999985</v>
      </c>
      <c r="J105">
        <f t="shared" si="17"/>
        <v>9.6384403734999999</v>
      </c>
      <c r="K105">
        <f t="shared" si="11"/>
        <v>5.3615596265000001</v>
      </c>
      <c r="L105">
        <f t="shared" si="12"/>
        <v>185.88546419852071</v>
      </c>
      <c r="M105">
        <f t="shared" si="13"/>
        <v>802.42422743018881</v>
      </c>
      <c r="N105">
        <f t="shared" si="14"/>
        <v>0.64256269156666668</v>
      </c>
      <c r="O105">
        <f t="shared" si="15"/>
        <v>1.0287952932512581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UTS-R-250</dc:creator>
  <cp:lastModifiedBy>Зульфия</cp:lastModifiedBy>
  <dcterms:created xsi:type="dcterms:W3CDTF">2025-10-31T14:10:47Z</dcterms:created>
  <dcterms:modified xsi:type="dcterms:W3CDTF">2025-12-04T20:13:59Z</dcterms:modified>
</cp:coreProperties>
</file>