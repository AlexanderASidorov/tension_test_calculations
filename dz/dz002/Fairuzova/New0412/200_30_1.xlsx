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Зульфия\Desktop\Бамонка\Зульфия\New0412\"/>
    </mc:Choice>
  </mc:AlternateContent>
  <xr:revisionPtr revIDLastSave="0" documentId="13_ncr:1_{639BD2EE-0826-41E7-9414-A54EF918D4AA}" xr6:coauthVersionLast="45" xr6:coauthVersionMax="45" xr10:uidLastSave="{00000000-0000-0000-0000-000000000000}"/>
  <bookViews>
    <workbookView xWindow="-110" yWindow="-110" windowWidth="25420" windowHeight="1630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H58" i="1"/>
  <c r="H59" i="1"/>
  <c r="H60" i="1"/>
  <c r="I60" i="1" s="1"/>
  <c r="L60" i="1" s="1"/>
  <c r="H61" i="1"/>
  <c r="I61" i="1" s="1"/>
  <c r="L61" i="1" s="1"/>
  <c r="H62" i="1"/>
  <c r="I62" i="1" s="1"/>
  <c r="L62" i="1" s="1"/>
  <c r="O62" i="1" s="1"/>
  <c r="H63" i="1"/>
  <c r="I63" i="1" s="1"/>
  <c r="L63" i="1" s="1"/>
  <c r="O63" i="1" s="1"/>
  <c r="H64" i="1"/>
  <c r="I64" i="1" s="1"/>
  <c r="L64" i="1" s="1"/>
  <c r="M64" i="1" s="1"/>
  <c r="H65" i="1"/>
  <c r="H66" i="1"/>
  <c r="H67" i="1"/>
  <c r="H68" i="1"/>
  <c r="H69" i="1"/>
  <c r="H70" i="1"/>
  <c r="H71" i="1"/>
  <c r="H72" i="1"/>
  <c r="I72" i="1" s="1"/>
  <c r="H73" i="1"/>
  <c r="I73" i="1" s="1"/>
  <c r="H74" i="1"/>
  <c r="I74" i="1" s="1"/>
  <c r="H75" i="1"/>
  <c r="I75" i="1" s="1"/>
  <c r="H76" i="1"/>
  <c r="I76" i="1" s="1"/>
  <c r="H77" i="1"/>
  <c r="H78" i="1"/>
  <c r="H79" i="1"/>
  <c r="H80" i="1"/>
  <c r="I80" i="1" s="1"/>
  <c r="H81" i="1"/>
  <c r="I81" i="1" s="1"/>
  <c r="H82" i="1"/>
  <c r="I82" i="1" s="1"/>
  <c r="H83" i="1"/>
  <c r="I83" i="1" s="1"/>
  <c r="H84" i="1"/>
  <c r="I84" i="1" s="1"/>
  <c r="H85" i="1"/>
  <c r="H86" i="1"/>
  <c r="H87" i="1"/>
  <c r="H88" i="1"/>
  <c r="H89" i="1"/>
  <c r="H90" i="1"/>
  <c r="H91" i="1"/>
  <c r="H92" i="1"/>
  <c r="I92" i="1" s="1"/>
  <c r="H93" i="1"/>
  <c r="I93" i="1" s="1"/>
  <c r="H94" i="1"/>
  <c r="I94" i="1" s="1"/>
  <c r="H95" i="1"/>
  <c r="I95" i="1" s="1"/>
  <c r="H96" i="1"/>
  <c r="I96" i="1" s="1"/>
  <c r="H97" i="1"/>
  <c r="H98" i="1"/>
  <c r="H99" i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H106" i="1"/>
  <c r="H107" i="1"/>
  <c r="H108" i="1"/>
  <c r="H109" i="1"/>
  <c r="H110" i="1"/>
  <c r="H111" i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H118" i="1"/>
  <c r="H119" i="1"/>
  <c r="H120" i="1"/>
  <c r="I120" i="1" s="1"/>
  <c r="L120" i="1" s="1"/>
  <c r="O120" i="1" s="1"/>
  <c r="H121" i="1"/>
  <c r="I121" i="1" s="1"/>
  <c r="L121" i="1" s="1"/>
  <c r="O121" i="1" s="1"/>
  <c r="H122" i="1"/>
  <c r="I122" i="1" s="1"/>
  <c r="L122" i="1" s="1"/>
  <c r="O122" i="1" s="1"/>
  <c r="H123" i="1"/>
  <c r="I123" i="1" s="1"/>
  <c r="H124" i="1"/>
  <c r="I124" i="1" s="1"/>
  <c r="H125" i="1"/>
  <c r="H126" i="1"/>
  <c r="H127" i="1"/>
  <c r="H128" i="1"/>
  <c r="H129" i="1"/>
  <c r="H130" i="1"/>
  <c r="H131" i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H138" i="1"/>
  <c r="H139" i="1"/>
  <c r="H140" i="1"/>
  <c r="I140" i="1" s="1"/>
  <c r="L140" i="1" s="1"/>
  <c r="O140" i="1" s="1"/>
  <c r="H141" i="1"/>
  <c r="I141" i="1" s="1"/>
  <c r="L141" i="1" s="1"/>
  <c r="M141" i="1" s="1"/>
  <c r="H142" i="1"/>
  <c r="I142" i="1" s="1"/>
  <c r="L142" i="1" s="1"/>
  <c r="M142" i="1" s="1"/>
  <c r="H143" i="1"/>
  <c r="I143" i="1" s="1"/>
  <c r="L143" i="1" s="1"/>
  <c r="H144" i="1"/>
  <c r="I144" i="1" s="1"/>
  <c r="L144" i="1" s="1"/>
  <c r="M144" i="1" s="1"/>
  <c r="H145" i="1"/>
  <c r="H146" i="1"/>
  <c r="H147" i="1"/>
  <c r="H148" i="1"/>
  <c r="H149" i="1"/>
  <c r="H150" i="1"/>
  <c r="H151" i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H158" i="1"/>
  <c r="H159" i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H166" i="1"/>
  <c r="H167" i="1"/>
  <c r="H168" i="1"/>
  <c r="H169" i="1"/>
  <c r="H170" i="1"/>
  <c r="H171" i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H178" i="1"/>
  <c r="H179" i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H186" i="1"/>
  <c r="H187" i="1"/>
  <c r="H188" i="1"/>
  <c r="H189" i="1"/>
  <c r="H190" i="1"/>
  <c r="H191" i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H198" i="1"/>
  <c r="H199" i="1"/>
  <c r="H200" i="1"/>
  <c r="I200" i="1" s="1"/>
  <c r="L200" i="1" s="1"/>
  <c r="O200" i="1" s="1"/>
  <c r="H201" i="1"/>
  <c r="I201" i="1" s="1"/>
  <c r="L201" i="1" s="1"/>
  <c r="O201" i="1" s="1"/>
  <c r="I57" i="1"/>
  <c r="I58" i="1"/>
  <c r="L58" i="1" s="1"/>
  <c r="O58" i="1" s="1"/>
  <c r="I59" i="1"/>
  <c r="L59" i="1" s="1"/>
  <c r="I65" i="1"/>
  <c r="L65" i="1" s="1"/>
  <c r="O65" i="1" s="1"/>
  <c r="I66" i="1"/>
  <c r="L66" i="1" s="1"/>
  <c r="M66" i="1" s="1"/>
  <c r="I67" i="1"/>
  <c r="L67" i="1" s="1"/>
  <c r="M67" i="1" s="1"/>
  <c r="I68" i="1"/>
  <c r="I69" i="1"/>
  <c r="I70" i="1"/>
  <c r="I71" i="1"/>
  <c r="I77" i="1"/>
  <c r="I78" i="1"/>
  <c r="I79" i="1"/>
  <c r="I85" i="1"/>
  <c r="I86" i="1"/>
  <c r="I87" i="1"/>
  <c r="I88" i="1"/>
  <c r="I89" i="1"/>
  <c r="I90" i="1"/>
  <c r="I91" i="1"/>
  <c r="I97" i="1"/>
  <c r="I98" i="1"/>
  <c r="I99" i="1"/>
  <c r="I105" i="1"/>
  <c r="I106" i="1"/>
  <c r="I107" i="1"/>
  <c r="I108" i="1"/>
  <c r="I109" i="1"/>
  <c r="I110" i="1"/>
  <c r="I111" i="1"/>
  <c r="I117" i="1"/>
  <c r="I118" i="1"/>
  <c r="L118" i="1" s="1"/>
  <c r="O118" i="1" s="1"/>
  <c r="I119" i="1"/>
  <c r="L119" i="1" s="1"/>
  <c r="I125" i="1"/>
  <c r="I126" i="1"/>
  <c r="I127" i="1"/>
  <c r="I128" i="1"/>
  <c r="I129" i="1"/>
  <c r="I130" i="1"/>
  <c r="I131" i="1"/>
  <c r="I137" i="1"/>
  <c r="I138" i="1"/>
  <c r="I139" i="1"/>
  <c r="I145" i="1"/>
  <c r="L145" i="1" s="1"/>
  <c r="O145" i="1" s="1"/>
  <c r="I146" i="1"/>
  <c r="L146" i="1" s="1"/>
  <c r="M146" i="1" s="1"/>
  <c r="I147" i="1"/>
  <c r="L147" i="1" s="1"/>
  <c r="M147" i="1" s="1"/>
  <c r="I148" i="1"/>
  <c r="I149" i="1"/>
  <c r="I150" i="1"/>
  <c r="I151" i="1"/>
  <c r="I157" i="1"/>
  <c r="I158" i="1"/>
  <c r="I159" i="1"/>
  <c r="I165" i="1"/>
  <c r="I166" i="1"/>
  <c r="I167" i="1"/>
  <c r="I168" i="1"/>
  <c r="I169" i="1"/>
  <c r="I170" i="1"/>
  <c r="I171" i="1"/>
  <c r="I177" i="1"/>
  <c r="I178" i="1"/>
  <c r="I179" i="1"/>
  <c r="I185" i="1"/>
  <c r="I186" i="1"/>
  <c r="I187" i="1"/>
  <c r="I188" i="1"/>
  <c r="I189" i="1"/>
  <c r="I190" i="1"/>
  <c r="I191" i="1"/>
  <c r="I197" i="1"/>
  <c r="I198" i="1"/>
  <c r="L198" i="1" s="1"/>
  <c r="O198" i="1" s="1"/>
  <c r="I199" i="1"/>
  <c r="L199" i="1" s="1"/>
  <c r="O199" i="1" s="1"/>
  <c r="J57" i="1"/>
  <c r="J58" i="1"/>
  <c r="J59" i="1"/>
  <c r="J60" i="1"/>
  <c r="J61" i="1"/>
  <c r="J62" i="1"/>
  <c r="J63" i="1"/>
  <c r="J64" i="1"/>
  <c r="J65" i="1"/>
  <c r="J66" i="1"/>
  <c r="N66" i="1" s="1"/>
  <c r="J67" i="1"/>
  <c r="N67" i="1" s="1"/>
  <c r="J68" i="1"/>
  <c r="N68" i="1" s="1"/>
  <c r="J69" i="1"/>
  <c r="N69" i="1" s="1"/>
  <c r="J70" i="1"/>
  <c r="N70" i="1" s="1"/>
  <c r="J71" i="1"/>
  <c r="N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J78" i="1"/>
  <c r="J79" i="1"/>
  <c r="J80" i="1"/>
  <c r="J81" i="1"/>
  <c r="J82" i="1"/>
  <c r="J83" i="1"/>
  <c r="J84" i="1"/>
  <c r="J85" i="1"/>
  <c r="J86" i="1"/>
  <c r="N86" i="1" s="1"/>
  <c r="J87" i="1"/>
  <c r="N87" i="1" s="1"/>
  <c r="J88" i="1"/>
  <c r="N88" i="1" s="1"/>
  <c r="J89" i="1"/>
  <c r="N89" i="1" s="1"/>
  <c r="J90" i="1"/>
  <c r="N90" i="1" s="1"/>
  <c r="J91" i="1"/>
  <c r="N91" i="1" s="1"/>
  <c r="J92" i="1"/>
  <c r="K92" i="1" s="1"/>
  <c r="J93" i="1"/>
  <c r="K93" i="1" s="1"/>
  <c r="J94" i="1"/>
  <c r="N94" i="1" s="1"/>
  <c r="J95" i="1"/>
  <c r="N95" i="1" s="1"/>
  <c r="J96" i="1"/>
  <c r="N96" i="1" s="1"/>
  <c r="J97" i="1"/>
  <c r="J98" i="1"/>
  <c r="J99" i="1"/>
  <c r="J100" i="1"/>
  <c r="J101" i="1"/>
  <c r="J102" i="1"/>
  <c r="J103" i="1"/>
  <c r="J104" i="1"/>
  <c r="J105" i="1"/>
  <c r="J106" i="1"/>
  <c r="N106" i="1" s="1"/>
  <c r="J107" i="1"/>
  <c r="N107" i="1" s="1"/>
  <c r="J108" i="1"/>
  <c r="N108" i="1" s="1"/>
  <c r="J109" i="1"/>
  <c r="N109" i="1" s="1"/>
  <c r="J110" i="1"/>
  <c r="N110" i="1" s="1"/>
  <c r="J111" i="1"/>
  <c r="N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J118" i="1"/>
  <c r="J119" i="1"/>
  <c r="J120" i="1"/>
  <c r="J121" i="1"/>
  <c r="J122" i="1"/>
  <c r="J123" i="1"/>
  <c r="J124" i="1"/>
  <c r="J125" i="1"/>
  <c r="J126" i="1"/>
  <c r="N126" i="1" s="1"/>
  <c r="J127" i="1"/>
  <c r="N127" i="1" s="1"/>
  <c r="J128" i="1"/>
  <c r="N128" i="1" s="1"/>
  <c r="J129" i="1"/>
  <c r="N129" i="1" s="1"/>
  <c r="J130" i="1"/>
  <c r="N130" i="1" s="1"/>
  <c r="J131" i="1"/>
  <c r="N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J138" i="1"/>
  <c r="J139" i="1"/>
  <c r="J140" i="1"/>
  <c r="J141" i="1"/>
  <c r="J142" i="1"/>
  <c r="J143" i="1"/>
  <c r="J144" i="1"/>
  <c r="J145" i="1"/>
  <c r="J146" i="1"/>
  <c r="N146" i="1" s="1"/>
  <c r="J147" i="1"/>
  <c r="N147" i="1" s="1"/>
  <c r="J148" i="1"/>
  <c r="N148" i="1" s="1"/>
  <c r="J149" i="1"/>
  <c r="N149" i="1" s="1"/>
  <c r="J150" i="1"/>
  <c r="N150" i="1" s="1"/>
  <c r="J151" i="1"/>
  <c r="N151" i="1" s="1"/>
  <c r="J152" i="1"/>
  <c r="K152" i="1" s="1"/>
  <c r="J153" i="1"/>
  <c r="K153" i="1" s="1"/>
  <c r="J154" i="1"/>
  <c r="K154" i="1" s="1"/>
  <c r="J155" i="1"/>
  <c r="N155" i="1" s="1"/>
  <c r="J156" i="1"/>
  <c r="N156" i="1" s="1"/>
  <c r="J157" i="1"/>
  <c r="J158" i="1"/>
  <c r="J159" i="1"/>
  <c r="J160" i="1"/>
  <c r="J161" i="1"/>
  <c r="J162" i="1"/>
  <c r="J163" i="1"/>
  <c r="J164" i="1"/>
  <c r="J165" i="1"/>
  <c r="J166" i="1"/>
  <c r="N166" i="1" s="1"/>
  <c r="J167" i="1"/>
  <c r="N167" i="1" s="1"/>
  <c r="J168" i="1"/>
  <c r="N168" i="1" s="1"/>
  <c r="J169" i="1"/>
  <c r="N169" i="1" s="1"/>
  <c r="J170" i="1"/>
  <c r="N170" i="1" s="1"/>
  <c r="J171" i="1"/>
  <c r="N171" i="1" s="1"/>
  <c r="J172" i="1"/>
  <c r="K172" i="1" s="1"/>
  <c r="J173" i="1"/>
  <c r="K173" i="1" s="1"/>
  <c r="J174" i="1"/>
  <c r="N174" i="1" s="1"/>
  <c r="J175" i="1"/>
  <c r="N175" i="1" s="1"/>
  <c r="J176" i="1"/>
  <c r="N176" i="1" s="1"/>
  <c r="J177" i="1"/>
  <c r="J178" i="1"/>
  <c r="J179" i="1"/>
  <c r="J180" i="1"/>
  <c r="J181" i="1"/>
  <c r="J182" i="1"/>
  <c r="J183" i="1"/>
  <c r="J184" i="1"/>
  <c r="J185" i="1"/>
  <c r="J186" i="1"/>
  <c r="N186" i="1" s="1"/>
  <c r="J187" i="1"/>
  <c r="N187" i="1" s="1"/>
  <c r="J188" i="1"/>
  <c r="N188" i="1" s="1"/>
  <c r="J189" i="1"/>
  <c r="N189" i="1" s="1"/>
  <c r="J190" i="1"/>
  <c r="N190" i="1" s="1"/>
  <c r="J191" i="1"/>
  <c r="N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J198" i="1"/>
  <c r="J199" i="1"/>
  <c r="J200" i="1"/>
  <c r="J201" i="1"/>
  <c r="K57" i="1"/>
  <c r="L57" i="1" s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7" i="1"/>
  <c r="K78" i="1"/>
  <c r="K79" i="1"/>
  <c r="K80" i="1"/>
  <c r="K81" i="1"/>
  <c r="K82" i="1"/>
  <c r="K83" i="1"/>
  <c r="K84" i="1"/>
  <c r="K85" i="1"/>
  <c r="L85" i="1" s="1"/>
  <c r="O85" i="1" s="1"/>
  <c r="K86" i="1"/>
  <c r="L86" i="1" s="1"/>
  <c r="M86" i="1" s="1"/>
  <c r="K87" i="1"/>
  <c r="K88" i="1"/>
  <c r="K89" i="1"/>
  <c r="K90" i="1"/>
  <c r="K91" i="1"/>
  <c r="K97" i="1"/>
  <c r="L97" i="1" s="1"/>
  <c r="K98" i="1"/>
  <c r="L98" i="1" s="1"/>
  <c r="O98" i="1" s="1"/>
  <c r="K99" i="1"/>
  <c r="L99" i="1" s="1"/>
  <c r="K100" i="1"/>
  <c r="K101" i="1"/>
  <c r="K102" i="1"/>
  <c r="K103" i="1"/>
  <c r="K104" i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M111" i="1" s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7" i="1"/>
  <c r="L137" i="1" s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7" i="1"/>
  <c r="K158" i="1"/>
  <c r="K159" i="1"/>
  <c r="K160" i="1"/>
  <c r="K161" i="1"/>
  <c r="K162" i="1"/>
  <c r="K163" i="1"/>
  <c r="K164" i="1"/>
  <c r="K165" i="1"/>
  <c r="L165" i="1" s="1"/>
  <c r="M165" i="1" s="1"/>
  <c r="K166" i="1"/>
  <c r="L166" i="1" s="1"/>
  <c r="M166" i="1" s="1"/>
  <c r="K167" i="1"/>
  <c r="K168" i="1"/>
  <c r="K169" i="1"/>
  <c r="K170" i="1"/>
  <c r="K171" i="1"/>
  <c r="K177" i="1"/>
  <c r="L177" i="1" s="1"/>
  <c r="K178" i="1"/>
  <c r="L178" i="1" s="1"/>
  <c r="O178" i="1" s="1"/>
  <c r="K179" i="1"/>
  <c r="L179" i="1" s="1"/>
  <c r="K180" i="1"/>
  <c r="K181" i="1"/>
  <c r="K182" i="1"/>
  <c r="K183" i="1"/>
  <c r="K184" i="1"/>
  <c r="K185" i="1"/>
  <c r="L185" i="1" s="1"/>
  <c r="K186" i="1"/>
  <c r="K187" i="1"/>
  <c r="L187" i="1" s="1"/>
  <c r="M187" i="1" s="1"/>
  <c r="K188" i="1"/>
  <c r="L188" i="1" s="1"/>
  <c r="O188" i="1" s="1"/>
  <c r="K189" i="1"/>
  <c r="L189" i="1" s="1"/>
  <c r="O189" i="1" s="1"/>
  <c r="K190" i="1"/>
  <c r="L190" i="1" s="1"/>
  <c r="M190" i="1" s="1"/>
  <c r="K191" i="1"/>
  <c r="K197" i="1"/>
  <c r="K198" i="1"/>
  <c r="K199" i="1"/>
  <c r="K200" i="1"/>
  <c r="K201" i="1"/>
  <c r="L138" i="1"/>
  <c r="O138" i="1" s="1"/>
  <c r="L139" i="1"/>
  <c r="M139" i="1" s="1"/>
  <c r="N57" i="1"/>
  <c r="N58" i="1"/>
  <c r="N59" i="1"/>
  <c r="N60" i="1"/>
  <c r="N61" i="1"/>
  <c r="N62" i="1"/>
  <c r="N63" i="1"/>
  <c r="N64" i="1"/>
  <c r="N65" i="1"/>
  <c r="N77" i="1"/>
  <c r="N78" i="1"/>
  <c r="N79" i="1"/>
  <c r="N80" i="1"/>
  <c r="N81" i="1"/>
  <c r="N82" i="1"/>
  <c r="N83" i="1"/>
  <c r="N84" i="1"/>
  <c r="N85" i="1"/>
  <c r="N97" i="1"/>
  <c r="N98" i="1"/>
  <c r="N99" i="1"/>
  <c r="N100" i="1"/>
  <c r="N101" i="1"/>
  <c r="N102" i="1"/>
  <c r="N103" i="1"/>
  <c r="N104" i="1"/>
  <c r="N105" i="1"/>
  <c r="N117" i="1"/>
  <c r="N118" i="1"/>
  <c r="N119" i="1"/>
  <c r="N120" i="1"/>
  <c r="N121" i="1"/>
  <c r="N122" i="1"/>
  <c r="N123" i="1"/>
  <c r="N124" i="1"/>
  <c r="N125" i="1"/>
  <c r="N137" i="1"/>
  <c r="N138" i="1"/>
  <c r="N139" i="1"/>
  <c r="N140" i="1"/>
  <c r="N141" i="1"/>
  <c r="N142" i="1"/>
  <c r="N143" i="1"/>
  <c r="N144" i="1"/>
  <c r="N145" i="1"/>
  <c r="N157" i="1"/>
  <c r="N158" i="1"/>
  <c r="N159" i="1"/>
  <c r="N160" i="1"/>
  <c r="N161" i="1"/>
  <c r="N162" i="1"/>
  <c r="N163" i="1"/>
  <c r="N164" i="1"/>
  <c r="N165" i="1"/>
  <c r="N177" i="1"/>
  <c r="N178" i="1"/>
  <c r="N179" i="1"/>
  <c r="N180" i="1"/>
  <c r="N181" i="1"/>
  <c r="N182" i="1"/>
  <c r="N183" i="1"/>
  <c r="N184" i="1"/>
  <c r="N185" i="1"/>
  <c r="N197" i="1"/>
  <c r="N198" i="1"/>
  <c r="N199" i="1"/>
  <c r="N200" i="1"/>
  <c r="N201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J56" i="1"/>
  <c r="H56" i="1"/>
  <c r="G56" i="1"/>
  <c r="K56" i="1" s="1"/>
  <c r="N55" i="1"/>
  <c r="J55" i="1"/>
  <c r="H55" i="1"/>
  <c r="I55" i="1" s="1"/>
  <c r="G55" i="1"/>
  <c r="K55" i="1" s="1"/>
  <c r="N54" i="1"/>
  <c r="J54" i="1"/>
  <c r="H54" i="1"/>
  <c r="I54" i="1" s="1"/>
  <c r="L54" i="1" s="1"/>
  <c r="G54" i="1"/>
  <c r="K54" i="1" s="1"/>
  <c r="N53" i="1"/>
  <c r="J53" i="1"/>
  <c r="H53" i="1"/>
  <c r="I53" i="1" s="1"/>
  <c r="L53" i="1" s="1"/>
  <c r="G53" i="1"/>
  <c r="K53" i="1" s="1"/>
  <c r="N52" i="1"/>
  <c r="J52" i="1"/>
  <c r="H52" i="1"/>
  <c r="I52" i="1" s="1"/>
  <c r="L52" i="1" s="1"/>
  <c r="G52" i="1"/>
  <c r="K52" i="1" s="1"/>
  <c r="J51" i="1"/>
  <c r="N51" i="1" s="1"/>
  <c r="H51" i="1"/>
  <c r="I51" i="1" s="1"/>
  <c r="G51" i="1"/>
  <c r="J50" i="1"/>
  <c r="N50" i="1" s="1"/>
  <c r="H50" i="1"/>
  <c r="I50" i="1" s="1"/>
  <c r="G50" i="1"/>
  <c r="J49" i="1"/>
  <c r="H49" i="1"/>
  <c r="I49" i="1" s="1"/>
  <c r="G49" i="1"/>
  <c r="J48" i="1"/>
  <c r="N48" i="1" s="1"/>
  <c r="H48" i="1"/>
  <c r="I48" i="1" s="1"/>
  <c r="G48" i="1"/>
  <c r="J47" i="1"/>
  <c r="H47" i="1"/>
  <c r="G47" i="1"/>
  <c r="K47" i="1" s="1"/>
  <c r="J46" i="1"/>
  <c r="H46" i="1"/>
  <c r="G46" i="1"/>
  <c r="K46" i="1" s="1"/>
  <c r="J45" i="1"/>
  <c r="N45" i="1" s="1"/>
  <c r="H45" i="1"/>
  <c r="I45" i="1" s="1"/>
  <c r="L45" i="1" s="1"/>
  <c r="M45" i="1" s="1"/>
  <c r="G45" i="1"/>
  <c r="K45" i="1" s="1"/>
  <c r="N44" i="1"/>
  <c r="J44" i="1"/>
  <c r="H44" i="1"/>
  <c r="I44" i="1" s="1"/>
  <c r="G44" i="1"/>
  <c r="K44" i="1" s="1"/>
  <c r="N43" i="1"/>
  <c r="J43" i="1"/>
  <c r="H43" i="1"/>
  <c r="I43" i="1" s="1"/>
  <c r="G43" i="1"/>
  <c r="K43" i="1" s="1"/>
  <c r="N42" i="1"/>
  <c r="K42" i="1"/>
  <c r="J42" i="1"/>
  <c r="H42" i="1"/>
  <c r="I42" i="1" s="1"/>
  <c r="L42" i="1" s="1"/>
  <c r="G42" i="1"/>
  <c r="N41" i="1"/>
  <c r="K41" i="1"/>
  <c r="J41" i="1"/>
  <c r="H41" i="1"/>
  <c r="I41" i="1" s="1"/>
  <c r="L41" i="1" s="1"/>
  <c r="G41" i="1"/>
  <c r="J40" i="1"/>
  <c r="N40" i="1" s="1"/>
  <c r="I40" i="1"/>
  <c r="H40" i="1"/>
  <c r="G40" i="1"/>
  <c r="J39" i="1"/>
  <c r="I39" i="1"/>
  <c r="H39" i="1"/>
  <c r="G39" i="1"/>
  <c r="J38" i="1"/>
  <c r="H38" i="1"/>
  <c r="I38" i="1" s="1"/>
  <c r="L38" i="1" s="1"/>
  <c r="G38" i="1"/>
  <c r="K38" i="1" s="1"/>
  <c r="J37" i="1"/>
  <c r="N37" i="1" s="1"/>
  <c r="H37" i="1"/>
  <c r="I37" i="1" s="1"/>
  <c r="L37" i="1" s="1"/>
  <c r="G37" i="1"/>
  <c r="K37" i="1" s="1"/>
  <c r="J36" i="1"/>
  <c r="H36" i="1"/>
  <c r="G36" i="1"/>
  <c r="K36" i="1" s="1"/>
  <c r="N35" i="1"/>
  <c r="J35" i="1"/>
  <c r="H35" i="1"/>
  <c r="I35" i="1" s="1"/>
  <c r="G35" i="1"/>
  <c r="K35" i="1" s="1"/>
  <c r="N34" i="1"/>
  <c r="J34" i="1"/>
  <c r="H34" i="1"/>
  <c r="I34" i="1" s="1"/>
  <c r="G34" i="1"/>
  <c r="K34" i="1" s="1"/>
  <c r="N33" i="1"/>
  <c r="J33" i="1"/>
  <c r="H33" i="1"/>
  <c r="I33" i="1" s="1"/>
  <c r="L33" i="1" s="1"/>
  <c r="G33" i="1"/>
  <c r="K33" i="1" s="1"/>
  <c r="N32" i="1"/>
  <c r="J32" i="1"/>
  <c r="H32" i="1"/>
  <c r="I32" i="1" s="1"/>
  <c r="L32" i="1" s="1"/>
  <c r="G32" i="1"/>
  <c r="K32" i="1" s="1"/>
  <c r="J31" i="1"/>
  <c r="N31" i="1" s="1"/>
  <c r="H31" i="1"/>
  <c r="I31" i="1" s="1"/>
  <c r="G31" i="1"/>
  <c r="J30" i="1"/>
  <c r="N30" i="1" s="1"/>
  <c r="H30" i="1"/>
  <c r="I30" i="1" s="1"/>
  <c r="G30" i="1"/>
  <c r="J29" i="1"/>
  <c r="H29" i="1"/>
  <c r="I29" i="1" s="1"/>
  <c r="G29" i="1"/>
  <c r="J28" i="1"/>
  <c r="N28" i="1" s="1"/>
  <c r="H28" i="1"/>
  <c r="I28" i="1" s="1"/>
  <c r="G28" i="1"/>
  <c r="J27" i="1"/>
  <c r="H27" i="1"/>
  <c r="G27" i="1"/>
  <c r="K27" i="1" s="1"/>
  <c r="J26" i="1"/>
  <c r="N26" i="1" s="1"/>
  <c r="H26" i="1"/>
  <c r="I26" i="1" s="1"/>
  <c r="L26" i="1" s="1"/>
  <c r="M26" i="1" s="1"/>
  <c r="G26" i="1"/>
  <c r="K26" i="1" s="1"/>
  <c r="J25" i="1"/>
  <c r="N25" i="1" s="1"/>
  <c r="H25" i="1"/>
  <c r="I25" i="1" s="1"/>
  <c r="G25" i="1"/>
  <c r="K25" i="1" s="1"/>
  <c r="N24" i="1"/>
  <c r="J24" i="1"/>
  <c r="H24" i="1"/>
  <c r="I24" i="1" s="1"/>
  <c r="G24" i="1"/>
  <c r="K24" i="1" s="1"/>
  <c r="N23" i="1"/>
  <c r="J23" i="1"/>
  <c r="H23" i="1"/>
  <c r="I23" i="1" s="1"/>
  <c r="G23" i="1"/>
  <c r="K23" i="1" s="1"/>
  <c r="N22" i="1"/>
  <c r="K22" i="1"/>
  <c r="L22" i="1" s="1"/>
  <c r="J22" i="1"/>
  <c r="H22" i="1"/>
  <c r="I22" i="1" s="1"/>
  <c r="G22" i="1"/>
  <c r="N21" i="1"/>
  <c r="K21" i="1"/>
  <c r="J21" i="1"/>
  <c r="H21" i="1"/>
  <c r="I21" i="1" s="1"/>
  <c r="L21" i="1" s="1"/>
  <c r="G21" i="1"/>
  <c r="J20" i="1"/>
  <c r="N20" i="1" s="1"/>
  <c r="I20" i="1"/>
  <c r="H20" i="1"/>
  <c r="G20" i="1"/>
  <c r="J19" i="1"/>
  <c r="I19" i="1"/>
  <c r="H19" i="1"/>
  <c r="G19" i="1"/>
  <c r="J18" i="1"/>
  <c r="N18" i="1" s="1"/>
  <c r="I18" i="1"/>
  <c r="L18" i="1" s="1"/>
  <c r="H18" i="1"/>
  <c r="G18" i="1"/>
  <c r="K18" i="1" s="1"/>
  <c r="J17" i="1"/>
  <c r="H17" i="1"/>
  <c r="G17" i="1"/>
  <c r="K17" i="1" s="1"/>
  <c r="J16" i="1"/>
  <c r="H16" i="1"/>
  <c r="G16" i="1"/>
  <c r="K16" i="1" s="1"/>
  <c r="N15" i="1"/>
  <c r="J15" i="1"/>
  <c r="H15" i="1"/>
  <c r="I15" i="1" s="1"/>
  <c r="G15" i="1"/>
  <c r="K15" i="1" s="1"/>
  <c r="N14" i="1"/>
  <c r="J14" i="1"/>
  <c r="H14" i="1"/>
  <c r="I14" i="1" s="1"/>
  <c r="G14" i="1"/>
  <c r="K14" i="1" s="1"/>
  <c r="I11" i="1"/>
  <c r="M119" i="1" l="1"/>
  <c r="O119" i="1"/>
  <c r="M59" i="1"/>
  <c r="O59" i="1"/>
  <c r="O60" i="1"/>
  <c r="M60" i="1"/>
  <c r="L84" i="1"/>
  <c r="M84" i="1" s="1"/>
  <c r="L162" i="1"/>
  <c r="M162" i="1" s="1"/>
  <c r="L161" i="1"/>
  <c r="M161" i="1" s="1"/>
  <c r="L81" i="1"/>
  <c r="O81" i="1" s="1"/>
  <c r="L160" i="1"/>
  <c r="O160" i="1" s="1"/>
  <c r="L80" i="1"/>
  <c r="O80" i="1" s="1"/>
  <c r="L184" i="1"/>
  <c r="M184" i="1" s="1"/>
  <c r="L159" i="1"/>
  <c r="L104" i="1"/>
  <c r="M104" i="1" s="1"/>
  <c r="L79" i="1"/>
  <c r="O79" i="1" s="1"/>
  <c r="L183" i="1"/>
  <c r="O183" i="1" s="1"/>
  <c r="L158" i="1"/>
  <c r="M158" i="1" s="1"/>
  <c r="L128" i="1"/>
  <c r="O128" i="1" s="1"/>
  <c r="L103" i="1"/>
  <c r="O103" i="1" s="1"/>
  <c r="L78" i="1"/>
  <c r="O78" i="1" s="1"/>
  <c r="L182" i="1"/>
  <c r="M182" i="1" s="1"/>
  <c r="L157" i="1"/>
  <c r="O157" i="1" s="1"/>
  <c r="L102" i="1"/>
  <c r="M102" i="1" s="1"/>
  <c r="L77" i="1"/>
  <c r="L181" i="1"/>
  <c r="O181" i="1" s="1"/>
  <c r="L101" i="1"/>
  <c r="M101" i="1" s="1"/>
  <c r="L180" i="1"/>
  <c r="M180" i="1" s="1"/>
  <c r="L100" i="1"/>
  <c r="L164" i="1"/>
  <c r="M164" i="1" s="1"/>
  <c r="L82" i="1"/>
  <c r="O82" i="1" s="1"/>
  <c r="L171" i="1"/>
  <c r="M171" i="1" s="1"/>
  <c r="L91" i="1"/>
  <c r="M91" i="1" s="1"/>
  <c r="L170" i="1"/>
  <c r="M170" i="1" s="1"/>
  <c r="L90" i="1"/>
  <c r="M90" i="1" s="1"/>
  <c r="L169" i="1"/>
  <c r="M169" i="1" s="1"/>
  <c r="L89" i="1"/>
  <c r="O89" i="1" s="1"/>
  <c r="L168" i="1"/>
  <c r="M168" i="1" s="1"/>
  <c r="L88" i="1"/>
  <c r="M88" i="1" s="1"/>
  <c r="L197" i="1"/>
  <c r="O197" i="1" s="1"/>
  <c r="L167" i="1"/>
  <c r="M167" i="1" s="1"/>
  <c r="L117" i="1"/>
  <c r="O117" i="1" s="1"/>
  <c r="L87" i="1"/>
  <c r="M87" i="1" s="1"/>
  <c r="O61" i="1"/>
  <c r="M61" i="1"/>
  <c r="O143" i="1"/>
  <c r="M143" i="1"/>
  <c r="O142" i="1"/>
  <c r="O141" i="1"/>
  <c r="O139" i="1"/>
  <c r="L163" i="1"/>
  <c r="O163" i="1" s="1"/>
  <c r="L83" i="1"/>
  <c r="O83" i="1" s="1"/>
  <c r="L130" i="1"/>
  <c r="M130" i="1" s="1"/>
  <c r="L129" i="1"/>
  <c r="O129" i="1" s="1"/>
  <c r="M62" i="1"/>
  <c r="L127" i="1"/>
  <c r="M127" i="1" s="1"/>
  <c r="L136" i="1"/>
  <c r="O136" i="1" s="1"/>
  <c r="L191" i="1"/>
  <c r="M191" i="1" s="1"/>
  <c r="L71" i="1"/>
  <c r="O71" i="1" s="1"/>
  <c r="L150" i="1"/>
  <c r="M150" i="1" s="1"/>
  <c r="L125" i="1"/>
  <c r="O125" i="1" s="1"/>
  <c r="L70" i="1"/>
  <c r="O70" i="1" s="1"/>
  <c r="L195" i="1"/>
  <c r="O195" i="1" s="1"/>
  <c r="L135" i="1"/>
  <c r="O135" i="1" s="1"/>
  <c r="L115" i="1"/>
  <c r="O115" i="1" s="1"/>
  <c r="L75" i="1"/>
  <c r="O75" i="1" s="1"/>
  <c r="L131" i="1"/>
  <c r="M131" i="1" s="1"/>
  <c r="L126" i="1"/>
  <c r="M126" i="1" s="1"/>
  <c r="L149" i="1"/>
  <c r="O149" i="1" s="1"/>
  <c r="L124" i="1"/>
  <c r="M124" i="1" s="1"/>
  <c r="L69" i="1"/>
  <c r="M69" i="1" s="1"/>
  <c r="L194" i="1"/>
  <c r="O194" i="1" s="1"/>
  <c r="L154" i="1"/>
  <c r="O154" i="1" s="1"/>
  <c r="L134" i="1"/>
  <c r="O134" i="1" s="1"/>
  <c r="L114" i="1"/>
  <c r="O114" i="1" s="1"/>
  <c r="L74" i="1"/>
  <c r="O74" i="1" s="1"/>
  <c r="L186" i="1"/>
  <c r="M186" i="1" s="1"/>
  <c r="L148" i="1"/>
  <c r="O148" i="1" s="1"/>
  <c r="L123" i="1"/>
  <c r="O123" i="1" s="1"/>
  <c r="L68" i="1"/>
  <c r="O68" i="1" s="1"/>
  <c r="L193" i="1"/>
  <c r="M193" i="1" s="1"/>
  <c r="L173" i="1"/>
  <c r="O173" i="1" s="1"/>
  <c r="L153" i="1"/>
  <c r="M153" i="1" s="1"/>
  <c r="L133" i="1"/>
  <c r="M133" i="1" s="1"/>
  <c r="L113" i="1"/>
  <c r="M113" i="1" s="1"/>
  <c r="L93" i="1"/>
  <c r="M93" i="1" s="1"/>
  <c r="L73" i="1"/>
  <c r="O73" i="1" s="1"/>
  <c r="M140" i="1"/>
  <c r="L151" i="1"/>
  <c r="M151" i="1" s="1"/>
  <c r="L196" i="1"/>
  <c r="O196" i="1" s="1"/>
  <c r="L116" i="1"/>
  <c r="O116" i="1" s="1"/>
  <c r="L76" i="1"/>
  <c r="M76" i="1" s="1"/>
  <c r="L192" i="1"/>
  <c r="O192" i="1" s="1"/>
  <c r="L172" i="1"/>
  <c r="O172" i="1" s="1"/>
  <c r="L152" i="1"/>
  <c r="O152" i="1" s="1"/>
  <c r="L132" i="1"/>
  <c r="O132" i="1" s="1"/>
  <c r="L112" i="1"/>
  <c r="O112" i="1" s="1"/>
  <c r="L92" i="1"/>
  <c r="O92" i="1" s="1"/>
  <c r="L72" i="1"/>
  <c r="O72" i="1" s="1"/>
  <c r="O180" i="1"/>
  <c r="O100" i="1"/>
  <c r="M100" i="1"/>
  <c r="M149" i="1"/>
  <c r="O108" i="1"/>
  <c r="M108" i="1"/>
  <c r="M107" i="1"/>
  <c r="O107" i="1"/>
  <c r="M106" i="1"/>
  <c r="O106" i="1"/>
  <c r="M181" i="1"/>
  <c r="O109" i="1"/>
  <c r="M109" i="1"/>
  <c r="O159" i="1"/>
  <c r="M159" i="1"/>
  <c r="M179" i="1"/>
  <c r="O179" i="1"/>
  <c r="M99" i="1"/>
  <c r="O99" i="1"/>
  <c r="O185" i="1"/>
  <c r="M185" i="1"/>
  <c r="M105" i="1"/>
  <c r="O105" i="1"/>
  <c r="M70" i="1"/>
  <c r="M110" i="1"/>
  <c r="O110" i="1"/>
  <c r="O182" i="1"/>
  <c r="O102" i="1"/>
  <c r="N76" i="1"/>
  <c r="N135" i="1"/>
  <c r="N193" i="1"/>
  <c r="N196" i="1"/>
  <c r="N116" i="1"/>
  <c r="N114" i="1"/>
  <c r="M145" i="1"/>
  <c r="N136" i="1"/>
  <c r="N195" i="1"/>
  <c r="N75" i="1"/>
  <c r="N194" i="1"/>
  <c r="N74" i="1"/>
  <c r="N153" i="1"/>
  <c r="N73" i="1"/>
  <c r="N92" i="1"/>
  <c r="M199" i="1"/>
  <c r="K176" i="1"/>
  <c r="L176" i="1" s="1"/>
  <c r="M176" i="1" s="1"/>
  <c r="K156" i="1"/>
  <c r="L156" i="1" s="1"/>
  <c r="O156" i="1" s="1"/>
  <c r="K96" i="1"/>
  <c r="L96" i="1" s="1"/>
  <c r="O96" i="1" s="1"/>
  <c r="N115" i="1"/>
  <c r="N134" i="1"/>
  <c r="N113" i="1"/>
  <c r="N192" i="1"/>
  <c r="N112" i="1"/>
  <c r="K175" i="1"/>
  <c r="L175" i="1" s="1"/>
  <c r="O175" i="1" s="1"/>
  <c r="K155" i="1"/>
  <c r="L155" i="1" s="1"/>
  <c r="O155" i="1" s="1"/>
  <c r="K95" i="1"/>
  <c r="L95" i="1" s="1"/>
  <c r="O95" i="1" s="1"/>
  <c r="N154" i="1"/>
  <c r="N173" i="1"/>
  <c r="N93" i="1"/>
  <c r="M201" i="1"/>
  <c r="N152" i="1"/>
  <c r="M200" i="1"/>
  <c r="O147" i="1"/>
  <c r="O67" i="1"/>
  <c r="K174" i="1"/>
  <c r="L174" i="1" s="1"/>
  <c r="O174" i="1" s="1"/>
  <c r="K94" i="1"/>
  <c r="L94" i="1" s="1"/>
  <c r="O94" i="1" s="1"/>
  <c r="N133" i="1"/>
  <c r="N172" i="1"/>
  <c r="N72" i="1"/>
  <c r="M65" i="1"/>
  <c r="O146" i="1"/>
  <c r="O66" i="1"/>
  <c r="N132" i="1"/>
  <c r="M63" i="1"/>
  <c r="O77" i="1"/>
  <c r="M77" i="1"/>
  <c r="O137" i="1"/>
  <c r="M137" i="1"/>
  <c r="O177" i="1"/>
  <c r="M177" i="1"/>
  <c r="O57" i="1"/>
  <c r="M57" i="1"/>
  <c r="M73" i="1"/>
  <c r="O97" i="1"/>
  <c r="M97" i="1"/>
  <c r="M188" i="1"/>
  <c r="M189" i="1"/>
  <c r="O170" i="1"/>
  <c r="M129" i="1"/>
  <c r="O90" i="1"/>
  <c r="M82" i="1"/>
  <c r="M81" i="1"/>
  <c r="O161" i="1"/>
  <c r="O87" i="1"/>
  <c r="M85" i="1"/>
  <c r="O165" i="1"/>
  <c r="M122" i="1"/>
  <c r="M80" i="1"/>
  <c r="O86" i="1"/>
  <c r="M163" i="1"/>
  <c r="M121" i="1"/>
  <c r="M79" i="1"/>
  <c r="O190" i="1"/>
  <c r="O91" i="1"/>
  <c r="O171" i="1"/>
  <c r="O166" i="1"/>
  <c r="M120" i="1"/>
  <c r="O151" i="1"/>
  <c r="M160" i="1"/>
  <c r="O187" i="1"/>
  <c r="O111" i="1"/>
  <c r="M198" i="1"/>
  <c r="M138" i="1"/>
  <c r="M98" i="1"/>
  <c r="M194" i="1"/>
  <c r="M154" i="1"/>
  <c r="M134" i="1"/>
  <c r="M114" i="1"/>
  <c r="M74" i="1"/>
  <c r="O164" i="1"/>
  <c r="O144" i="1"/>
  <c r="O124" i="1"/>
  <c r="O104" i="1"/>
  <c r="O64" i="1"/>
  <c r="M118" i="1"/>
  <c r="M196" i="1"/>
  <c r="M178" i="1"/>
  <c r="M78" i="1"/>
  <c r="M116" i="1"/>
  <c r="O176" i="1"/>
  <c r="O76" i="1"/>
  <c r="M58" i="1"/>
  <c r="O32" i="1"/>
  <c r="M32" i="1"/>
  <c r="O38" i="1"/>
  <c r="M38" i="1"/>
  <c r="L51" i="1"/>
  <c r="O52" i="1"/>
  <c r="M52" i="1"/>
  <c r="O41" i="1"/>
  <c r="M41" i="1"/>
  <c r="O53" i="1"/>
  <c r="M53" i="1"/>
  <c r="O42" i="1"/>
  <c r="M42" i="1"/>
  <c r="O21" i="1"/>
  <c r="M21" i="1"/>
  <c r="O33" i="1"/>
  <c r="M33" i="1"/>
  <c r="O22" i="1"/>
  <c r="M22" i="1"/>
  <c r="K31" i="1"/>
  <c r="L31" i="1" s="1"/>
  <c r="L35" i="1"/>
  <c r="O26" i="1"/>
  <c r="L14" i="1"/>
  <c r="K40" i="1"/>
  <c r="L40" i="1" s="1"/>
  <c r="L44" i="1"/>
  <c r="L19" i="1"/>
  <c r="I27" i="1"/>
  <c r="L27" i="1" s="1"/>
  <c r="N19" i="1"/>
  <c r="K19" i="1"/>
  <c r="L23" i="1"/>
  <c r="N27" i="1"/>
  <c r="I36" i="1"/>
  <c r="L36" i="1" s="1"/>
  <c r="N49" i="1"/>
  <c r="K49" i="1"/>
  <c r="L49" i="1" s="1"/>
  <c r="N36" i="1"/>
  <c r="L15" i="1"/>
  <c r="L20" i="1"/>
  <c r="L50" i="1"/>
  <c r="O18" i="1"/>
  <c r="M18" i="1"/>
  <c r="O37" i="1"/>
  <c r="M37" i="1"/>
  <c r="L24" i="1"/>
  <c r="N16" i="1"/>
  <c r="M54" i="1"/>
  <c r="O54" i="1"/>
  <c r="K20" i="1"/>
  <c r="K50" i="1"/>
  <c r="O45" i="1"/>
  <c r="I16" i="1"/>
  <c r="L16" i="1" s="1"/>
  <c r="K29" i="1"/>
  <c r="L29" i="1" s="1"/>
  <c r="N29" i="1"/>
  <c r="I46" i="1"/>
  <c r="L46" i="1" s="1"/>
  <c r="L55" i="1"/>
  <c r="N38" i="1"/>
  <c r="N46" i="1"/>
  <c r="K51" i="1"/>
  <c r="I17" i="1"/>
  <c r="L17" i="1" s="1"/>
  <c r="L25" i="1"/>
  <c r="L34" i="1"/>
  <c r="N17" i="1"/>
  <c r="K30" i="1"/>
  <c r="L30" i="1" s="1"/>
  <c r="L39" i="1"/>
  <c r="I47" i="1"/>
  <c r="L47" i="1" s="1"/>
  <c r="N39" i="1"/>
  <c r="K39" i="1"/>
  <c r="L43" i="1"/>
  <c r="N47" i="1"/>
  <c r="I56" i="1"/>
  <c r="L56" i="1" s="1"/>
  <c r="N56" i="1"/>
  <c r="K28" i="1"/>
  <c r="L28" i="1" s="1"/>
  <c r="K48" i="1"/>
  <c r="L48" i="1" s="1"/>
  <c r="M68" i="1" l="1"/>
  <c r="M174" i="1"/>
  <c r="M89" i="1"/>
  <c r="O158" i="1"/>
  <c r="O131" i="1"/>
  <c r="M148" i="1"/>
  <c r="M157" i="1"/>
  <c r="M136" i="1"/>
  <c r="M128" i="1"/>
  <c r="M117" i="1"/>
  <c r="M83" i="1"/>
  <c r="M197" i="1"/>
  <c r="M103" i="1"/>
  <c r="O168" i="1"/>
  <c r="O186" i="1"/>
  <c r="O113" i="1"/>
  <c r="M183" i="1"/>
  <c r="M75" i="1"/>
  <c r="M115" i="1"/>
  <c r="O169" i="1"/>
  <c r="O167" i="1"/>
  <c r="O84" i="1"/>
  <c r="O101" i="1"/>
  <c r="M123" i="1"/>
  <c r="O88" i="1"/>
  <c r="M71" i="1"/>
  <c r="O126" i="1"/>
  <c r="O93" i="1"/>
  <c r="O150" i="1"/>
  <c r="O162" i="1"/>
  <c r="O184" i="1"/>
  <c r="O127" i="1"/>
  <c r="M152" i="1"/>
  <c r="O191" i="1"/>
  <c r="O130" i="1"/>
  <c r="M125" i="1"/>
  <c r="M173" i="1"/>
  <c r="M132" i="1"/>
  <c r="M172" i="1"/>
  <c r="M192" i="1"/>
  <c r="M195" i="1"/>
  <c r="O133" i="1"/>
  <c r="M135" i="1"/>
  <c r="O69" i="1"/>
  <c r="M72" i="1"/>
  <c r="M92" i="1"/>
  <c r="O153" i="1"/>
  <c r="O193" i="1"/>
  <c r="M112" i="1"/>
  <c r="M175" i="1"/>
  <c r="M155" i="1"/>
  <c r="M96" i="1"/>
  <c r="M156" i="1"/>
  <c r="M95" i="1"/>
  <c r="M94" i="1"/>
  <c r="O49" i="1"/>
  <c r="M49" i="1"/>
  <c r="O48" i="1"/>
  <c r="M48" i="1"/>
  <c r="O28" i="1"/>
  <c r="M28" i="1"/>
  <c r="O29" i="1"/>
  <c r="M29" i="1"/>
  <c r="O40" i="1"/>
  <c r="M40" i="1"/>
  <c r="O30" i="1"/>
  <c r="M30" i="1"/>
  <c r="M46" i="1"/>
  <c r="O46" i="1"/>
  <c r="O36" i="1"/>
  <c r="M36" i="1"/>
  <c r="O56" i="1"/>
  <c r="M56" i="1"/>
  <c r="O16" i="1"/>
  <c r="M16" i="1"/>
  <c r="O23" i="1"/>
  <c r="M23" i="1"/>
  <c r="O43" i="1"/>
  <c r="M43" i="1"/>
  <c r="O27" i="1"/>
  <c r="M27" i="1"/>
  <c r="O47" i="1"/>
  <c r="M47" i="1"/>
  <c r="O44" i="1"/>
  <c r="M44" i="1"/>
  <c r="M35" i="1"/>
  <c r="O35" i="1"/>
  <c r="O51" i="1"/>
  <c r="M51" i="1"/>
  <c r="O31" i="1"/>
  <c r="M31" i="1"/>
  <c r="M55" i="1"/>
  <c r="O55" i="1"/>
  <c r="O19" i="1"/>
  <c r="M19" i="1"/>
  <c r="O39" i="1"/>
  <c r="M39" i="1"/>
  <c r="O24" i="1"/>
  <c r="M24" i="1"/>
  <c r="M14" i="1"/>
  <c r="O14" i="1"/>
  <c r="M34" i="1"/>
  <c r="O34" i="1"/>
  <c r="M25" i="1"/>
  <c r="O25" i="1"/>
  <c r="O17" i="1"/>
  <c r="M17" i="1"/>
  <c r="O50" i="1"/>
  <c r="M50" i="1"/>
  <c r="O20" i="1"/>
  <c r="M20" i="1"/>
  <c r="M15" i="1"/>
  <c r="O15" i="1"/>
</calcChain>
</file>

<file path=xl/sharedStrings.xml><?xml version="1.0" encoding="utf-8"?>
<sst xmlns="http://schemas.openxmlformats.org/spreadsheetml/2006/main" count="34" uniqueCount="31">
  <si>
    <t>Файл</t>
  </si>
  <si>
    <t>C:\Testsystems\Metal\Tests\Зульфия\Горячая_бстрая_200_30\200_30\200_30.001.rez</t>
  </si>
  <si>
    <t>Вид испытания</t>
  </si>
  <si>
    <t>сжатие</t>
  </si>
  <si>
    <t>Дата</t>
  </si>
  <si>
    <t>28 Ноябрь 2025 г.</t>
  </si>
  <si>
    <t>Скорость [мм/мин]</t>
  </si>
  <si>
    <t>Форма</t>
  </si>
  <si>
    <t>Круглый</t>
  </si>
  <si>
    <t>Начальные размеры: [мм]</t>
  </si>
  <si>
    <t>Диаметр</t>
  </si>
  <si>
    <t>Толщина</t>
  </si>
  <si>
    <t>Ширина</t>
  </si>
  <si>
    <t>Длина</t>
  </si>
  <si>
    <t>База</t>
  </si>
  <si>
    <t>Расч.дл</t>
  </si>
  <si>
    <t>Размеры после испытания: [мм]</t>
  </si>
  <si>
    <t>Количество точек</t>
  </si>
  <si>
    <t>Время [с]</t>
  </si>
  <si>
    <t>Перемещение [мм]</t>
  </si>
  <si>
    <t>Усилие [Н]</t>
  </si>
  <si>
    <t>H0</t>
  </si>
  <si>
    <t>D0</t>
  </si>
  <si>
    <t>V</t>
  </si>
  <si>
    <t>Hк</t>
  </si>
  <si>
    <t>∆H оконч, мм</t>
  </si>
  <si>
    <t xml:space="preserve"> Hi оконч, мм</t>
  </si>
  <si>
    <t>Si, мм2</t>
  </si>
  <si>
    <t>σi, МПа</t>
  </si>
  <si>
    <t>ε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</si>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</sst>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Лист1!$N$14:$N$201</c:f>
              <c:numCache>
                <c:formatCode>General</c:formatCode>
                <c:ptCount val="188"/>
                <c:pt idx="0">
                  <c:v>0</c:v>
                </c:pt>
                <c:pt idx="1">
                  <c:v>1.5867499865771812E-2</c:v>
                </c:pt>
                <c:pt idx="2">
                  <c:v>2.349530765100671E-2</c:v>
                </c:pt>
                <c:pt idx="3">
                  <c:v>3.5314133389261738E-2</c:v>
                </c:pt>
                <c:pt idx="4">
                  <c:v>3.9303679966442955E-2</c:v>
                </c:pt>
                <c:pt idx="5">
                  <c:v>4.3114648255033555E-2</c:v>
                </c:pt>
                <c:pt idx="6">
                  <c:v>4.7030649395973158E-2</c:v>
                </c:pt>
                <c:pt idx="7">
                  <c:v>5.8426489563758385E-2</c:v>
                </c:pt>
                <c:pt idx="8">
                  <c:v>6.1833625302013424E-2</c:v>
                </c:pt>
                <c:pt idx="9">
                  <c:v>6.805953523489934E-2</c:v>
                </c:pt>
                <c:pt idx="10">
                  <c:v>7.559972174496643E-2</c:v>
                </c:pt>
                <c:pt idx="11">
                  <c:v>7.7761018255033551E-2</c:v>
                </c:pt>
                <c:pt idx="12">
                  <c:v>8.1437232013422803E-2</c:v>
                </c:pt>
                <c:pt idx="13">
                  <c:v>8.4940315671140951E-2</c:v>
                </c:pt>
                <c:pt idx="14">
                  <c:v>8.8506807147651009E-2</c:v>
                </c:pt>
                <c:pt idx="15">
                  <c:v>9.1973012818791944E-2</c:v>
                </c:pt>
                <c:pt idx="16">
                  <c:v>9.9044774765100665E-2</c:v>
                </c:pt>
                <c:pt idx="17">
                  <c:v>0.10249124345637584</c:v>
                </c:pt>
                <c:pt idx="18">
                  <c:v>0.10927160634228189</c:v>
                </c:pt>
                <c:pt idx="19">
                  <c:v>0.11272438919463088</c:v>
                </c:pt>
                <c:pt idx="20">
                  <c:v>0.11625297382550336</c:v>
                </c:pt>
                <c:pt idx="21">
                  <c:v>0.11994887691275168</c:v>
                </c:pt>
                <c:pt idx="22">
                  <c:v>0.12370717087248322</c:v>
                </c:pt>
                <c:pt idx="23">
                  <c:v>0.12759415147651004</c:v>
                </c:pt>
                <c:pt idx="24">
                  <c:v>0.13135052872483219</c:v>
                </c:pt>
                <c:pt idx="25">
                  <c:v>0.13529739758389261</c:v>
                </c:pt>
                <c:pt idx="26">
                  <c:v>0.13932483909395973</c:v>
                </c:pt>
                <c:pt idx="27">
                  <c:v>0.14320840540268456</c:v>
                </c:pt>
                <c:pt idx="28">
                  <c:v>0.14719029315436238</c:v>
                </c:pt>
                <c:pt idx="29">
                  <c:v>0.15111722640939595</c:v>
                </c:pt>
                <c:pt idx="30">
                  <c:v>0.15501070788590604</c:v>
                </c:pt>
                <c:pt idx="31">
                  <c:v>0.15901377063758387</c:v>
                </c:pt>
                <c:pt idx="32">
                  <c:v>0.16296890610738254</c:v>
                </c:pt>
                <c:pt idx="33">
                  <c:v>0.17096920805369126</c:v>
                </c:pt>
                <c:pt idx="34">
                  <c:v>0.17488696302013423</c:v>
                </c:pt>
                <c:pt idx="35">
                  <c:v>0.17884942959731542</c:v>
                </c:pt>
                <c:pt idx="36">
                  <c:v>0.18283801684563761</c:v>
                </c:pt>
                <c:pt idx="37">
                  <c:v>0.18681318127516777</c:v>
                </c:pt>
                <c:pt idx="38">
                  <c:v>0.19080011996644297</c:v>
                </c:pt>
                <c:pt idx="39">
                  <c:v>0.19479541862416105</c:v>
                </c:pt>
                <c:pt idx="40">
                  <c:v>0.19892184697986579</c:v>
                </c:pt>
                <c:pt idx="41">
                  <c:v>0.2029024834228188</c:v>
                </c:pt>
                <c:pt idx="42">
                  <c:v>0.20687217583892617</c:v>
                </c:pt>
                <c:pt idx="43">
                  <c:v>0.21085715016778525</c:v>
                </c:pt>
                <c:pt idx="44">
                  <c:v>0.21485565258389261</c:v>
                </c:pt>
                <c:pt idx="45">
                  <c:v>0.21881801389261743</c:v>
                </c:pt>
                <c:pt idx="46">
                  <c:v>0.22278347369127516</c:v>
                </c:pt>
                <c:pt idx="47">
                  <c:v>0.22677351087248321</c:v>
                </c:pt>
                <c:pt idx="48">
                  <c:v>0.23089136872483221</c:v>
                </c:pt>
                <c:pt idx="49">
                  <c:v>0.234740138590604</c:v>
                </c:pt>
                <c:pt idx="50">
                  <c:v>0.23875630835570472</c:v>
                </c:pt>
                <c:pt idx="51">
                  <c:v>0.24262725825503356</c:v>
                </c:pt>
                <c:pt idx="52">
                  <c:v>0.2467249123489933</c:v>
                </c:pt>
                <c:pt idx="53">
                  <c:v>0.25070451993288589</c:v>
                </c:pt>
                <c:pt idx="54">
                  <c:v>0.25466812063758387</c:v>
                </c:pt>
                <c:pt idx="55">
                  <c:v>0.2586458691275168</c:v>
                </c:pt>
                <c:pt idx="56">
                  <c:v>0.26669439033557046</c:v>
                </c:pt>
                <c:pt idx="57">
                  <c:v>0.270589099295302</c:v>
                </c:pt>
                <c:pt idx="58">
                  <c:v>0.27447502721476513</c:v>
                </c:pt>
                <c:pt idx="59">
                  <c:v>0.27838690100671137</c:v>
                </c:pt>
                <c:pt idx="60">
                  <c:v>0.28248600503355703</c:v>
                </c:pt>
                <c:pt idx="61">
                  <c:v>0.28640674130872484</c:v>
                </c:pt>
                <c:pt idx="62">
                  <c:v>0.29044656486577181</c:v>
                </c:pt>
                <c:pt idx="63">
                  <c:v>0.29454480291946311</c:v>
                </c:pt>
                <c:pt idx="64">
                  <c:v>0.29844880734899326</c:v>
                </c:pt>
                <c:pt idx="65">
                  <c:v>0.30689579241610737</c:v>
                </c:pt>
                <c:pt idx="66">
                  <c:v>0.31087901291946302</c:v>
                </c:pt>
                <c:pt idx="67">
                  <c:v>0.31485107885906038</c:v>
                </c:pt>
                <c:pt idx="68">
                  <c:v>0.31882489862416108</c:v>
                </c:pt>
                <c:pt idx="69">
                  <c:v>0.32280419040268454</c:v>
                </c:pt>
                <c:pt idx="70">
                  <c:v>0.32678757379194628</c:v>
                </c:pt>
                <c:pt idx="71">
                  <c:v>0.33071205208053689</c:v>
                </c:pt>
                <c:pt idx="72">
                  <c:v>0.33472832711409395</c:v>
                </c:pt>
                <c:pt idx="73">
                  <c:v>0.33851626130872481</c:v>
                </c:pt>
                <c:pt idx="74">
                  <c:v>0.3426206268120805</c:v>
                </c:pt>
                <c:pt idx="75">
                  <c:v>0.34641248973154365</c:v>
                </c:pt>
                <c:pt idx="76">
                  <c:v>0.35036165067114095</c:v>
                </c:pt>
                <c:pt idx="77">
                  <c:v>0.35426431043624163</c:v>
                </c:pt>
                <c:pt idx="78">
                  <c:v>0.35831524090604022</c:v>
                </c:pt>
                <c:pt idx="79">
                  <c:v>0.36220800932885905</c:v>
                </c:pt>
                <c:pt idx="80">
                  <c:v>0.36608797463087245</c:v>
                </c:pt>
                <c:pt idx="81">
                  <c:v>0.36991817738255028</c:v>
                </c:pt>
                <c:pt idx="82">
                  <c:v>0.37383116147651008</c:v>
                </c:pt>
                <c:pt idx="83">
                  <c:v>0.37764360352348991</c:v>
                </c:pt>
                <c:pt idx="84">
                  <c:v>0.38141896895973149</c:v>
                </c:pt>
                <c:pt idx="85">
                  <c:v>0.38529077291946301</c:v>
                </c:pt>
                <c:pt idx="86">
                  <c:v>0.3893842520134228</c:v>
                </c:pt>
                <c:pt idx="87">
                  <c:v>0.39309126395973154</c:v>
                </c:pt>
                <c:pt idx="88">
                  <c:v>0.3969495398322147</c:v>
                </c:pt>
                <c:pt idx="89">
                  <c:v>0.4009161337583893</c:v>
                </c:pt>
                <c:pt idx="90">
                  <c:v>0.40478638251677851</c:v>
                </c:pt>
                <c:pt idx="91">
                  <c:v>0.40865994030201341</c:v>
                </c:pt>
                <c:pt idx="92">
                  <c:v>0.41637099620805368</c:v>
                </c:pt>
                <c:pt idx="93">
                  <c:v>0.4204579744295302</c:v>
                </c:pt>
                <c:pt idx="94">
                  <c:v>0.42436135916107381</c:v>
                </c:pt>
                <c:pt idx="95">
                  <c:v>0.42827465906040263</c:v>
                </c:pt>
                <c:pt idx="96">
                  <c:v>0.43218785369127516</c:v>
                </c:pt>
                <c:pt idx="97">
                  <c:v>0.43612355607382552</c:v>
                </c:pt>
                <c:pt idx="98">
                  <c:v>0.44001330744966444</c:v>
                </c:pt>
                <c:pt idx="99">
                  <c:v>0.44388467842281881</c:v>
                </c:pt>
                <c:pt idx="100">
                  <c:v>0.44778361999999999</c:v>
                </c:pt>
                <c:pt idx="101">
                  <c:v>0.4517796078859061</c:v>
                </c:pt>
                <c:pt idx="102">
                  <c:v>0.45567792976510063</c:v>
                </c:pt>
                <c:pt idx="103">
                  <c:v>0.45952513251677851</c:v>
                </c:pt>
                <c:pt idx="104">
                  <c:v>0.46337099060402681</c:v>
                </c:pt>
                <c:pt idx="105">
                  <c:v>0.46723563825503356</c:v>
                </c:pt>
                <c:pt idx="106">
                  <c:v>0.47111329956375836</c:v>
                </c:pt>
                <c:pt idx="107">
                  <c:v>0.47493385530201349</c:v>
                </c:pt>
                <c:pt idx="108">
                  <c:v>0.47877351640939597</c:v>
                </c:pt>
                <c:pt idx="109">
                  <c:v>0.48272819506711406</c:v>
                </c:pt>
                <c:pt idx="110">
                  <c:v>0.48654967439597319</c:v>
                </c:pt>
                <c:pt idx="111">
                  <c:v>0.49035649151006711</c:v>
                </c:pt>
                <c:pt idx="112">
                  <c:v>0.49418664661073824</c:v>
                </c:pt>
                <c:pt idx="113">
                  <c:v>0.49800926006711405</c:v>
                </c:pt>
                <c:pt idx="114">
                  <c:v>0.50183104328859052</c:v>
                </c:pt>
                <c:pt idx="115">
                  <c:v>0.50560883986577176</c:v>
                </c:pt>
                <c:pt idx="116">
                  <c:v>0.50941905936241616</c:v>
                </c:pt>
                <c:pt idx="117">
                  <c:v>0.51322937221476517</c:v>
                </c:pt>
                <c:pt idx="118">
                  <c:v>0.51712528483221476</c:v>
                </c:pt>
                <c:pt idx="119">
                  <c:v>0.5208831458053691</c:v>
                </c:pt>
                <c:pt idx="120">
                  <c:v>0.52461942261744965</c:v>
                </c:pt>
                <c:pt idx="121">
                  <c:v>0.52836643291946317</c:v>
                </c:pt>
                <c:pt idx="122">
                  <c:v>0.53214070993288587</c:v>
                </c:pt>
                <c:pt idx="123">
                  <c:v>0.53586634661073818</c:v>
                </c:pt>
                <c:pt idx="124">
                  <c:v>0.53959260298657719</c:v>
                </c:pt>
                <c:pt idx="125">
                  <c:v>0.5433545793959732</c:v>
                </c:pt>
                <c:pt idx="126">
                  <c:v>0.54719286010067114</c:v>
                </c:pt>
                <c:pt idx="127">
                  <c:v>0.55089360359060402</c:v>
                </c:pt>
                <c:pt idx="128">
                  <c:v>0.55462161379194641</c:v>
                </c:pt>
                <c:pt idx="129">
                  <c:v>0.55829250651006712</c:v>
                </c:pt>
                <c:pt idx="130">
                  <c:v>0.56199303946308721</c:v>
                </c:pt>
                <c:pt idx="131">
                  <c:v>0.56564896607382553</c:v>
                </c:pt>
                <c:pt idx="132">
                  <c:v>0.56935828006711398</c:v>
                </c:pt>
                <c:pt idx="133">
                  <c:v>0.57306706771812077</c:v>
                </c:pt>
                <c:pt idx="134">
                  <c:v>0.57685442791946306</c:v>
                </c:pt>
                <c:pt idx="135">
                  <c:v>0.58050734939597304</c:v>
                </c:pt>
                <c:pt idx="136">
                  <c:v>0.58415417916107382</c:v>
                </c:pt>
                <c:pt idx="137">
                  <c:v>0.58781133325503343</c:v>
                </c:pt>
                <c:pt idx="138">
                  <c:v>0.59149492382550328</c:v>
                </c:pt>
                <c:pt idx="139">
                  <c:v>0.59510850043624164</c:v>
                </c:pt>
                <c:pt idx="140">
                  <c:v>0.59870410580536915</c:v>
                </c:pt>
                <c:pt idx="141">
                  <c:v>0.60239377617449652</c:v>
                </c:pt>
                <c:pt idx="142">
                  <c:v>0.60966614352348991</c:v>
                </c:pt>
                <c:pt idx="143">
                  <c:v>0.61324356711409389</c:v>
                </c:pt>
                <c:pt idx="144">
                  <c:v>0.61683926583892623</c:v>
                </c:pt>
                <c:pt idx="145">
                  <c:v>0.62042071151006706</c:v>
                </c:pt>
                <c:pt idx="146">
                  <c:v>0.62401228288590604</c:v>
                </c:pt>
                <c:pt idx="147">
                  <c:v>0.62757224966442948</c:v>
                </c:pt>
                <c:pt idx="148">
                  <c:v>0.63110742852348989</c:v>
                </c:pt>
                <c:pt idx="149">
                  <c:v>0.63478664546979857</c:v>
                </c:pt>
                <c:pt idx="150">
                  <c:v>0.64174972590604018</c:v>
                </c:pt>
                <c:pt idx="151">
                  <c:v>0.64526114570469795</c:v>
                </c:pt>
                <c:pt idx="152">
                  <c:v>0.64876265033557046</c:v>
                </c:pt>
                <c:pt idx="153">
                  <c:v>0.65227603449664429</c:v>
                </c:pt>
                <c:pt idx="154">
                  <c:v>0.65573932838926174</c:v>
                </c:pt>
                <c:pt idx="155">
                  <c:v>0.65916544040268454</c:v>
                </c:pt>
                <c:pt idx="156">
                  <c:v>0.66274488597315429</c:v>
                </c:pt>
                <c:pt idx="157">
                  <c:v>0.66617285708053697</c:v>
                </c:pt>
                <c:pt idx="158">
                  <c:v>0.66958853949664432</c:v>
                </c:pt>
                <c:pt idx="159">
                  <c:v>0.6730296295302014</c:v>
                </c:pt>
                <c:pt idx="160">
                  <c:v>0.67643022865771818</c:v>
                </c:pt>
                <c:pt idx="161">
                  <c:v>0.67982266644295297</c:v>
                </c:pt>
                <c:pt idx="162">
                  <c:v>0.68317503439597316</c:v>
                </c:pt>
                <c:pt idx="163">
                  <c:v>0.68658967604026844</c:v>
                </c:pt>
                <c:pt idx="164">
                  <c:v>0.69004321765100674</c:v>
                </c:pt>
                <c:pt idx="165">
                  <c:v>0.69338009315436233</c:v>
                </c:pt>
                <c:pt idx="166">
                  <c:v>0.69673555959731537</c:v>
                </c:pt>
                <c:pt idx="167">
                  <c:v>0.70001593731543632</c:v>
                </c:pt>
                <c:pt idx="168">
                  <c:v>0.70330044238255029</c:v>
                </c:pt>
                <c:pt idx="169">
                  <c:v>0.7065488063422819</c:v>
                </c:pt>
                <c:pt idx="170">
                  <c:v>0.70982009912751676</c:v>
                </c:pt>
                <c:pt idx="171">
                  <c:v>0.71305244429530201</c:v>
                </c:pt>
                <c:pt idx="172">
                  <c:v>0.71641085630872481</c:v>
                </c:pt>
                <c:pt idx="173">
                  <c:v>0.71961097718120803</c:v>
                </c:pt>
                <c:pt idx="174">
                  <c:v>0.72275161895973139</c:v>
                </c:pt>
                <c:pt idx="175">
                  <c:v>0.72590474805369121</c:v>
                </c:pt>
                <c:pt idx="176">
                  <c:v>0.72907048164429533</c:v>
                </c:pt>
                <c:pt idx="177">
                  <c:v>0.73215565449664433</c:v>
                </c:pt>
                <c:pt idx="178">
                  <c:v>0.73521541973154358</c:v>
                </c:pt>
                <c:pt idx="179">
                  <c:v>0.73824069241610735</c:v>
                </c:pt>
                <c:pt idx="180">
                  <c:v>0.74139440546979873</c:v>
                </c:pt>
                <c:pt idx="181">
                  <c:v>0.7443852789597315</c:v>
                </c:pt>
                <c:pt idx="182">
                  <c:v>0.74740796758389261</c:v>
                </c:pt>
                <c:pt idx="183">
                  <c:v>0.75037270848993276</c:v>
                </c:pt>
                <c:pt idx="184">
                  <c:v>0.75330202134228175</c:v>
                </c:pt>
                <c:pt idx="185">
                  <c:v>0.75614458838926168</c:v>
                </c:pt>
                <c:pt idx="186">
                  <c:v>0.75903125926174486</c:v>
                </c:pt>
                <c:pt idx="187">
                  <c:v>0.76188218627516779</c:v>
                </c:pt>
              </c:numCache>
            </c:numRef>
          </c:cat>
          <c:val>
            <c:numRef>
              <c:f>Лист1!$M$14:$M$201</c:f>
              <c:numCache>
                <c:formatCode>General</c:formatCode>
                <c:ptCount val="188"/>
                <c:pt idx="0">
                  <c:v>1.5502149230009754</c:v>
                </c:pt>
                <c:pt idx="1">
                  <c:v>10.5460118854161</c:v>
                </c:pt>
                <c:pt idx="2">
                  <c:v>16.107924199223639</c:v>
                </c:pt>
                <c:pt idx="3">
                  <c:v>21.415717271664466</c:v>
                </c:pt>
                <c:pt idx="4">
                  <c:v>23.293586197579565</c:v>
                </c:pt>
                <c:pt idx="5">
                  <c:v>29.46593484988805</c:v>
                </c:pt>
                <c:pt idx="6">
                  <c:v>33.619498359719685</c:v>
                </c:pt>
                <c:pt idx="7">
                  <c:v>51.484241439425226</c:v>
                </c:pt>
                <c:pt idx="8">
                  <c:v>66.335737847084715</c:v>
                </c:pt>
                <c:pt idx="9">
                  <c:v>105.89850018928441</c:v>
                </c:pt>
                <c:pt idx="10">
                  <c:v>201.40179204875</c:v>
                </c:pt>
                <c:pt idx="11">
                  <c:v>246.62477917180243</c:v>
                </c:pt>
                <c:pt idx="12">
                  <c:v>252.41591239779007</c:v>
                </c:pt>
                <c:pt idx="13">
                  <c:v>264.13750384909616</c:v>
                </c:pt>
                <c:pt idx="14">
                  <c:v>274.933402134088</c:v>
                </c:pt>
                <c:pt idx="15">
                  <c:v>287.73193304445891</c:v>
                </c:pt>
                <c:pt idx="16">
                  <c:v>308.29888747156446</c:v>
                </c:pt>
                <c:pt idx="17">
                  <c:v>321.96490813422281</c:v>
                </c:pt>
                <c:pt idx="18">
                  <c:v>351.14398057680955</c:v>
                </c:pt>
                <c:pt idx="19">
                  <c:v>363.31048046986371</c:v>
                </c:pt>
                <c:pt idx="20">
                  <c:v>374.2887270259705</c:v>
                </c:pt>
                <c:pt idx="21">
                  <c:v>381.51831585561484</c:v>
                </c:pt>
                <c:pt idx="22">
                  <c:v>386.74718133805078</c:v>
                </c:pt>
                <c:pt idx="23">
                  <c:v>389.41718925730663</c:v>
                </c:pt>
                <c:pt idx="24">
                  <c:v>391.32264900437565</c:v>
                </c:pt>
                <c:pt idx="25">
                  <c:v>393.76124189827198</c:v>
                </c:pt>
                <c:pt idx="26">
                  <c:v>393.59828609637879</c:v>
                </c:pt>
                <c:pt idx="27">
                  <c:v>396.61931349604515</c:v>
                </c:pt>
                <c:pt idx="28">
                  <c:v>397.79234998374534</c:v>
                </c:pt>
                <c:pt idx="29">
                  <c:v>400.64950840167961</c:v>
                </c:pt>
                <c:pt idx="30">
                  <c:v>403.33936461353733</c:v>
                </c:pt>
                <c:pt idx="31">
                  <c:v>403.83348054567404</c:v>
                </c:pt>
                <c:pt idx="32">
                  <c:v>405.57503998619757</c:v>
                </c:pt>
                <c:pt idx="33">
                  <c:v>409.25989994098541</c:v>
                </c:pt>
                <c:pt idx="34">
                  <c:v>411.12591059708024</c:v>
                </c:pt>
                <c:pt idx="35">
                  <c:v>412.71089165995284</c:v>
                </c:pt>
                <c:pt idx="36">
                  <c:v>414.39586559791775</c:v>
                </c:pt>
                <c:pt idx="37">
                  <c:v>416.05168861648514</c:v>
                </c:pt>
                <c:pt idx="38">
                  <c:v>417.43413675830749</c:v>
                </c:pt>
                <c:pt idx="39">
                  <c:v>419.00877152344947</c:v>
                </c:pt>
                <c:pt idx="40">
                  <c:v>420.53878212319671</c:v>
                </c:pt>
                <c:pt idx="41">
                  <c:v>422.07212304519999</c:v>
                </c:pt>
                <c:pt idx="42">
                  <c:v>423.52737410501283</c:v>
                </c:pt>
                <c:pt idx="43">
                  <c:v>424.9031560080233</c:v>
                </c:pt>
                <c:pt idx="44">
                  <c:v>426.10622168189923</c:v>
                </c:pt>
                <c:pt idx="45">
                  <c:v>427.47123299116561</c:v>
                </c:pt>
                <c:pt idx="46">
                  <c:v>428.74038448742658</c:v>
                </c:pt>
                <c:pt idx="47">
                  <c:v>429.75130023149291</c:v>
                </c:pt>
                <c:pt idx="48">
                  <c:v>431.02791281112889</c:v>
                </c:pt>
                <c:pt idx="49">
                  <c:v>433.17856350173065</c:v>
                </c:pt>
                <c:pt idx="50">
                  <c:v>433.46014873000712</c:v>
                </c:pt>
                <c:pt idx="51">
                  <c:v>436.71608011951952</c:v>
                </c:pt>
                <c:pt idx="52">
                  <c:v>435.75911268939859</c:v>
                </c:pt>
                <c:pt idx="53">
                  <c:v>436.63718344368243</c:v>
                </c:pt>
                <c:pt idx="54">
                  <c:v>437.65913442808613</c:v>
                </c:pt>
                <c:pt idx="55">
                  <c:v>438.5033855382797</c:v>
                </c:pt>
                <c:pt idx="56">
                  <c:v>440.40894139960938</c:v>
                </c:pt>
                <c:pt idx="57">
                  <c:v>442.6696770302629</c:v>
                </c:pt>
                <c:pt idx="58">
                  <c:v>445.15966559810715</c:v>
                </c:pt>
                <c:pt idx="59">
                  <c:v>445.8330480788548</c:v>
                </c:pt>
                <c:pt idx="60">
                  <c:v>444.38040908921306</c:v>
                </c:pt>
                <c:pt idx="61">
                  <c:v>446.00115669621482</c:v>
                </c:pt>
                <c:pt idx="62">
                  <c:v>445.3344219735057</c:v>
                </c:pt>
                <c:pt idx="63">
                  <c:v>446.13863927442543</c:v>
                </c:pt>
                <c:pt idx="64">
                  <c:v>447.93544853638133</c:v>
                </c:pt>
                <c:pt idx="65">
                  <c:v>448.12304416139187</c:v>
                </c:pt>
                <c:pt idx="66">
                  <c:v>448.52439235033393</c:v>
                </c:pt>
                <c:pt idx="67">
                  <c:v>449.08425215958368</c:v>
                </c:pt>
                <c:pt idx="68">
                  <c:v>449.68850420286492</c:v>
                </c:pt>
                <c:pt idx="69">
                  <c:v>450.27206236364435</c:v>
                </c:pt>
                <c:pt idx="70">
                  <c:v>452.94292633587332</c:v>
                </c:pt>
                <c:pt idx="71">
                  <c:v>452.73014718451401</c:v>
                </c:pt>
                <c:pt idx="72">
                  <c:v>452.1361007554811</c:v>
                </c:pt>
                <c:pt idx="73">
                  <c:v>454.37034709960983</c:v>
                </c:pt>
                <c:pt idx="74">
                  <c:v>452.77792878039878</c:v>
                </c:pt>
                <c:pt idx="75">
                  <c:v>454.64202902946795</c:v>
                </c:pt>
                <c:pt idx="76">
                  <c:v>453.96777598850929</c:v>
                </c:pt>
                <c:pt idx="77">
                  <c:v>455.2933044109393</c:v>
                </c:pt>
                <c:pt idx="78">
                  <c:v>456.45471519779272</c:v>
                </c:pt>
                <c:pt idx="79">
                  <c:v>456.59419028005453</c:v>
                </c:pt>
                <c:pt idx="80">
                  <c:v>456.69784400276626</c:v>
                </c:pt>
                <c:pt idx="81">
                  <c:v>456.53677628215223</c:v>
                </c:pt>
                <c:pt idx="82">
                  <c:v>457.6785828635746</c:v>
                </c:pt>
                <c:pt idx="83">
                  <c:v>457.52408380635171</c:v>
                </c:pt>
                <c:pt idx="84">
                  <c:v>457.82094267222749</c:v>
                </c:pt>
                <c:pt idx="85">
                  <c:v>457.97143766199991</c:v>
                </c:pt>
                <c:pt idx="86">
                  <c:v>458.31287479215996</c:v>
                </c:pt>
                <c:pt idx="87">
                  <c:v>458.56309174102029</c:v>
                </c:pt>
                <c:pt idx="88">
                  <c:v>458.70659708890264</c:v>
                </c:pt>
                <c:pt idx="89">
                  <c:v>458.42145869890271</c:v>
                </c:pt>
                <c:pt idx="90">
                  <c:v>458.69388908277546</c:v>
                </c:pt>
                <c:pt idx="91">
                  <c:v>458.68139405944311</c:v>
                </c:pt>
                <c:pt idx="92">
                  <c:v>459.74495848233488</c:v>
                </c:pt>
                <c:pt idx="93">
                  <c:v>459.55220099222453</c:v>
                </c:pt>
                <c:pt idx="94">
                  <c:v>459.96579113306308</c:v>
                </c:pt>
                <c:pt idx="95">
                  <c:v>460.18613465873705</c:v>
                </c:pt>
                <c:pt idx="96">
                  <c:v>460.45474641364694</c:v>
                </c:pt>
                <c:pt idx="97">
                  <c:v>460.71726053574582</c:v>
                </c:pt>
                <c:pt idx="98">
                  <c:v>461.13794649499511</c:v>
                </c:pt>
                <c:pt idx="99">
                  <c:v>461.59084966316641</c:v>
                </c:pt>
                <c:pt idx="100">
                  <c:v>461.87026160042387</c:v>
                </c:pt>
                <c:pt idx="101">
                  <c:v>462.51330596058443</c:v>
                </c:pt>
                <c:pt idx="102">
                  <c:v>462.69800917481734</c:v>
                </c:pt>
                <c:pt idx="103">
                  <c:v>463.28346248437623</c:v>
                </c:pt>
                <c:pt idx="104">
                  <c:v>463.92018198777748</c:v>
                </c:pt>
                <c:pt idx="105">
                  <c:v>464.58838210996834</c:v>
                </c:pt>
                <c:pt idx="106">
                  <c:v>465.01980892900923</c:v>
                </c:pt>
                <c:pt idx="107">
                  <c:v>465.74624492674167</c:v>
                </c:pt>
                <c:pt idx="108">
                  <c:v>466.23923276763594</c:v>
                </c:pt>
                <c:pt idx="109">
                  <c:v>466.81237727085085</c:v>
                </c:pt>
                <c:pt idx="110">
                  <c:v>467.59848759186997</c:v>
                </c:pt>
                <c:pt idx="111">
                  <c:v>468.35037543626981</c:v>
                </c:pt>
                <c:pt idx="112">
                  <c:v>468.89579357917239</c:v>
                </c:pt>
                <c:pt idx="113">
                  <c:v>469.56046871920438</c:v>
                </c:pt>
                <c:pt idx="114">
                  <c:v>470.33428435015463</c:v>
                </c:pt>
                <c:pt idx="115">
                  <c:v>471.12793479854423</c:v>
                </c:pt>
                <c:pt idx="116">
                  <c:v>471.7573122006001</c:v>
                </c:pt>
                <c:pt idx="117">
                  <c:v>472.71603655518913</c:v>
                </c:pt>
                <c:pt idx="118">
                  <c:v>473.38036324950434</c:v>
                </c:pt>
                <c:pt idx="119">
                  <c:v>474.23211557845451</c:v>
                </c:pt>
                <c:pt idx="120">
                  <c:v>475.20600081565738</c:v>
                </c:pt>
                <c:pt idx="121">
                  <c:v>476.28016824200796</c:v>
                </c:pt>
                <c:pt idx="122">
                  <c:v>476.94010804585298</c:v>
                </c:pt>
                <c:pt idx="123">
                  <c:v>477.89928764342602</c:v>
                </c:pt>
                <c:pt idx="124">
                  <c:v>478.77452171878844</c:v>
                </c:pt>
                <c:pt idx="125">
                  <c:v>479.73528423118802</c:v>
                </c:pt>
                <c:pt idx="126">
                  <c:v>480.5075224989161</c:v>
                </c:pt>
                <c:pt idx="127">
                  <c:v>481.52821953765914</c:v>
                </c:pt>
                <c:pt idx="128">
                  <c:v>482.14289647554386</c:v>
                </c:pt>
                <c:pt idx="129">
                  <c:v>483.42753289467186</c:v>
                </c:pt>
                <c:pt idx="130">
                  <c:v>484.34805793541568</c:v>
                </c:pt>
                <c:pt idx="131">
                  <c:v>485.28018707093241</c:v>
                </c:pt>
                <c:pt idx="132">
                  <c:v>485.86090522932653</c:v>
                </c:pt>
                <c:pt idx="133">
                  <c:v>486.71423501594205</c:v>
                </c:pt>
                <c:pt idx="134">
                  <c:v>487.47869838134415</c:v>
                </c:pt>
                <c:pt idx="135">
                  <c:v>488.44757897562312</c:v>
                </c:pt>
                <c:pt idx="136">
                  <c:v>489.32720387357728</c:v>
                </c:pt>
                <c:pt idx="137">
                  <c:v>490.13566628417357</c:v>
                </c:pt>
                <c:pt idx="138">
                  <c:v>490.69254165241745</c:v>
                </c:pt>
                <c:pt idx="139">
                  <c:v>491.53783196140296</c:v>
                </c:pt>
                <c:pt idx="140">
                  <c:v>492.48775644053194</c:v>
                </c:pt>
                <c:pt idx="141">
                  <c:v>493.15992356476801</c:v>
                </c:pt>
                <c:pt idx="142">
                  <c:v>494.47356455774292</c:v>
                </c:pt>
                <c:pt idx="143">
                  <c:v>495.36098091866961</c:v>
                </c:pt>
                <c:pt idx="144">
                  <c:v>496.14177999009411</c:v>
                </c:pt>
                <c:pt idx="145">
                  <c:v>496.97154053778542</c:v>
                </c:pt>
                <c:pt idx="146">
                  <c:v>497.46969121374309</c:v>
                </c:pt>
                <c:pt idx="147">
                  <c:v>498.1966101439067</c:v>
                </c:pt>
                <c:pt idx="148">
                  <c:v>499.07518768171383</c:v>
                </c:pt>
                <c:pt idx="149">
                  <c:v>499.62174545204056</c:v>
                </c:pt>
                <c:pt idx="150">
                  <c:v>500.92837501994569</c:v>
                </c:pt>
                <c:pt idx="151">
                  <c:v>501.73126036306212</c:v>
                </c:pt>
                <c:pt idx="152">
                  <c:v>502.51981353925623</c:v>
                </c:pt>
                <c:pt idx="153">
                  <c:v>503.01970832360871</c:v>
                </c:pt>
                <c:pt idx="154">
                  <c:v>503.8438742244623</c:v>
                </c:pt>
                <c:pt idx="155">
                  <c:v>504.91348945920936</c:v>
                </c:pt>
                <c:pt idx="156">
                  <c:v>505.52938825794496</c:v>
                </c:pt>
                <c:pt idx="157">
                  <c:v>506.33477992960422</c:v>
                </c:pt>
                <c:pt idx="158">
                  <c:v>507.08171613407518</c:v>
                </c:pt>
                <c:pt idx="159">
                  <c:v>507.46488090203906</c:v>
                </c:pt>
                <c:pt idx="160">
                  <c:v>508.21605176420258</c:v>
                </c:pt>
                <c:pt idx="161">
                  <c:v>508.96912167976046</c:v>
                </c:pt>
                <c:pt idx="162">
                  <c:v>509.86282023543066</c:v>
                </c:pt>
                <c:pt idx="163">
                  <c:v>510.20263356128754</c:v>
                </c:pt>
                <c:pt idx="164">
                  <c:v>511.01835352235059</c:v>
                </c:pt>
                <c:pt idx="165">
                  <c:v>511.65464088879298</c:v>
                </c:pt>
                <c:pt idx="166">
                  <c:v>511.98901317306326</c:v>
                </c:pt>
                <c:pt idx="167">
                  <c:v>512.91629226543864</c:v>
                </c:pt>
                <c:pt idx="168">
                  <c:v>513.76200744472214</c:v>
                </c:pt>
                <c:pt idx="169">
                  <c:v>514.59427905436462</c:v>
                </c:pt>
                <c:pt idx="170">
                  <c:v>515.08129069839333</c:v>
                </c:pt>
                <c:pt idx="171">
                  <c:v>516.00324424760868</c:v>
                </c:pt>
                <c:pt idx="172">
                  <c:v>516.64797610041342</c:v>
                </c:pt>
                <c:pt idx="173">
                  <c:v>517.54466663601329</c:v>
                </c:pt>
                <c:pt idx="174">
                  <c:v>518.52838052160939</c:v>
                </c:pt>
                <c:pt idx="175">
                  <c:v>519.4750717326134</c:v>
                </c:pt>
                <c:pt idx="176">
                  <c:v>520.06883707700092</c:v>
                </c:pt>
                <c:pt idx="177">
                  <c:v>521.189176511352</c:v>
                </c:pt>
                <c:pt idx="178">
                  <c:v>522.36077630049783</c:v>
                </c:pt>
                <c:pt idx="179">
                  <c:v>523.57061844972736</c:v>
                </c:pt>
                <c:pt idx="180">
                  <c:v>524.47477015488846</c:v>
                </c:pt>
                <c:pt idx="181">
                  <c:v>525.75709775812038</c:v>
                </c:pt>
                <c:pt idx="182">
                  <c:v>526.52359495692588</c:v>
                </c:pt>
                <c:pt idx="183">
                  <c:v>527.71873070201491</c:v>
                </c:pt>
                <c:pt idx="184">
                  <c:v>529.06710737263541</c:v>
                </c:pt>
                <c:pt idx="185">
                  <c:v>530.70034809232573</c:v>
                </c:pt>
                <c:pt idx="186">
                  <c:v>531.75861655395431</c:v>
                </c:pt>
                <c:pt idx="187">
                  <c:v>533.08294760766637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E-45FF-BBE8-71153634D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44735"/>
        <c:axId val="1544342831"/>
      </c:lineChart>
      <c:catAx>
        <c:axId val="155664473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42831"/>
        <c:crosses val="autoZero"/>
        <c:auto val="1"/>
        <c:lblAlgn val="ctr"/>
        <c:lblOffset val="100"/>
        <c:tickMarkSkip val="50"/>
        <c:noMultiLvlLbl val="0"/>
      </c:catAx>
      <c:valAx>
        <c:axId val="1544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664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Лист1!$O$14:$O$201</c:f>
              <c:numCache>
                <c:formatCode>General</c:formatCode>
                <c:ptCount val="188"/>
                <c:pt idx="0">
                  <c:v>0</c:v>
                </c:pt>
                <c:pt idx="1">
                  <c:v>1.5994736387046092E-2</c:v>
                </c:pt>
                <c:pt idx="2">
                  <c:v>2.3775723404042284E-2</c:v>
                </c:pt>
                <c:pt idx="3">
                  <c:v>3.5952757466760764E-2</c:v>
                </c:pt>
                <c:pt idx="4">
                  <c:v>4.0096924079082032E-2</c:v>
                </c:pt>
                <c:pt idx="5">
                  <c:v>4.4071694345266241E-2</c:v>
                </c:pt>
                <c:pt idx="6">
                  <c:v>4.8172536806256702E-2</c:v>
                </c:pt>
                <c:pt idx="7">
                  <c:v>6.0202855933663597E-2</c:v>
                </c:pt>
                <c:pt idx="8">
                  <c:v>6.3827973958166265E-2</c:v>
                </c:pt>
                <c:pt idx="9">
                  <c:v>7.0486345344299317E-2</c:v>
                </c:pt>
                <c:pt idx="10">
                  <c:v>7.8610099570453562E-2</c:v>
                </c:pt>
                <c:pt idx="11">
                  <c:v>8.0950889722324101E-2</c:v>
                </c:pt>
                <c:pt idx="12">
                  <c:v>8.4945039169666198E-2</c:v>
                </c:pt>
                <c:pt idx="13">
                  <c:v>8.8765987059210447E-2</c:v>
                </c:pt>
                <c:pt idx="14">
                  <c:v>9.267115296333063E-2</c:v>
                </c:pt>
                <c:pt idx="15">
                  <c:v>9.6481179257313518E-2</c:v>
                </c:pt>
                <c:pt idx="16">
                  <c:v>0.10429971713147715</c:v>
                </c:pt>
                <c:pt idx="17">
                  <c:v>0.10813240207273095</c:v>
                </c:pt>
                <c:pt idx="18">
                  <c:v>0.1157157311387194</c:v>
                </c:pt>
                <c:pt idx="19">
                  <c:v>0.11959962249554995</c:v>
                </c:pt>
                <c:pt idx="20">
                  <c:v>0.12358442678465779</c:v>
                </c:pt>
                <c:pt idx="21">
                  <c:v>0.12777527877997252</c:v>
                </c:pt>
                <c:pt idx="22">
                  <c:v>0.13205496407886608</c:v>
                </c:pt>
                <c:pt idx="23">
                  <c:v>0.1365005407299886</c:v>
                </c:pt>
                <c:pt idx="24">
                  <c:v>0.14081560531660037</c:v>
                </c:pt>
                <c:pt idx="25">
                  <c:v>0.14536964340294914</c:v>
                </c:pt>
                <c:pt idx="26">
                  <c:v>0.15003812692050922</c:v>
                </c:pt>
                <c:pt idx="27">
                  <c:v>0.15456057012394173</c:v>
                </c:pt>
                <c:pt idx="28">
                  <c:v>0.15921884331165137</c:v>
                </c:pt>
                <c:pt idx="29">
                  <c:v>0.16383417806915238</c:v>
                </c:pt>
                <c:pt idx="30">
                  <c:v>0.16843132375958103</c:v>
                </c:pt>
                <c:pt idx="31">
                  <c:v>0.17317999326641392</c:v>
                </c:pt>
                <c:pt idx="32">
                  <c:v>0.17789405996807986</c:v>
                </c:pt>
                <c:pt idx="33">
                  <c:v>0.1874979810549689</c:v>
                </c:pt>
                <c:pt idx="34">
                  <c:v>0.19223488751203863</c:v>
                </c:pt>
                <c:pt idx="35">
                  <c:v>0.19704878755996705</c:v>
                </c:pt>
                <c:pt idx="36">
                  <c:v>0.20191793797938612</c:v>
                </c:pt>
                <c:pt idx="37">
                  <c:v>0.20679440650241357</c:v>
                </c:pt>
                <c:pt idx="38">
                  <c:v>0.21170932194170022</c:v>
                </c:pt>
                <c:pt idx="39">
                  <c:v>0.21665889549617567</c:v>
                </c:pt>
                <c:pt idx="40">
                  <c:v>0.22179676735982778</c:v>
                </c:pt>
                <c:pt idx="41">
                  <c:v>0.22677825312558661</c:v>
                </c:pt>
                <c:pt idx="42">
                  <c:v>0.23177087971784027</c:v>
                </c:pt>
                <c:pt idx="43">
                  <c:v>0.23680792277229676</c:v>
                </c:pt>
                <c:pt idx="44">
                  <c:v>0.24188769604522661</c:v>
                </c:pt>
                <c:pt idx="45">
                  <c:v>0.24694713950382483</c:v>
                </c:pt>
                <c:pt idx="46">
                  <c:v>0.25203629779766251</c:v>
                </c:pt>
                <c:pt idx="47">
                  <c:v>0.25718327314591721</c:v>
                </c:pt>
                <c:pt idx="48">
                  <c:v>0.26252305641654722</c:v>
                </c:pt>
                <c:pt idx="49">
                  <c:v>0.26753981471969002</c:v>
                </c:pt>
                <c:pt idx="50">
                  <c:v>0.2728017468307305</c:v>
                </c:pt>
                <c:pt idx="51">
                  <c:v>0.27789975340822026</c:v>
                </c:pt>
                <c:pt idx="52">
                  <c:v>0.28332479565047475</c:v>
                </c:pt>
                <c:pt idx="53">
                  <c:v>0.28862187383730714</c:v>
                </c:pt>
                <c:pt idx="54">
                  <c:v>0.29392568414314874</c:v>
                </c:pt>
                <c:pt idx="55">
                  <c:v>0.29927685843882174</c:v>
                </c:pt>
                <c:pt idx="56">
                  <c:v>0.31019273402151709</c:v>
                </c:pt>
                <c:pt idx="57">
                  <c:v>0.31551805596367916</c:v>
                </c:pt>
                <c:pt idx="58">
                  <c:v>0.32085978576823959</c:v>
                </c:pt>
                <c:pt idx="59">
                  <c:v>0.326266157691596</c:v>
                </c:pt>
                <c:pt idx="60">
                  <c:v>0.33196282635887314</c:v>
                </c:pt>
                <c:pt idx="61">
                  <c:v>0.33744214466219974</c:v>
                </c:pt>
                <c:pt idx="62">
                  <c:v>0.34311947142766619</c:v>
                </c:pt>
                <c:pt idx="63">
                  <c:v>0.34891201490703233</c:v>
                </c:pt>
                <c:pt idx="64">
                  <c:v>0.35446140612076099</c:v>
                </c:pt>
                <c:pt idx="65">
                  <c:v>0.36657491940299503</c:v>
                </c:pt>
                <c:pt idx="66">
                  <c:v>0.3723384252990582</c:v>
                </c:pt>
                <c:pt idx="67">
                  <c:v>0.37811906122308753</c:v>
                </c:pt>
                <c:pt idx="68">
                  <c:v>0.3839358819833989</c:v>
                </c:pt>
                <c:pt idx="69">
                  <c:v>0.38979481657851628</c:v>
                </c:pt>
                <c:pt idx="70">
                  <c:v>0.39569435841627176</c:v>
                </c:pt>
                <c:pt idx="71">
                  <c:v>0.40154089603085064</c:v>
                </c:pt>
                <c:pt idx="72">
                  <c:v>0.40755979109671275</c:v>
                </c:pt>
                <c:pt idx="73">
                  <c:v>0.4132698782065668</c:v>
                </c:pt>
                <c:pt idx="74">
                  <c:v>0.41949399459364295</c:v>
                </c:pt>
                <c:pt idx="75">
                  <c:v>0.42527884475531447</c:v>
                </c:pt>
                <c:pt idx="76">
                  <c:v>0.43133945658029454</c:v>
                </c:pt>
                <c:pt idx="77">
                  <c:v>0.43736500820604851</c:v>
                </c:pt>
                <c:pt idx="78">
                  <c:v>0.44365812533527493</c:v>
                </c:pt>
                <c:pt idx="79">
                  <c:v>0.4497430822286147</c:v>
                </c:pt>
                <c:pt idx="80">
                  <c:v>0.45584509542057672</c:v>
                </c:pt>
                <c:pt idx="81">
                  <c:v>0.46190559085931288</c:v>
                </c:pt>
                <c:pt idx="82">
                  <c:v>0.46813523414584779</c:v>
                </c:pt>
                <c:pt idx="83">
                  <c:v>0.47424236564708244</c:v>
                </c:pt>
                <c:pt idx="84">
                  <c:v>0.48032708353972381</c:v>
                </c:pt>
                <c:pt idx="85">
                  <c:v>0.48660592447655071</c:v>
                </c:pt>
                <c:pt idx="86">
                  <c:v>0.49328740801070359</c:v>
                </c:pt>
                <c:pt idx="87">
                  <c:v>0.49937685171390878</c:v>
                </c:pt>
                <c:pt idx="88">
                  <c:v>0.50575440388579329</c:v>
                </c:pt>
                <c:pt idx="89">
                  <c:v>0.51235368024718064</c:v>
                </c:pt>
                <c:pt idx="90">
                  <c:v>0.5188349168889137</c:v>
                </c:pt>
                <c:pt idx="91">
                  <c:v>0.52536402993337517</c:v>
                </c:pt>
                <c:pt idx="92">
                  <c:v>0.53848976550133698</c:v>
                </c:pt>
                <c:pt idx="93">
                  <c:v>0.5455170984341029</c:v>
                </c:pt>
                <c:pt idx="94">
                  <c:v>0.55227517481330024</c:v>
                </c:pt>
                <c:pt idx="95">
                  <c:v>0.55909657610492103</c:v>
                </c:pt>
                <c:pt idx="96">
                  <c:v>0.56596464329337104</c:v>
                </c:pt>
                <c:pt idx="97">
                  <c:v>0.57292012253652846</c:v>
                </c:pt>
                <c:pt idx="98">
                  <c:v>0.57984225883826612</c:v>
                </c:pt>
                <c:pt idx="99">
                  <c:v>0.58677959333003893</c:v>
                </c:pt>
                <c:pt idx="100">
                  <c:v>0.59381531676050636</c:v>
                </c:pt>
                <c:pt idx="101">
                  <c:v>0.60107789749428497</c:v>
                </c:pt>
                <c:pt idx="102">
                  <c:v>0.60821416644027348</c:v>
                </c:pt>
                <c:pt idx="103">
                  <c:v>0.61530714162740807</c:v>
                </c:pt>
                <c:pt idx="104">
                  <c:v>0.62244828096106453</c:v>
                </c:pt>
                <c:pt idx="105">
                  <c:v>0.62967605060990561</c:v>
                </c:pt>
                <c:pt idx="106">
                  <c:v>0.63698104693208712</c:v>
                </c:pt>
                <c:pt idx="107">
                  <c:v>0.64423103442564755</c:v>
                </c:pt>
                <c:pt idx="108">
                  <c:v>0.65157062230056595</c:v>
                </c:pt>
                <c:pt idx="109">
                  <c:v>0.65918680774401495</c:v>
                </c:pt>
                <c:pt idx="110">
                  <c:v>0.6666019911886002</c:v>
                </c:pt>
                <c:pt idx="111">
                  <c:v>0.67404380064115643</c:v>
                </c:pt>
                <c:pt idx="112">
                  <c:v>0.68158754456241188</c:v>
                </c:pt>
                <c:pt idx="113">
                  <c:v>0.68917360580937659</c:v>
                </c:pt>
                <c:pt idx="114">
                  <c:v>0.69681598899186981</c:v>
                </c:pt>
                <c:pt idx="115">
                  <c:v>0.70442825298590739</c:v>
                </c:pt>
                <c:pt idx="116">
                  <c:v>0.71216499700007407</c:v>
                </c:pt>
                <c:pt idx="117">
                  <c:v>0.71996225702431416</c:v>
                </c:pt>
                <c:pt idx="118">
                  <c:v>0.72799804786325306</c:v>
                </c:pt>
                <c:pt idx="119">
                  <c:v>0.73581075684596786</c:v>
                </c:pt>
                <c:pt idx="120">
                  <c:v>0.74363958020711429</c:v>
                </c:pt>
                <c:pt idx="121">
                  <c:v>0.75155293583632721</c:v>
                </c:pt>
                <c:pt idx="122">
                  <c:v>0.75958769052220243</c:v>
                </c:pt>
                <c:pt idx="123">
                  <c:v>0.76758272213564727</c:v>
                </c:pt>
                <c:pt idx="124">
                  <c:v>0.77564353577037493</c:v>
                </c:pt>
                <c:pt idx="125">
                  <c:v>0.78384807413512025</c:v>
                </c:pt>
                <c:pt idx="126">
                  <c:v>0.79228898388857605</c:v>
                </c:pt>
                <c:pt idx="127">
                  <c:v>0.80049545626131213</c:v>
                </c:pt>
                <c:pt idx="128">
                  <c:v>0.80883105203580363</c:v>
                </c:pt>
                <c:pt idx="129">
                  <c:v>0.81710739541164701</c:v>
                </c:pt>
                <c:pt idx="130">
                  <c:v>0.82552047709517451</c:v>
                </c:pt>
                <c:pt idx="131">
                  <c:v>0.83390223788034257</c:v>
                </c:pt>
                <c:pt idx="132">
                  <c:v>0.84247881083789833</c:v>
                </c:pt>
                <c:pt idx="133">
                  <c:v>0.85112834534541781</c:v>
                </c:pt>
                <c:pt idx="134">
                  <c:v>0.86003901710478015</c:v>
                </c:pt>
                <c:pt idx="135">
                  <c:v>0.868709272646634</c:v>
                </c:pt>
                <c:pt idx="136">
                  <c:v>0.87744071040189664</c:v>
                </c:pt>
                <c:pt idx="137">
                  <c:v>0.88627410545745655</c:v>
                </c:pt>
                <c:pt idx="138">
                  <c:v>0.89525093838352943</c:v>
                </c:pt>
                <c:pt idx="139">
                  <c:v>0.90413615007954051</c:v>
                </c:pt>
                <c:pt idx="140">
                  <c:v>0.91305623302342753</c:v>
                </c:pt>
                <c:pt idx="141">
                  <c:v>0.92229315083756591</c:v>
                </c:pt>
                <c:pt idx="142">
                  <c:v>0.94075286380617718</c:v>
                </c:pt>
                <c:pt idx="143">
                  <c:v>0.94996015647813548</c:v>
                </c:pt>
                <c:pt idx="144">
                  <c:v>0.95930070640008402</c:v>
                </c:pt>
                <c:pt idx="145">
                  <c:v>0.96869177514181271</c:v>
                </c:pt>
                <c:pt idx="146">
                  <c:v>0.97819880337557896</c:v>
                </c:pt>
                <c:pt idx="147">
                  <c:v>0.98771221880565285</c:v>
                </c:pt>
                <c:pt idx="148">
                  <c:v>0.99724981153940084</c:v>
                </c:pt>
                <c:pt idx="149">
                  <c:v>1.007273563213035</c:v>
                </c:pt>
                <c:pt idx="150">
                  <c:v>1.0265234471828444</c:v>
                </c:pt>
                <c:pt idx="151">
                  <c:v>1.0363733819125056</c:v>
                </c:pt>
                <c:pt idx="152">
                  <c:v>1.0462930741729803</c:v>
                </c:pt>
                <c:pt idx="153">
                  <c:v>1.0563463165358427</c:v>
                </c:pt>
                <c:pt idx="154">
                  <c:v>1.0663561422583869</c:v>
                </c:pt>
                <c:pt idx="155">
                  <c:v>1.0763580818992278</c:v>
                </c:pt>
                <c:pt idx="156">
                  <c:v>1.0869156201045851</c:v>
                </c:pt>
                <c:pt idx="157">
                  <c:v>1.0971319561427764</c:v>
                </c:pt>
                <c:pt idx="158">
                  <c:v>1.1074165511833878</c:v>
                </c:pt>
                <c:pt idx="159">
                  <c:v>1.1178857223743364</c:v>
                </c:pt>
                <c:pt idx="160">
                  <c:v>1.1283405118129139</c:v>
                </c:pt>
                <c:pt idx="161">
                  <c:v>1.1388802693166222</c:v>
                </c:pt>
                <c:pt idx="162">
                  <c:v>1.1494058165785954</c:v>
                </c:pt>
                <c:pt idx="163">
                  <c:v>1.160242007804025</c:v>
                </c:pt>
                <c:pt idx="164">
                  <c:v>1.1713224029991114</c:v>
                </c:pt>
                <c:pt idx="165">
                  <c:v>1.1821463869103321</c:v>
                </c:pt>
                <c:pt idx="166">
                  <c:v>1.1931501134864915</c:v>
                </c:pt>
                <c:pt idx="167">
                  <c:v>1.2040259301218739</c:v>
                </c:pt>
                <c:pt idx="168">
                  <c:v>1.2150352426960793</c:v>
                </c:pt>
                <c:pt idx="169">
                  <c:v>1.2260439443162143</c:v>
                </c:pt>
                <c:pt idx="170">
                  <c:v>1.2372542005016478</c:v>
                </c:pt>
                <c:pt idx="171">
                  <c:v>1.2484558126564207</c:v>
                </c:pt>
                <c:pt idx="172">
                  <c:v>1.260228765412041</c:v>
                </c:pt>
                <c:pt idx="173">
                  <c:v>1.2715772728804846</c:v>
                </c:pt>
                <c:pt idx="174">
                  <c:v>1.2828414921185076</c:v>
                </c:pt>
                <c:pt idx="175">
                  <c:v>1.2942795981645148</c:v>
                </c:pt>
                <c:pt idx="176">
                  <c:v>1.305896571797319</c:v>
                </c:pt>
                <c:pt idx="177">
                  <c:v>1.3173492675617582</c:v>
                </c:pt>
                <c:pt idx="178">
                  <c:v>1.3288386882294008</c:v>
                </c:pt>
                <c:pt idx="179">
                  <c:v>1.3403298708039375</c:v>
                </c:pt>
                <c:pt idx="180">
                  <c:v>1.3524511789642315</c:v>
                </c:pt>
                <c:pt idx="181">
                  <c:v>1.3640839640829725</c:v>
                </c:pt>
                <c:pt idx="182">
                  <c:v>1.37597961185891</c:v>
                </c:pt>
                <c:pt idx="183">
                  <c:v>1.3877863074783081</c:v>
                </c:pt>
                <c:pt idx="184">
                  <c:v>1.3995904490040323</c:v>
                </c:pt>
                <c:pt idx="185">
                  <c:v>1.4111798046969348</c:v>
                </c:pt>
                <c:pt idx="186">
                  <c:v>1.4230880603843641</c:v>
                </c:pt>
                <c:pt idx="187">
                  <c:v>1.4349897121399362</c:v>
                </c:pt>
              </c:numCache>
            </c:numRef>
          </c:cat>
          <c:val>
            <c:numRef>
              <c:f>Лист1!$M$14:$M$201</c:f>
              <c:numCache>
                <c:formatCode>General</c:formatCode>
                <c:ptCount val="188"/>
                <c:pt idx="0">
                  <c:v>1.5502149230009754</c:v>
                </c:pt>
                <c:pt idx="1">
                  <c:v>10.5460118854161</c:v>
                </c:pt>
                <c:pt idx="2">
                  <c:v>16.107924199223639</c:v>
                </c:pt>
                <c:pt idx="3">
                  <c:v>21.415717271664466</c:v>
                </c:pt>
                <c:pt idx="4">
                  <c:v>23.293586197579565</c:v>
                </c:pt>
                <c:pt idx="5">
                  <c:v>29.46593484988805</c:v>
                </c:pt>
                <c:pt idx="6">
                  <c:v>33.619498359719685</c:v>
                </c:pt>
                <c:pt idx="7">
                  <c:v>51.484241439425226</c:v>
                </c:pt>
                <c:pt idx="8">
                  <c:v>66.335737847084715</c:v>
                </c:pt>
                <c:pt idx="9">
                  <c:v>105.89850018928441</c:v>
                </c:pt>
                <c:pt idx="10">
                  <c:v>201.40179204875</c:v>
                </c:pt>
                <c:pt idx="11">
                  <c:v>246.62477917180243</c:v>
                </c:pt>
                <c:pt idx="12">
                  <c:v>252.41591239779007</c:v>
                </c:pt>
                <c:pt idx="13">
                  <c:v>264.13750384909616</c:v>
                </c:pt>
                <c:pt idx="14">
                  <c:v>274.933402134088</c:v>
                </c:pt>
                <c:pt idx="15">
                  <c:v>287.73193304445891</c:v>
                </c:pt>
                <c:pt idx="16">
                  <c:v>308.29888747156446</c:v>
                </c:pt>
                <c:pt idx="17">
                  <c:v>321.96490813422281</c:v>
                </c:pt>
                <c:pt idx="18">
                  <c:v>351.14398057680955</c:v>
                </c:pt>
                <c:pt idx="19">
                  <c:v>363.31048046986371</c:v>
                </c:pt>
                <c:pt idx="20">
                  <c:v>374.2887270259705</c:v>
                </c:pt>
                <c:pt idx="21">
                  <c:v>381.51831585561484</c:v>
                </c:pt>
                <c:pt idx="22">
                  <c:v>386.74718133805078</c:v>
                </c:pt>
                <c:pt idx="23">
                  <c:v>389.41718925730663</c:v>
                </c:pt>
                <c:pt idx="24">
                  <c:v>391.32264900437565</c:v>
                </c:pt>
                <c:pt idx="25">
                  <c:v>393.76124189827198</c:v>
                </c:pt>
                <c:pt idx="26">
                  <c:v>393.59828609637879</c:v>
                </c:pt>
                <c:pt idx="27">
                  <c:v>396.61931349604515</c:v>
                </c:pt>
                <c:pt idx="28">
                  <c:v>397.79234998374534</c:v>
                </c:pt>
                <c:pt idx="29">
                  <c:v>400.64950840167961</c:v>
                </c:pt>
                <c:pt idx="30">
                  <c:v>403.33936461353733</c:v>
                </c:pt>
                <c:pt idx="31">
                  <c:v>403.83348054567404</c:v>
                </c:pt>
                <c:pt idx="32">
                  <c:v>405.57503998619757</c:v>
                </c:pt>
                <c:pt idx="33">
                  <c:v>409.25989994098541</c:v>
                </c:pt>
                <c:pt idx="34">
                  <c:v>411.12591059708024</c:v>
                </c:pt>
                <c:pt idx="35">
                  <c:v>412.71089165995284</c:v>
                </c:pt>
                <c:pt idx="36">
                  <c:v>414.39586559791775</c:v>
                </c:pt>
                <c:pt idx="37">
                  <c:v>416.05168861648514</c:v>
                </c:pt>
                <c:pt idx="38">
                  <c:v>417.43413675830749</c:v>
                </c:pt>
                <c:pt idx="39">
                  <c:v>419.00877152344947</c:v>
                </c:pt>
                <c:pt idx="40">
                  <c:v>420.53878212319671</c:v>
                </c:pt>
                <c:pt idx="41">
                  <c:v>422.07212304519999</c:v>
                </c:pt>
                <c:pt idx="42">
                  <c:v>423.52737410501283</c:v>
                </c:pt>
                <c:pt idx="43">
                  <c:v>424.9031560080233</c:v>
                </c:pt>
                <c:pt idx="44">
                  <c:v>426.10622168189923</c:v>
                </c:pt>
                <c:pt idx="45">
                  <c:v>427.47123299116561</c:v>
                </c:pt>
                <c:pt idx="46">
                  <c:v>428.74038448742658</c:v>
                </c:pt>
                <c:pt idx="47">
                  <c:v>429.75130023149291</c:v>
                </c:pt>
                <c:pt idx="48">
                  <c:v>431.02791281112889</c:v>
                </c:pt>
                <c:pt idx="49">
                  <c:v>433.17856350173065</c:v>
                </c:pt>
                <c:pt idx="50">
                  <c:v>433.46014873000712</c:v>
                </c:pt>
                <c:pt idx="51">
                  <c:v>436.71608011951952</c:v>
                </c:pt>
                <c:pt idx="52">
                  <c:v>435.75911268939859</c:v>
                </c:pt>
                <c:pt idx="53">
                  <c:v>436.63718344368243</c:v>
                </c:pt>
                <c:pt idx="54">
                  <c:v>437.65913442808613</c:v>
                </c:pt>
                <c:pt idx="55">
                  <c:v>438.5033855382797</c:v>
                </c:pt>
                <c:pt idx="56">
                  <c:v>440.40894139960938</c:v>
                </c:pt>
                <c:pt idx="57">
                  <c:v>442.6696770302629</c:v>
                </c:pt>
                <c:pt idx="58">
                  <c:v>445.15966559810715</c:v>
                </c:pt>
                <c:pt idx="59">
                  <c:v>445.8330480788548</c:v>
                </c:pt>
                <c:pt idx="60">
                  <c:v>444.38040908921306</c:v>
                </c:pt>
                <c:pt idx="61">
                  <c:v>446.00115669621482</c:v>
                </c:pt>
                <c:pt idx="62">
                  <c:v>445.3344219735057</c:v>
                </c:pt>
                <c:pt idx="63">
                  <c:v>446.13863927442543</c:v>
                </c:pt>
                <c:pt idx="64">
                  <c:v>447.93544853638133</c:v>
                </c:pt>
                <c:pt idx="65">
                  <c:v>448.12304416139187</c:v>
                </c:pt>
                <c:pt idx="66">
                  <c:v>448.52439235033393</c:v>
                </c:pt>
                <c:pt idx="67">
                  <c:v>449.08425215958368</c:v>
                </c:pt>
                <c:pt idx="68">
                  <c:v>449.68850420286492</c:v>
                </c:pt>
                <c:pt idx="69">
                  <c:v>450.27206236364435</c:v>
                </c:pt>
                <c:pt idx="70">
                  <c:v>452.94292633587332</c:v>
                </c:pt>
                <c:pt idx="71">
                  <c:v>452.73014718451401</c:v>
                </c:pt>
                <c:pt idx="72">
                  <c:v>452.1361007554811</c:v>
                </c:pt>
                <c:pt idx="73">
                  <c:v>454.37034709960983</c:v>
                </c:pt>
                <c:pt idx="74">
                  <c:v>452.77792878039878</c:v>
                </c:pt>
                <c:pt idx="75">
                  <c:v>454.64202902946795</c:v>
                </c:pt>
                <c:pt idx="76">
                  <c:v>453.96777598850929</c:v>
                </c:pt>
                <c:pt idx="77">
                  <c:v>455.2933044109393</c:v>
                </c:pt>
                <c:pt idx="78">
                  <c:v>456.45471519779272</c:v>
                </c:pt>
                <c:pt idx="79">
                  <c:v>456.59419028005453</c:v>
                </c:pt>
                <c:pt idx="80">
                  <c:v>456.69784400276626</c:v>
                </c:pt>
                <c:pt idx="81">
                  <c:v>456.53677628215223</c:v>
                </c:pt>
                <c:pt idx="82">
                  <c:v>457.6785828635746</c:v>
                </c:pt>
                <c:pt idx="83">
                  <c:v>457.52408380635171</c:v>
                </c:pt>
                <c:pt idx="84">
                  <c:v>457.82094267222749</c:v>
                </c:pt>
                <c:pt idx="85">
                  <c:v>457.97143766199991</c:v>
                </c:pt>
                <c:pt idx="86">
                  <c:v>458.31287479215996</c:v>
                </c:pt>
                <c:pt idx="87">
                  <c:v>458.56309174102029</c:v>
                </c:pt>
                <c:pt idx="88">
                  <c:v>458.70659708890264</c:v>
                </c:pt>
                <c:pt idx="89">
                  <c:v>458.42145869890271</c:v>
                </c:pt>
                <c:pt idx="90">
                  <c:v>458.69388908277546</c:v>
                </c:pt>
                <c:pt idx="91">
                  <c:v>458.68139405944311</c:v>
                </c:pt>
                <c:pt idx="92">
                  <c:v>459.74495848233488</c:v>
                </c:pt>
                <c:pt idx="93">
                  <c:v>459.55220099222453</c:v>
                </c:pt>
                <c:pt idx="94">
                  <c:v>459.96579113306308</c:v>
                </c:pt>
                <c:pt idx="95">
                  <c:v>460.18613465873705</c:v>
                </c:pt>
                <c:pt idx="96">
                  <c:v>460.45474641364694</c:v>
                </c:pt>
                <c:pt idx="97">
                  <c:v>460.71726053574582</c:v>
                </c:pt>
                <c:pt idx="98">
                  <c:v>461.13794649499511</c:v>
                </c:pt>
                <c:pt idx="99">
                  <c:v>461.59084966316641</c:v>
                </c:pt>
                <c:pt idx="100">
                  <c:v>461.87026160042387</c:v>
                </c:pt>
                <c:pt idx="101">
                  <c:v>462.51330596058443</c:v>
                </c:pt>
                <c:pt idx="102">
                  <c:v>462.69800917481734</c:v>
                </c:pt>
                <c:pt idx="103">
                  <c:v>463.28346248437623</c:v>
                </c:pt>
                <c:pt idx="104">
                  <c:v>463.92018198777748</c:v>
                </c:pt>
                <c:pt idx="105">
                  <c:v>464.58838210996834</c:v>
                </c:pt>
                <c:pt idx="106">
                  <c:v>465.01980892900923</c:v>
                </c:pt>
                <c:pt idx="107">
                  <c:v>465.74624492674167</c:v>
                </c:pt>
                <c:pt idx="108">
                  <c:v>466.23923276763594</c:v>
                </c:pt>
                <c:pt idx="109">
                  <c:v>466.81237727085085</c:v>
                </c:pt>
                <c:pt idx="110">
                  <c:v>467.59848759186997</c:v>
                </c:pt>
                <c:pt idx="111">
                  <c:v>468.35037543626981</c:v>
                </c:pt>
                <c:pt idx="112">
                  <c:v>468.89579357917239</c:v>
                </c:pt>
                <c:pt idx="113">
                  <c:v>469.56046871920438</c:v>
                </c:pt>
                <c:pt idx="114">
                  <c:v>470.33428435015463</c:v>
                </c:pt>
                <c:pt idx="115">
                  <c:v>471.12793479854423</c:v>
                </c:pt>
                <c:pt idx="116">
                  <c:v>471.7573122006001</c:v>
                </c:pt>
                <c:pt idx="117">
                  <c:v>472.71603655518913</c:v>
                </c:pt>
                <c:pt idx="118">
                  <c:v>473.38036324950434</c:v>
                </c:pt>
                <c:pt idx="119">
                  <c:v>474.23211557845451</c:v>
                </c:pt>
                <c:pt idx="120">
                  <c:v>475.20600081565738</c:v>
                </c:pt>
                <c:pt idx="121">
                  <c:v>476.28016824200796</c:v>
                </c:pt>
                <c:pt idx="122">
                  <c:v>476.94010804585298</c:v>
                </c:pt>
                <c:pt idx="123">
                  <c:v>477.89928764342602</c:v>
                </c:pt>
                <c:pt idx="124">
                  <c:v>478.77452171878844</c:v>
                </c:pt>
                <c:pt idx="125">
                  <c:v>479.73528423118802</c:v>
                </c:pt>
                <c:pt idx="126">
                  <c:v>480.5075224989161</c:v>
                </c:pt>
                <c:pt idx="127">
                  <c:v>481.52821953765914</c:v>
                </c:pt>
                <c:pt idx="128">
                  <c:v>482.14289647554386</c:v>
                </c:pt>
                <c:pt idx="129">
                  <c:v>483.42753289467186</c:v>
                </c:pt>
                <c:pt idx="130">
                  <c:v>484.34805793541568</c:v>
                </c:pt>
                <c:pt idx="131">
                  <c:v>485.28018707093241</c:v>
                </c:pt>
                <c:pt idx="132">
                  <c:v>485.86090522932653</c:v>
                </c:pt>
                <c:pt idx="133">
                  <c:v>486.71423501594205</c:v>
                </c:pt>
                <c:pt idx="134">
                  <c:v>487.47869838134415</c:v>
                </c:pt>
                <c:pt idx="135">
                  <c:v>488.44757897562312</c:v>
                </c:pt>
                <c:pt idx="136">
                  <c:v>489.32720387357728</c:v>
                </c:pt>
                <c:pt idx="137">
                  <c:v>490.13566628417357</c:v>
                </c:pt>
                <c:pt idx="138">
                  <c:v>490.69254165241745</c:v>
                </c:pt>
                <c:pt idx="139">
                  <c:v>491.53783196140296</c:v>
                </c:pt>
                <c:pt idx="140">
                  <c:v>492.48775644053194</c:v>
                </c:pt>
                <c:pt idx="141">
                  <c:v>493.15992356476801</c:v>
                </c:pt>
                <c:pt idx="142">
                  <c:v>494.47356455774292</c:v>
                </c:pt>
                <c:pt idx="143">
                  <c:v>495.36098091866961</c:v>
                </c:pt>
                <c:pt idx="144">
                  <c:v>496.14177999009411</c:v>
                </c:pt>
                <c:pt idx="145">
                  <c:v>496.97154053778542</c:v>
                </c:pt>
                <c:pt idx="146">
                  <c:v>497.46969121374309</c:v>
                </c:pt>
                <c:pt idx="147">
                  <c:v>498.1966101439067</c:v>
                </c:pt>
                <c:pt idx="148">
                  <c:v>499.07518768171383</c:v>
                </c:pt>
                <c:pt idx="149">
                  <c:v>499.62174545204056</c:v>
                </c:pt>
                <c:pt idx="150">
                  <c:v>500.92837501994569</c:v>
                </c:pt>
                <c:pt idx="151">
                  <c:v>501.73126036306212</c:v>
                </c:pt>
                <c:pt idx="152">
                  <c:v>502.51981353925623</c:v>
                </c:pt>
                <c:pt idx="153">
                  <c:v>503.01970832360871</c:v>
                </c:pt>
                <c:pt idx="154">
                  <c:v>503.8438742244623</c:v>
                </c:pt>
                <c:pt idx="155">
                  <c:v>504.91348945920936</c:v>
                </c:pt>
                <c:pt idx="156">
                  <c:v>505.52938825794496</c:v>
                </c:pt>
                <c:pt idx="157">
                  <c:v>506.33477992960422</c:v>
                </c:pt>
                <c:pt idx="158">
                  <c:v>507.08171613407518</c:v>
                </c:pt>
                <c:pt idx="159">
                  <c:v>507.46488090203906</c:v>
                </c:pt>
                <c:pt idx="160">
                  <c:v>508.21605176420258</c:v>
                </c:pt>
                <c:pt idx="161">
                  <c:v>508.96912167976046</c:v>
                </c:pt>
                <c:pt idx="162">
                  <c:v>509.86282023543066</c:v>
                </c:pt>
                <c:pt idx="163">
                  <c:v>510.20263356128754</c:v>
                </c:pt>
                <c:pt idx="164">
                  <c:v>511.01835352235059</c:v>
                </c:pt>
                <c:pt idx="165">
                  <c:v>511.65464088879298</c:v>
                </c:pt>
                <c:pt idx="166">
                  <c:v>511.98901317306326</c:v>
                </c:pt>
                <c:pt idx="167">
                  <c:v>512.91629226543864</c:v>
                </c:pt>
                <c:pt idx="168">
                  <c:v>513.76200744472214</c:v>
                </c:pt>
                <c:pt idx="169">
                  <c:v>514.59427905436462</c:v>
                </c:pt>
                <c:pt idx="170">
                  <c:v>515.08129069839333</c:v>
                </c:pt>
                <c:pt idx="171">
                  <c:v>516.00324424760868</c:v>
                </c:pt>
                <c:pt idx="172">
                  <c:v>516.64797610041342</c:v>
                </c:pt>
                <c:pt idx="173">
                  <c:v>517.54466663601329</c:v>
                </c:pt>
                <c:pt idx="174">
                  <c:v>518.52838052160939</c:v>
                </c:pt>
                <c:pt idx="175">
                  <c:v>519.4750717326134</c:v>
                </c:pt>
                <c:pt idx="176">
                  <c:v>520.06883707700092</c:v>
                </c:pt>
                <c:pt idx="177">
                  <c:v>521.189176511352</c:v>
                </c:pt>
                <c:pt idx="178">
                  <c:v>522.36077630049783</c:v>
                </c:pt>
                <c:pt idx="179">
                  <c:v>523.57061844972736</c:v>
                </c:pt>
                <c:pt idx="180">
                  <c:v>524.47477015488846</c:v>
                </c:pt>
                <c:pt idx="181">
                  <c:v>525.75709775812038</c:v>
                </c:pt>
                <c:pt idx="182">
                  <c:v>526.52359495692588</c:v>
                </c:pt>
                <c:pt idx="183">
                  <c:v>527.71873070201491</c:v>
                </c:pt>
                <c:pt idx="184">
                  <c:v>529.06710737263541</c:v>
                </c:pt>
                <c:pt idx="185">
                  <c:v>530.70034809232573</c:v>
                </c:pt>
                <c:pt idx="186">
                  <c:v>531.75861655395431</c:v>
                </c:pt>
                <c:pt idx="187">
                  <c:v>533.08294760766637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F-4467-9A73-9F487C3B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44735"/>
        <c:axId val="1544342831"/>
      </c:lineChart>
      <c:catAx>
        <c:axId val="155664473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42831"/>
        <c:crosses val="autoZero"/>
        <c:auto val="1"/>
        <c:lblAlgn val="ctr"/>
        <c:lblOffset val="100"/>
        <c:tickMarkSkip val="50"/>
        <c:noMultiLvlLbl val="0"/>
      </c:catAx>
      <c:valAx>
        <c:axId val="1544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664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18</xdr:row>
      <xdr:rowOff>0</xdr:rowOff>
    </xdr:from>
    <xdr:to>
      <xdr:col>27</xdr:col>
      <xdr:colOff>271639</xdr:colOff>
      <xdr:row>44</xdr:row>
      <xdr:rowOff>124984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A00C4B8-C8C2-428E-88EA-5443A70B71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384528</xdr:colOff>
      <xdr:row>47</xdr:row>
      <xdr:rowOff>101802</xdr:rowOff>
    </xdr:from>
    <xdr:to>
      <xdr:col>34</xdr:col>
      <xdr:colOff>48381</xdr:colOff>
      <xdr:row>74</xdr:row>
      <xdr:rowOff>45358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F6D445B-A84E-4834-9CBC-EE59636FF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0.95454</cdr:x>
      <cdr:y>0.91475</cdr:y>
    </cdr:from>
    <cdr:to>
      <cdr:x>0.99197</cdr:x>
      <cdr:y>0.97691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003525C-DAD1-4942-9EDA-E7B1C13239C4}"/>
            </a:ext>
          </a:extLst>
        </cdr:cNvPr>
        <cdr:cNvSpPr txBox="1"/>
      </cdr:nvSpPr>
      <cdr:spPr>
        <a:xfrm xmlns:a="http://schemas.openxmlformats.org/drawingml/2006/main">
          <a:off x="5493657" y="4213578"/>
          <a:ext cx="215473" cy="286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2000" b="1">
              <a:latin typeface="Times New Roman" panose="02020603050405020304" pitchFamily="18" charset="0"/>
              <a:cs typeface="Times New Roman" panose="02020603050405020304" pitchFamily="18" charset="0"/>
            </a:rPr>
            <a:t>ε</a:t>
          </a:r>
          <a:endParaRPr lang="ru-RU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0.00885</cdr:x>
      <cdr:y>0.01049</cdr:y>
    </cdr:from>
    <cdr:to>
      <cdr:x>0.22762</cdr:x>
      <cdr:y>0.11034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1D31574-C425-4C29-B831-E705AB62EF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56138" cy="4834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σ</a:t>
          </a:r>
          <a:r>
            <a:rPr lang="en-US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i, </a:t>
          </a:r>
          <a:r>
            <a:rPr lang="ru-RU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МПа</a:t>
          </a:r>
          <a:endParaRPr lang="ru-RU" sz="1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endParaRPr lang="ru-R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0.95454</cdr:x>
      <cdr:y>0.91475</cdr:y>
    </cdr:from>
    <cdr:to>
      <cdr:x>0.99197</cdr:x>
      <cdr:y>0.97691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003525C-DAD1-4942-9EDA-E7B1C13239C4}"/>
            </a:ext>
          </a:extLst>
        </cdr:cNvPr>
        <cdr:cNvSpPr txBox="1"/>
      </cdr:nvSpPr>
      <cdr:spPr>
        <a:xfrm xmlns:a="http://schemas.openxmlformats.org/drawingml/2006/main">
          <a:off x="5493657" y="4213578"/>
          <a:ext cx="215473" cy="286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endParaRPr lang="ru-RU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0.00885</cdr:x>
      <cdr:y>0.01049</cdr:y>
    </cdr:from>
    <cdr:to>
      <cdr:x>0.22762</cdr:x>
      <cdr:y>0.11034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1D31574-C425-4C29-B831-E705AB62EFD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56138" cy="4834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σ</a:t>
          </a:r>
          <a:r>
            <a:rPr lang="en-US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i, </a:t>
          </a:r>
          <a:r>
            <a:rPr lang="ru-RU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МПа</a:t>
          </a:r>
          <a:endParaRPr lang="ru-RU" sz="1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endParaRPr lang="ru-R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zoomScale="70" zoomScaleNormal="70" workbookViewId="0">
      <selection activeCell="Q22" sqref="Q22"/>
    </sheetView>
  </sheetViews>
  <sheetFormatPr defaultRowHeight="14.5" x14ac:dyDescent="0.35"/>
  <sheetData>
    <row r="1" spans="1:15" x14ac:dyDescent="0.35">
      <c r="A1" t="s">
        <v>0</v>
      </c>
      <c r="B1" t="s">
        <v>1</v>
      </c>
    </row>
    <row r="2" spans="1:15" x14ac:dyDescent="0.35">
      <c r="A2" t="s">
        <v>2</v>
      </c>
      <c r="B2" t="s">
        <v>3</v>
      </c>
      <c r="C2">
        <v>1</v>
      </c>
    </row>
    <row r="3" spans="1:15" x14ac:dyDescent="0.35">
      <c r="A3" t="s">
        <v>4</v>
      </c>
      <c r="B3" t="s">
        <v>5</v>
      </c>
      <c r="C3" s="1">
        <v>0.65754629629629624</v>
      </c>
    </row>
    <row r="4" spans="1:15" x14ac:dyDescent="0.35">
      <c r="A4" t="s">
        <v>6</v>
      </c>
      <c r="B4">
        <v>30</v>
      </c>
    </row>
    <row r="5" spans="1:15" x14ac:dyDescent="0.35">
      <c r="A5" t="s">
        <v>7</v>
      </c>
      <c r="B5" t="s">
        <v>8</v>
      </c>
      <c r="C5">
        <v>0</v>
      </c>
    </row>
    <row r="6" spans="1:15" x14ac:dyDescent="0.35">
      <c r="A6" t="s">
        <v>9</v>
      </c>
    </row>
    <row r="7" spans="1:15" x14ac:dyDescent="0.3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 spans="1:15" x14ac:dyDescent="0.35">
      <c r="A8">
        <v>9.1999999999999993</v>
      </c>
      <c r="D8">
        <v>14.9</v>
      </c>
      <c r="E8">
        <v>10</v>
      </c>
      <c r="F8">
        <v>14.9</v>
      </c>
    </row>
    <row r="9" spans="1:15" x14ac:dyDescent="0.35">
      <c r="A9" t="s">
        <v>16</v>
      </c>
    </row>
    <row r="10" spans="1:15" x14ac:dyDescent="0.35">
      <c r="G10" t="s">
        <v>21</v>
      </c>
      <c r="H10" t="s">
        <v>22</v>
      </c>
      <c r="I10" t="s">
        <v>23</v>
      </c>
      <c r="J10" t="s">
        <v>24</v>
      </c>
    </row>
    <row r="11" spans="1:15" x14ac:dyDescent="0.35">
      <c r="A11" t="s">
        <v>17</v>
      </c>
      <c r="B11">
        <v>188</v>
      </c>
      <c r="G11">
        <v>14.9</v>
      </c>
      <c r="H11">
        <v>9.1999999999999993</v>
      </c>
      <c r="I11">
        <f>I14</f>
        <v>989.99175999999989</v>
      </c>
      <c r="J11">
        <v>4.46</v>
      </c>
    </row>
    <row r="13" spans="1:15" x14ac:dyDescent="0.35">
      <c r="A13" t="s">
        <v>18</v>
      </c>
      <c r="B13" t="s">
        <v>19</v>
      </c>
      <c r="C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</row>
    <row r="14" spans="1:15" x14ac:dyDescent="0.35">
      <c r="A14">
        <v>0</v>
      </c>
      <c r="B14">
        <v>0</v>
      </c>
      <c r="C14" s="2">
        <v>103</v>
      </c>
      <c r="G14">
        <f>$G$11</f>
        <v>14.9</v>
      </c>
      <c r="H14">
        <f>$H$11</f>
        <v>9.1999999999999993</v>
      </c>
      <c r="I14">
        <f>(3.14*POWER(H14,2)*0.25*G14)</f>
        <v>989.99175999999989</v>
      </c>
      <c r="J14">
        <f>0</f>
        <v>0</v>
      </c>
      <c r="K14">
        <f>G14-J14</f>
        <v>14.9</v>
      </c>
      <c r="L14">
        <f>I14/K14</f>
        <v>66.442399999999992</v>
      </c>
      <c r="M14">
        <f>C14/L14</f>
        <v>1.5502149230009754</v>
      </c>
      <c r="N14">
        <f>J14/G14</f>
        <v>0</v>
      </c>
      <c r="O14">
        <f>LN(L14/(3.14*H14^2/4))</f>
        <v>0</v>
      </c>
    </row>
    <row r="15" spans="1:15" x14ac:dyDescent="0.35">
      <c r="A15">
        <v>0.1</v>
      </c>
      <c r="B15">
        <v>0.24299999999999999</v>
      </c>
      <c r="C15" s="2">
        <v>712</v>
      </c>
      <c r="G15">
        <f>$G$11</f>
        <v>14.9</v>
      </c>
      <c r="H15">
        <f t="shared" ref="H15:H78" si="0">$H$11</f>
        <v>9.1999999999999993</v>
      </c>
      <c r="I15">
        <f t="shared" ref="I15:I78" si="1">(3.14*POWER(H15,2)*0.25*G15)</f>
        <v>989.99175999999989</v>
      </c>
      <c r="J15">
        <f>B15-C15/(2*10^5/1.8467)</f>
        <v>0.23642574799999999</v>
      </c>
      <c r="K15">
        <f t="shared" ref="K15:K78" si="2">G15-J15</f>
        <v>14.663574252</v>
      </c>
      <c r="L15">
        <f t="shared" ref="L15:L78" si="3">I15/K15</f>
        <v>67.513673200445822</v>
      </c>
      <c r="M15">
        <f t="shared" ref="M15:M78" si="4">C15/L15</f>
        <v>10.5460118854161</v>
      </c>
      <c r="N15">
        <f t="shared" ref="N15:N78" si="5">J15/G15</f>
        <v>1.5867499865771812E-2</v>
      </c>
      <c r="O15">
        <f t="shared" ref="O15:O78" si="6">LN(L15/(3.14*H15^2/4))</f>
        <v>1.5994736387046092E-2</v>
      </c>
    </row>
    <row r="16" spans="1:15" x14ac:dyDescent="0.35">
      <c r="A16">
        <v>0.2</v>
      </c>
      <c r="B16">
        <v>0.36020000000000002</v>
      </c>
      <c r="C16" s="2">
        <v>1096</v>
      </c>
      <c r="G16">
        <f t="shared" ref="G16:G79" si="7">$G$11</f>
        <v>14.9</v>
      </c>
      <c r="H16">
        <f t="shared" si="0"/>
        <v>9.1999999999999993</v>
      </c>
      <c r="I16">
        <f t="shared" si="1"/>
        <v>989.99175999999989</v>
      </c>
      <c r="J16">
        <f t="shared" ref="J16:J79" si="8">B16-C16/(2*10^5/1.8467)</f>
        <v>0.35008008400000001</v>
      </c>
      <c r="K16">
        <f t="shared" si="2"/>
        <v>14.549919916</v>
      </c>
      <c r="L16">
        <f t="shared" si="3"/>
        <v>68.041045292032379</v>
      </c>
      <c r="M16">
        <f t="shared" si="4"/>
        <v>16.107924199223639</v>
      </c>
      <c r="N16">
        <f t="shared" si="5"/>
        <v>2.349530765100671E-2</v>
      </c>
      <c r="O16">
        <f t="shared" si="6"/>
        <v>2.3775723404042284E-2</v>
      </c>
    </row>
    <row r="17" spans="1:15" x14ac:dyDescent="0.35">
      <c r="A17">
        <v>0.3</v>
      </c>
      <c r="B17">
        <v>0.53979999999999995</v>
      </c>
      <c r="C17" s="2">
        <v>1475</v>
      </c>
      <c r="G17">
        <f t="shared" si="7"/>
        <v>14.9</v>
      </c>
      <c r="H17">
        <f t="shared" si="0"/>
        <v>9.1999999999999993</v>
      </c>
      <c r="I17">
        <f t="shared" si="1"/>
        <v>989.99175999999989</v>
      </c>
      <c r="J17">
        <f t="shared" si="8"/>
        <v>0.52618058749999996</v>
      </c>
      <c r="K17">
        <f t="shared" si="2"/>
        <v>14.3738194125</v>
      </c>
      <c r="L17">
        <f t="shared" si="3"/>
        <v>68.874648525155862</v>
      </c>
      <c r="M17">
        <f t="shared" si="4"/>
        <v>21.415717271664466</v>
      </c>
      <c r="N17">
        <f t="shared" si="5"/>
        <v>3.5314133389261738E-2</v>
      </c>
      <c r="O17">
        <f t="shared" si="6"/>
        <v>3.5952757466760764E-2</v>
      </c>
    </row>
    <row r="18" spans="1:15" x14ac:dyDescent="0.35">
      <c r="A18">
        <v>0.4</v>
      </c>
      <c r="B18">
        <v>0.60050000000000003</v>
      </c>
      <c r="C18" s="2">
        <v>1611</v>
      </c>
      <c r="G18">
        <f t="shared" si="7"/>
        <v>14.9</v>
      </c>
      <c r="H18">
        <f t="shared" si="0"/>
        <v>9.1999999999999993</v>
      </c>
      <c r="I18">
        <f t="shared" si="1"/>
        <v>989.99175999999989</v>
      </c>
      <c r="J18">
        <f t="shared" si="8"/>
        <v>0.5856248315</v>
      </c>
      <c r="K18">
        <f t="shared" si="2"/>
        <v>14.3143751685</v>
      </c>
      <c r="L18">
        <f t="shared" si="3"/>
        <v>69.160668792484984</v>
      </c>
      <c r="M18">
        <f t="shared" si="4"/>
        <v>23.293586197579565</v>
      </c>
      <c r="N18">
        <f t="shared" si="5"/>
        <v>3.9303679966442955E-2</v>
      </c>
      <c r="O18">
        <f t="shared" si="6"/>
        <v>4.0096924079082032E-2</v>
      </c>
    </row>
    <row r="19" spans="1:15" x14ac:dyDescent="0.35">
      <c r="A19">
        <v>0.5</v>
      </c>
      <c r="B19">
        <v>0.6613</v>
      </c>
      <c r="C19" s="2">
        <v>2046</v>
      </c>
      <c r="G19">
        <f t="shared" si="7"/>
        <v>14.9</v>
      </c>
      <c r="H19">
        <f t="shared" si="0"/>
        <v>9.1999999999999993</v>
      </c>
      <c r="I19">
        <f t="shared" si="1"/>
        <v>989.99175999999989</v>
      </c>
      <c r="J19">
        <f t="shared" si="8"/>
        <v>0.64240825899999998</v>
      </c>
      <c r="K19">
        <f t="shared" si="2"/>
        <v>14.257591741000001</v>
      </c>
      <c r="L19">
        <f t="shared" si="3"/>
        <v>69.436113614694065</v>
      </c>
      <c r="M19">
        <f t="shared" si="4"/>
        <v>29.46593484988805</v>
      </c>
      <c r="N19">
        <f t="shared" si="5"/>
        <v>4.3114648255033555E-2</v>
      </c>
      <c r="O19">
        <f t="shared" si="6"/>
        <v>4.4071694345266241E-2</v>
      </c>
    </row>
    <row r="20" spans="1:15" x14ac:dyDescent="0.35">
      <c r="A20">
        <v>0.6</v>
      </c>
      <c r="B20">
        <v>0.72240000000000004</v>
      </c>
      <c r="C20" s="2">
        <v>2344</v>
      </c>
      <c r="G20">
        <f t="shared" si="7"/>
        <v>14.9</v>
      </c>
      <c r="H20">
        <f t="shared" si="0"/>
        <v>9.1999999999999993</v>
      </c>
      <c r="I20">
        <f t="shared" si="1"/>
        <v>989.99175999999989</v>
      </c>
      <c r="J20">
        <f t="shared" si="8"/>
        <v>0.70075667600000002</v>
      </c>
      <c r="K20">
        <f t="shared" si="2"/>
        <v>14.199243324000001</v>
      </c>
      <c r="L20">
        <f t="shared" si="3"/>
        <v>69.721444827041253</v>
      </c>
      <c r="M20">
        <f t="shared" si="4"/>
        <v>33.619498359719685</v>
      </c>
      <c r="N20">
        <f t="shared" si="5"/>
        <v>4.7030649395973158E-2</v>
      </c>
      <c r="O20">
        <f t="shared" si="6"/>
        <v>4.8172536806256702E-2</v>
      </c>
    </row>
    <row r="21" spans="1:15" x14ac:dyDescent="0.35">
      <c r="A21">
        <v>0.7</v>
      </c>
      <c r="B21">
        <v>0.90410000000000001</v>
      </c>
      <c r="C21" s="2">
        <v>3633</v>
      </c>
      <c r="G21">
        <f t="shared" si="7"/>
        <v>14.9</v>
      </c>
      <c r="H21">
        <f t="shared" si="0"/>
        <v>9.1999999999999993</v>
      </c>
      <c r="I21">
        <f t="shared" si="1"/>
        <v>989.99175999999989</v>
      </c>
      <c r="J21">
        <f t="shared" si="8"/>
        <v>0.8705546945</v>
      </c>
      <c r="K21">
        <f t="shared" si="2"/>
        <v>14.029445305500001</v>
      </c>
      <c r="L21">
        <f t="shared" si="3"/>
        <v>70.565281694486572</v>
      </c>
      <c r="M21">
        <f t="shared" si="4"/>
        <v>51.484241439425226</v>
      </c>
      <c r="N21">
        <f t="shared" si="5"/>
        <v>5.8426489563758385E-2</v>
      </c>
      <c r="O21">
        <f t="shared" si="6"/>
        <v>6.0202855933663597E-2</v>
      </c>
    </row>
    <row r="22" spans="1:15" x14ac:dyDescent="0.35">
      <c r="A22">
        <v>0.8</v>
      </c>
      <c r="B22">
        <v>0.9647</v>
      </c>
      <c r="C22" s="2">
        <v>4698</v>
      </c>
      <c r="G22">
        <f t="shared" si="7"/>
        <v>14.9</v>
      </c>
      <c r="H22">
        <f t="shared" si="0"/>
        <v>9.1999999999999993</v>
      </c>
      <c r="I22">
        <f t="shared" si="1"/>
        <v>989.99175999999989</v>
      </c>
      <c r="J22">
        <f t="shared" si="8"/>
        <v>0.92132101700000002</v>
      </c>
      <c r="K22">
        <f t="shared" si="2"/>
        <v>13.978678983</v>
      </c>
      <c r="L22">
        <f t="shared" si="3"/>
        <v>70.821553395994442</v>
      </c>
      <c r="M22">
        <f t="shared" si="4"/>
        <v>66.335737847084715</v>
      </c>
      <c r="N22">
        <f t="shared" si="5"/>
        <v>6.1833625302013424E-2</v>
      </c>
      <c r="O22">
        <f t="shared" si="6"/>
        <v>6.3827973958166265E-2</v>
      </c>
    </row>
    <row r="23" spans="1:15" x14ac:dyDescent="0.35">
      <c r="A23">
        <v>0.9</v>
      </c>
      <c r="B23">
        <v>1.0838000000000001</v>
      </c>
      <c r="C23" s="2">
        <v>7550</v>
      </c>
      <c r="G23">
        <f t="shared" si="7"/>
        <v>14.9</v>
      </c>
      <c r="H23">
        <f t="shared" si="0"/>
        <v>9.1999999999999993</v>
      </c>
      <c r="I23">
        <f t="shared" si="1"/>
        <v>989.99175999999989</v>
      </c>
      <c r="J23">
        <f t="shared" si="8"/>
        <v>1.0140870750000002</v>
      </c>
      <c r="K23">
        <f t="shared" si="2"/>
        <v>13.885912925</v>
      </c>
      <c r="L23">
        <f t="shared" si="3"/>
        <v>71.29468298894723</v>
      </c>
      <c r="M23">
        <f t="shared" si="4"/>
        <v>105.89850018928441</v>
      </c>
      <c r="N23">
        <f t="shared" si="5"/>
        <v>6.805953523489934E-2</v>
      </c>
      <c r="O23">
        <f t="shared" si="6"/>
        <v>7.0486345344299317E-2</v>
      </c>
    </row>
    <row r="24" spans="1:15" x14ac:dyDescent="0.35">
      <c r="A24">
        <v>1</v>
      </c>
      <c r="B24">
        <v>1.2601</v>
      </c>
      <c r="C24" s="2">
        <v>14476</v>
      </c>
      <c r="G24">
        <f t="shared" si="7"/>
        <v>14.9</v>
      </c>
      <c r="H24">
        <f t="shared" si="0"/>
        <v>9.1999999999999993</v>
      </c>
      <c r="I24">
        <f t="shared" si="1"/>
        <v>989.99175999999989</v>
      </c>
      <c r="J24">
        <f t="shared" si="8"/>
        <v>1.1264358539999999</v>
      </c>
      <c r="K24">
        <f t="shared" si="2"/>
        <v>13.773564146</v>
      </c>
      <c r="L24">
        <f t="shared" si="3"/>
        <v>71.876222414624962</v>
      </c>
      <c r="M24">
        <f t="shared" si="4"/>
        <v>201.40179204875</v>
      </c>
      <c r="N24">
        <f t="shared" si="5"/>
        <v>7.559972174496643E-2</v>
      </c>
      <c r="O24">
        <f t="shared" si="6"/>
        <v>7.8610099570453562E-2</v>
      </c>
    </row>
    <row r="25" spans="1:15" x14ac:dyDescent="0.35">
      <c r="A25">
        <v>1.1000000000000001</v>
      </c>
      <c r="B25">
        <v>1.3227</v>
      </c>
      <c r="C25" s="2">
        <v>17768</v>
      </c>
      <c r="G25">
        <f t="shared" si="7"/>
        <v>14.9</v>
      </c>
      <c r="H25">
        <f t="shared" si="0"/>
        <v>9.1999999999999993</v>
      </c>
      <c r="I25">
        <f t="shared" si="1"/>
        <v>989.99175999999989</v>
      </c>
      <c r="J25">
        <f t="shared" si="8"/>
        <v>1.158639172</v>
      </c>
      <c r="K25">
        <f t="shared" si="2"/>
        <v>13.741360828000001</v>
      </c>
      <c r="L25">
        <f t="shared" si="3"/>
        <v>72.044666637582878</v>
      </c>
      <c r="M25">
        <f t="shared" si="4"/>
        <v>246.62477917180243</v>
      </c>
      <c r="N25">
        <f t="shared" si="5"/>
        <v>7.7761018255033551E-2</v>
      </c>
      <c r="O25">
        <f t="shared" si="6"/>
        <v>8.0950889722324101E-2</v>
      </c>
    </row>
    <row r="26" spans="1:15" x14ac:dyDescent="0.35">
      <c r="A26">
        <v>1.2</v>
      </c>
      <c r="B26">
        <v>1.3819999999999999</v>
      </c>
      <c r="C26" s="2">
        <v>18258</v>
      </c>
      <c r="G26">
        <f t="shared" si="7"/>
        <v>14.9</v>
      </c>
      <c r="H26">
        <f t="shared" si="0"/>
        <v>9.1999999999999993</v>
      </c>
      <c r="I26">
        <f t="shared" si="1"/>
        <v>989.99175999999989</v>
      </c>
      <c r="J26">
        <f t="shared" si="8"/>
        <v>1.2134147569999998</v>
      </c>
      <c r="K26">
        <f t="shared" si="2"/>
        <v>13.686585243</v>
      </c>
      <c r="L26">
        <f t="shared" si="3"/>
        <v>72.332999241452939</v>
      </c>
      <c r="M26">
        <f t="shared" si="4"/>
        <v>252.41591239779007</v>
      </c>
      <c r="N26">
        <f t="shared" si="5"/>
        <v>8.1437232013422803E-2</v>
      </c>
      <c r="O26">
        <f t="shared" si="6"/>
        <v>8.4945039169666198E-2</v>
      </c>
    </row>
    <row r="27" spans="1:15" x14ac:dyDescent="0.35">
      <c r="A27">
        <v>1.3</v>
      </c>
      <c r="B27">
        <v>1.4427000000000001</v>
      </c>
      <c r="C27" s="2">
        <v>19179</v>
      </c>
      <c r="G27">
        <f t="shared" si="7"/>
        <v>14.9</v>
      </c>
      <c r="H27">
        <f t="shared" si="0"/>
        <v>9.1999999999999993</v>
      </c>
      <c r="I27">
        <f t="shared" si="1"/>
        <v>989.99175999999989</v>
      </c>
      <c r="J27">
        <f t="shared" si="8"/>
        <v>1.2656107035000002</v>
      </c>
      <c r="K27">
        <f t="shared" si="2"/>
        <v>13.6343892965</v>
      </c>
      <c r="L27">
        <f t="shared" si="3"/>
        <v>72.609908553376471</v>
      </c>
      <c r="M27">
        <f t="shared" si="4"/>
        <v>264.13750384909616</v>
      </c>
      <c r="N27">
        <f t="shared" si="5"/>
        <v>8.4940315671140951E-2</v>
      </c>
      <c r="O27">
        <f t="shared" si="6"/>
        <v>8.8765987059210447E-2</v>
      </c>
    </row>
    <row r="28" spans="1:15" x14ac:dyDescent="0.35">
      <c r="A28">
        <v>1.4</v>
      </c>
      <c r="B28">
        <v>1.5038</v>
      </c>
      <c r="C28" s="2">
        <v>20041</v>
      </c>
      <c r="G28">
        <f t="shared" si="7"/>
        <v>14.9</v>
      </c>
      <c r="H28">
        <f t="shared" si="0"/>
        <v>9.1999999999999993</v>
      </c>
      <c r="I28">
        <f t="shared" si="1"/>
        <v>989.99175999999989</v>
      </c>
      <c r="J28">
        <f t="shared" si="8"/>
        <v>1.3187514265</v>
      </c>
      <c r="K28">
        <f t="shared" si="2"/>
        <v>13.5812485735</v>
      </c>
      <c r="L28">
        <f t="shared" si="3"/>
        <v>72.894016676175951</v>
      </c>
      <c r="M28">
        <f t="shared" si="4"/>
        <v>274.933402134088</v>
      </c>
      <c r="N28">
        <f t="shared" si="5"/>
        <v>8.8506807147651009E-2</v>
      </c>
      <c r="O28">
        <f t="shared" si="6"/>
        <v>9.267115296333063E-2</v>
      </c>
    </row>
    <row r="29" spans="1:15" x14ac:dyDescent="0.35">
      <c r="A29">
        <v>1.5</v>
      </c>
      <c r="B29">
        <v>1.5648</v>
      </c>
      <c r="C29" s="2">
        <v>21054</v>
      </c>
      <c r="G29">
        <f t="shared" si="7"/>
        <v>14.9</v>
      </c>
      <c r="H29">
        <f t="shared" si="0"/>
        <v>9.1999999999999993</v>
      </c>
      <c r="I29">
        <f t="shared" si="1"/>
        <v>989.99175999999989</v>
      </c>
      <c r="J29">
        <f t="shared" si="8"/>
        <v>1.3703978910000001</v>
      </c>
      <c r="K29">
        <f t="shared" si="2"/>
        <v>13.529602109000001</v>
      </c>
      <c r="L29">
        <f t="shared" si="3"/>
        <v>73.172274544677805</v>
      </c>
      <c r="M29">
        <f t="shared" si="4"/>
        <v>287.73193304445891</v>
      </c>
      <c r="N29">
        <f t="shared" si="5"/>
        <v>9.1973012818791944E-2</v>
      </c>
      <c r="O29">
        <f t="shared" si="6"/>
        <v>9.6481179257313518E-2</v>
      </c>
    </row>
    <row r="30" spans="1:15" x14ac:dyDescent="0.35">
      <c r="A30">
        <v>1.6</v>
      </c>
      <c r="B30">
        <v>1.6857</v>
      </c>
      <c r="C30" s="2">
        <v>22736</v>
      </c>
      <c r="G30">
        <f t="shared" si="7"/>
        <v>14.9</v>
      </c>
      <c r="H30">
        <f t="shared" si="0"/>
        <v>9.1999999999999993</v>
      </c>
      <c r="I30">
        <f t="shared" si="1"/>
        <v>989.99175999999989</v>
      </c>
      <c r="J30">
        <f t="shared" si="8"/>
        <v>1.475767144</v>
      </c>
      <c r="K30">
        <f t="shared" si="2"/>
        <v>13.424232856</v>
      </c>
      <c r="L30">
        <f t="shared" si="3"/>
        <v>73.74661707819827</v>
      </c>
      <c r="M30">
        <f t="shared" si="4"/>
        <v>308.29888747156446</v>
      </c>
      <c r="N30">
        <f t="shared" si="5"/>
        <v>9.9044774765100665E-2</v>
      </c>
      <c r="O30">
        <f t="shared" si="6"/>
        <v>0.10429971713147715</v>
      </c>
    </row>
    <row r="31" spans="1:15" x14ac:dyDescent="0.35">
      <c r="A31">
        <v>1.7</v>
      </c>
      <c r="B31">
        <v>1.7472000000000001</v>
      </c>
      <c r="C31" s="2">
        <v>23835</v>
      </c>
      <c r="G31">
        <f t="shared" si="7"/>
        <v>14.9</v>
      </c>
      <c r="H31">
        <f t="shared" si="0"/>
        <v>9.1999999999999993</v>
      </c>
      <c r="I31">
        <f t="shared" si="1"/>
        <v>989.99175999999989</v>
      </c>
      <c r="J31">
        <f t="shared" si="8"/>
        <v>1.5271195275</v>
      </c>
      <c r="K31">
        <f t="shared" si="2"/>
        <v>13.3728804725</v>
      </c>
      <c r="L31">
        <f t="shared" si="3"/>
        <v>74.02980696909836</v>
      </c>
      <c r="M31">
        <f t="shared" si="4"/>
        <v>321.96490813422281</v>
      </c>
      <c r="N31">
        <f t="shared" si="5"/>
        <v>0.10249124345637584</v>
      </c>
      <c r="O31">
        <f t="shared" si="6"/>
        <v>0.10813240207273095</v>
      </c>
    </row>
    <row r="32" spans="1:15" x14ac:dyDescent="0.35">
      <c r="A32">
        <v>1.8</v>
      </c>
      <c r="B32">
        <v>1.87</v>
      </c>
      <c r="C32" s="2">
        <v>26193</v>
      </c>
      <c r="G32">
        <f t="shared" si="7"/>
        <v>14.9</v>
      </c>
      <c r="H32">
        <f t="shared" si="0"/>
        <v>9.1999999999999993</v>
      </c>
      <c r="I32">
        <f t="shared" si="1"/>
        <v>989.99175999999989</v>
      </c>
      <c r="J32">
        <f t="shared" si="8"/>
        <v>1.6281469345000001</v>
      </c>
      <c r="K32">
        <f t="shared" si="2"/>
        <v>13.2718530655</v>
      </c>
      <c r="L32">
        <f t="shared" si="3"/>
        <v>74.593333358509668</v>
      </c>
      <c r="M32">
        <f t="shared" si="4"/>
        <v>351.14398057680955</v>
      </c>
      <c r="N32">
        <f t="shared" si="5"/>
        <v>0.10927160634228189</v>
      </c>
      <c r="O32">
        <f t="shared" si="6"/>
        <v>0.1157157311387194</v>
      </c>
    </row>
    <row r="33" spans="1:15" x14ac:dyDescent="0.35">
      <c r="A33">
        <v>1.9</v>
      </c>
      <c r="B33">
        <v>1.9308000000000001</v>
      </c>
      <c r="C33" s="2">
        <v>27206</v>
      </c>
      <c r="G33">
        <f t="shared" si="7"/>
        <v>14.9</v>
      </c>
      <c r="H33">
        <f t="shared" si="0"/>
        <v>9.1999999999999993</v>
      </c>
      <c r="I33">
        <f t="shared" si="1"/>
        <v>989.99175999999989</v>
      </c>
      <c r="J33">
        <f t="shared" si="8"/>
        <v>1.679593399</v>
      </c>
      <c r="K33">
        <f t="shared" si="2"/>
        <v>13.220406601000001</v>
      </c>
      <c r="L33">
        <f t="shared" si="3"/>
        <v>74.883609096040686</v>
      </c>
      <c r="M33">
        <f t="shared" si="4"/>
        <v>363.31048046986371</v>
      </c>
      <c r="N33">
        <f t="shared" si="5"/>
        <v>0.11272438919463088</v>
      </c>
      <c r="O33">
        <f t="shared" si="6"/>
        <v>0.11959962249554995</v>
      </c>
    </row>
    <row r="34" spans="1:15" x14ac:dyDescent="0.35">
      <c r="A34">
        <v>2</v>
      </c>
      <c r="B34">
        <v>1.992</v>
      </c>
      <c r="C34" s="2">
        <v>28140</v>
      </c>
      <c r="G34">
        <f t="shared" si="7"/>
        <v>14.9</v>
      </c>
      <c r="H34">
        <f t="shared" si="0"/>
        <v>9.1999999999999993</v>
      </c>
      <c r="I34">
        <f t="shared" si="1"/>
        <v>989.99175999999989</v>
      </c>
      <c r="J34">
        <f t="shared" si="8"/>
        <v>1.73216931</v>
      </c>
      <c r="K34">
        <f t="shared" si="2"/>
        <v>13.167830690000001</v>
      </c>
      <c r="L34">
        <f t="shared" si="3"/>
        <v>75.182600939107289</v>
      </c>
      <c r="M34">
        <f t="shared" si="4"/>
        <v>374.2887270259705</v>
      </c>
      <c r="N34">
        <f t="shared" si="5"/>
        <v>0.11625297382550336</v>
      </c>
      <c r="O34">
        <f t="shared" si="6"/>
        <v>0.12358442678465779</v>
      </c>
    </row>
    <row r="35" spans="1:15" x14ac:dyDescent="0.35">
      <c r="A35">
        <v>2.1</v>
      </c>
      <c r="B35">
        <v>2.0531999999999999</v>
      </c>
      <c r="C35" s="2">
        <v>28804</v>
      </c>
      <c r="G35">
        <f t="shared" si="7"/>
        <v>14.9</v>
      </c>
      <c r="H35">
        <f t="shared" si="0"/>
        <v>9.1999999999999993</v>
      </c>
      <c r="I35">
        <f t="shared" si="1"/>
        <v>989.99175999999989</v>
      </c>
      <c r="J35">
        <f t="shared" si="8"/>
        <v>1.7872382659999999</v>
      </c>
      <c r="K35">
        <f t="shared" si="2"/>
        <v>13.112761734000001</v>
      </c>
      <c r="L35">
        <f t="shared" si="3"/>
        <v>75.498341240583684</v>
      </c>
      <c r="M35">
        <f t="shared" si="4"/>
        <v>381.51831585561484</v>
      </c>
      <c r="N35">
        <f t="shared" si="5"/>
        <v>0.11994887691275168</v>
      </c>
      <c r="O35">
        <f t="shared" si="6"/>
        <v>0.12777527877997252</v>
      </c>
    </row>
    <row r="36" spans="1:15" x14ac:dyDescent="0.35">
      <c r="A36">
        <v>2.2000000000000002</v>
      </c>
      <c r="B36">
        <v>2.1139999999999999</v>
      </c>
      <c r="C36" s="2">
        <v>29324</v>
      </c>
      <c r="G36">
        <f t="shared" si="7"/>
        <v>14.9</v>
      </c>
      <c r="H36">
        <f t="shared" si="0"/>
        <v>9.1999999999999993</v>
      </c>
      <c r="I36">
        <f t="shared" si="1"/>
        <v>989.99175999999989</v>
      </c>
      <c r="J36">
        <f t="shared" si="8"/>
        <v>1.8432368459999999</v>
      </c>
      <c r="K36">
        <f t="shared" si="2"/>
        <v>13.056763154</v>
      </c>
      <c r="L36">
        <f t="shared" si="3"/>
        <v>75.822142771787298</v>
      </c>
      <c r="M36">
        <f t="shared" si="4"/>
        <v>386.74718133805078</v>
      </c>
      <c r="N36">
        <f t="shared" si="5"/>
        <v>0.12370717087248322</v>
      </c>
      <c r="O36">
        <f t="shared" si="6"/>
        <v>0.13205496407886608</v>
      </c>
    </row>
    <row r="37" spans="1:15" x14ac:dyDescent="0.35">
      <c r="A37">
        <v>2.2999999999999998</v>
      </c>
      <c r="B37">
        <v>2.1749999999999998</v>
      </c>
      <c r="C37" s="2">
        <v>29658</v>
      </c>
      <c r="G37">
        <f t="shared" si="7"/>
        <v>14.9</v>
      </c>
      <c r="H37">
        <f t="shared" si="0"/>
        <v>9.1999999999999993</v>
      </c>
      <c r="I37">
        <f t="shared" si="1"/>
        <v>989.99175999999989</v>
      </c>
      <c r="J37">
        <f t="shared" si="8"/>
        <v>1.9011528569999998</v>
      </c>
      <c r="K37">
        <f t="shared" si="2"/>
        <v>12.998847143000001</v>
      </c>
      <c r="L37">
        <f t="shared" si="3"/>
        <v>76.159966273095193</v>
      </c>
      <c r="M37">
        <f t="shared" si="4"/>
        <v>389.41718925730663</v>
      </c>
      <c r="N37">
        <f t="shared" si="5"/>
        <v>0.12759415147651004</v>
      </c>
      <c r="O37">
        <f t="shared" si="6"/>
        <v>0.1365005407299886</v>
      </c>
    </row>
    <row r="38" spans="1:15" x14ac:dyDescent="0.35">
      <c r="A38">
        <v>2.4</v>
      </c>
      <c r="B38">
        <v>2.2334999999999998</v>
      </c>
      <c r="C38" s="2">
        <v>29932</v>
      </c>
      <c r="G38">
        <f t="shared" si="7"/>
        <v>14.9</v>
      </c>
      <c r="H38">
        <f t="shared" si="0"/>
        <v>9.1999999999999993</v>
      </c>
      <c r="I38">
        <f t="shared" si="1"/>
        <v>989.99175999999989</v>
      </c>
      <c r="J38">
        <f t="shared" si="8"/>
        <v>1.9571228779999998</v>
      </c>
      <c r="K38">
        <f t="shared" si="2"/>
        <v>12.942877122000001</v>
      </c>
      <c r="L38">
        <f t="shared" si="3"/>
        <v>76.48931150843076</v>
      </c>
      <c r="M38">
        <f t="shared" si="4"/>
        <v>391.32264900437565</v>
      </c>
      <c r="N38">
        <f t="shared" si="5"/>
        <v>0.13135052872483219</v>
      </c>
      <c r="O38">
        <f t="shared" si="6"/>
        <v>0.14081560531660037</v>
      </c>
    </row>
    <row r="39" spans="1:15" x14ac:dyDescent="0.35">
      <c r="A39">
        <v>2.5</v>
      </c>
      <c r="B39">
        <v>2.2953000000000001</v>
      </c>
      <c r="C39" s="2">
        <v>30256</v>
      </c>
      <c r="G39">
        <f t="shared" si="7"/>
        <v>14.9</v>
      </c>
      <c r="H39">
        <f t="shared" si="0"/>
        <v>9.1999999999999993</v>
      </c>
      <c r="I39">
        <f t="shared" si="1"/>
        <v>989.99175999999989</v>
      </c>
      <c r="J39">
        <f t="shared" si="8"/>
        <v>2.015931224</v>
      </c>
      <c r="K39">
        <f t="shared" si="2"/>
        <v>12.884068775999999</v>
      </c>
      <c r="L39">
        <f t="shared" si="3"/>
        <v>76.838441117616711</v>
      </c>
      <c r="M39">
        <f t="shared" si="4"/>
        <v>393.76124189827198</v>
      </c>
      <c r="N39">
        <f t="shared" si="5"/>
        <v>0.13529739758389261</v>
      </c>
      <c r="O39">
        <f t="shared" si="6"/>
        <v>0.14536964340294914</v>
      </c>
    </row>
    <row r="40" spans="1:15" x14ac:dyDescent="0.35">
      <c r="A40">
        <v>2.6</v>
      </c>
      <c r="B40">
        <v>2.3565</v>
      </c>
      <c r="C40" s="2">
        <v>30385</v>
      </c>
      <c r="G40">
        <f t="shared" si="7"/>
        <v>14.9</v>
      </c>
      <c r="H40">
        <f t="shared" si="0"/>
        <v>9.1999999999999993</v>
      </c>
      <c r="I40">
        <f t="shared" si="1"/>
        <v>989.99175999999989</v>
      </c>
      <c r="J40">
        <f t="shared" si="8"/>
        <v>2.0759401025000002</v>
      </c>
      <c r="K40">
        <f t="shared" si="2"/>
        <v>12.8240598975</v>
      </c>
      <c r="L40">
        <f t="shared" si="3"/>
        <v>77.197998754902486</v>
      </c>
      <c r="M40">
        <f t="shared" si="4"/>
        <v>393.59828609637879</v>
      </c>
      <c r="N40">
        <f t="shared" si="5"/>
        <v>0.13932483909395973</v>
      </c>
      <c r="O40">
        <f t="shared" si="6"/>
        <v>0.15003812692050922</v>
      </c>
    </row>
    <row r="41" spans="1:15" x14ac:dyDescent="0.35">
      <c r="A41">
        <v>2.7</v>
      </c>
      <c r="B41">
        <v>2.4178000000000002</v>
      </c>
      <c r="C41" s="2">
        <v>30757</v>
      </c>
      <c r="G41">
        <f t="shared" si="7"/>
        <v>14.9</v>
      </c>
      <c r="H41">
        <f t="shared" si="0"/>
        <v>9.1999999999999993</v>
      </c>
      <c r="I41">
        <f t="shared" si="1"/>
        <v>989.99175999999989</v>
      </c>
      <c r="J41">
        <f t="shared" si="8"/>
        <v>2.1338052405000001</v>
      </c>
      <c r="K41">
        <f t="shared" si="2"/>
        <v>12.766194759499999</v>
      </c>
      <c r="L41">
        <f t="shared" si="3"/>
        <v>77.547912956857786</v>
      </c>
      <c r="M41">
        <f t="shared" si="4"/>
        <v>396.61931349604515</v>
      </c>
      <c r="N41">
        <f t="shared" si="5"/>
        <v>0.14320840540268456</v>
      </c>
      <c r="O41">
        <f t="shared" si="6"/>
        <v>0.15456057012394173</v>
      </c>
    </row>
    <row r="42" spans="1:15" x14ac:dyDescent="0.35">
      <c r="A42">
        <v>2.8</v>
      </c>
      <c r="B42">
        <v>2.4792999999999998</v>
      </c>
      <c r="C42" s="2">
        <v>30992</v>
      </c>
      <c r="G42">
        <f t="shared" si="7"/>
        <v>14.9</v>
      </c>
      <c r="H42">
        <f t="shared" si="0"/>
        <v>9.1999999999999993</v>
      </c>
      <c r="I42">
        <f t="shared" si="1"/>
        <v>989.99175999999989</v>
      </c>
      <c r="J42">
        <f t="shared" si="8"/>
        <v>2.1931353679999996</v>
      </c>
      <c r="K42">
        <f t="shared" si="2"/>
        <v>12.706864632</v>
      </c>
      <c r="L42">
        <f t="shared" si="3"/>
        <v>77.909995004344353</v>
      </c>
      <c r="M42">
        <f t="shared" si="4"/>
        <v>397.79234998374534</v>
      </c>
      <c r="N42">
        <f t="shared" si="5"/>
        <v>0.14719029315436238</v>
      </c>
      <c r="O42">
        <f t="shared" si="6"/>
        <v>0.15921884331165137</v>
      </c>
    </row>
    <row r="43" spans="1:15" x14ac:dyDescent="0.35">
      <c r="A43">
        <v>2.9</v>
      </c>
      <c r="B43">
        <v>2.5411999999999999</v>
      </c>
      <c r="C43" s="2">
        <v>31359</v>
      </c>
      <c r="G43">
        <f t="shared" si="7"/>
        <v>14.9</v>
      </c>
      <c r="H43">
        <f t="shared" si="0"/>
        <v>9.1999999999999993</v>
      </c>
      <c r="I43">
        <f t="shared" si="1"/>
        <v>989.99175999999989</v>
      </c>
      <c r="J43">
        <f t="shared" si="8"/>
        <v>2.2516466734999998</v>
      </c>
      <c r="K43">
        <f t="shared" si="2"/>
        <v>12.648353326500001</v>
      </c>
      <c r="L43">
        <f t="shared" si="3"/>
        <v>78.270406782978938</v>
      </c>
      <c r="M43">
        <f t="shared" si="4"/>
        <v>400.64950840167961</v>
      </c>
      <c r="N43">
        <f t="shared" si="5"/>
        <v>0.15111722640939595</v>
      </c>
      <c r="O43">
        <f t="shared" si="6"/>
        <v>0.16383417806915238</v>
      </c>
    </row>
    <row r="44" spans="1:15" x14ac:dyDescent="0.35">
      <c r="A44">
        <v>3</v>
      </c>
      <c r="B44">
        <v>2.6025</v>
      </c>
      <c r="C44" s="2">
        <v>31715</v>
      </c>
      <c r="G44">
        <f t="shared" si="7"/>
        <v>14.9</v>
      </c>
      <c r="H44">
        <f t="shared" si="0"/>
        <v>9.1999999999999993</v>
      </c>
      <c r="I44">
        <f t="shared" si="1"/>
        <v>989.99175999999989</v>
      </c>
      <c r="J44">
        <f t="shared" si="8"/>
        <v>2.3096595474999999</v>
      </c>
      <c r="K44">
        <f t="shared" si="2"/>
        <v>12.590340452500001</v>
      </c>
      <c r="L44">
        <f t="shared" si="3"/>
        <v>78.631055588605804</v>
      </c>
      <c r="M44">
        <f t="shared" si="4"/>
        <v>403.33936461353733</v>
      </c>
      <c r="N44">
        <f t="shared" si="5"/>
        <v>0.15501070788590604</v>
      </c>
      <c r="O44">
        <f t="shared" si="6"/>
        <v>0.16843132375958103</v>
      </c>
    </row>
    <row r="45" spans="1:15" x14ac:dyDescent="0.35">
      <c r="A45">
        <v>3.1</v>
      </c>
      <c r="B45">
        <v>2.6638999999999999</v>
      </c>
      <c r="C45" s="2">
        <v>31905</v>
      </c>
      <c r="G45">
        <f t="shared" si="7"/>
        <v>14.9</v>
      </c>
      <c r="H45">
        <f t="shared" si="0"/>
        <v>9.1999999999999993</v>
      </c>
      <c r="I45">
        <f t="shared" si="1"/>
        <v>989.99175999999989</v>
      </c>
      <c r="J45">
        <f t="shared" si="8"/>
        <v>2.3693051824999998</v>
      </c>
      <c r="K45">
        <f t="shared" si="2"/>
        <v>12.530694817500001</v>
      </c>
      <c r="L45">
        <f t="shared" si="3"/>
        <v>79.005336449293011</v>
      </c>
      <c r="M45">
        <f t="shared" si="4"/>
        <v>403.83348054567404</v>
      </c>
      <c r="N45">
        <f t="shared" si="5"/>
        <v>0.15901377063758387</v>
      </c>
      <c r="O45">
        <f t="shared" si="6"/>
        <v>0.17317999326641392</v>
      </c>
    </row>
    <row r="46" spans="1:15" x14ac:dyDescent="0.35">
      <c r="A46">
        <v>3.2</v>
      </c>
      <c r="B46">
        <v>2.7254999999999998</v>
      </c>
      <c r="C46" s="2">
        <v>32194</v>
      </c>
      <c r="G46">
        <f t="shared" si="7"/>
        <v>14.9</v>
      </c>
      <c r="H46">
        <f t="shared" si="0"/>
        <v>9.1999999999999993</v>
      </c>
      <c r="I46">
        <f t="shared" si="1"/>
        <v>989.99175999999989</v>
      </c>
      <c r="J46">
        <f t="shared" si="8"/>
        <v>2.4282367009999999</v>
      </c>
      <c r="K46">
        <f t="shared" si="2"/>
        <v>12.471763299000001</v>
      </c>
      <c r="L46">
        <f t="shared" si="3"/>
        <v>79.378652101213177</v>
      </c>
      <c r="M46">
        <f t="shared" si="4"/>
        <v>405.57503998619757</v>
      </c>
      <c r="N46">
        <f t="shared" si="5"/>
        <v>0.16296890610738254</v>
      </c>
      <c r="O46">
        <f t="shared" si="6"/>
        <v>0.17789405996807986</v>
      </c>
    </row>
    <row r="47" spans="1:15" x14ac:dyDescent="0.35">
      <c r="A47">
        <v>3.3</v>
      </c>
      <c r="B47">
        <v>2.8502999999999998</v>
      </c>
      <c r="C47" s="2">
        <v>32800</v>
      </c>
      <c r="G47">
        <f t="shared" si="7"/>
        <v>14.9</v>
      </c>
      <c r="H47">
        <f t="shared" si="0"/>
        <v>9.1999999999999993</v>
      </c>
      <c r="I47">
        <f t="shared" si="1"/>
        <v>989.99175999999989</v>
      </c>
      <c r="J47">
        <f t="shared" si="8"/>
        <v>2.5474411999999997</v>
      </c>
      <c r="K47">
        <f t="shared" si="2"/>
        <v>12.352558800000001</v>
      </c>
      <c r="L47">
        <f t="shared" si="3"/>
        <v>80.144670916280106</v>
      </c>
      <c r="M47">
        <f t="shared" si="4"/>
        <v>409.25989994098541</v>
      </c>
      <c r="N47">
        <f t="shared" si="5"/>
        <v>0.17096920805369126</v>
      </c>
      <c r="O47">
        <f t="shared" si="6"/>
        <v>0.1874979810549689</v>
      </c>
    </row>
    <row r="48" spans="1:15" x14ac:dyDescent="0.35">
      <c r="A48">
        <v>3.4</v>
      </c>
      <c r="B48">
        <v>2.9115000000000002</v>
      </c>
      <c r="C48" s="2">
        <v>33106</v>
      </c>
      <c r="G48">
        <f t="shared" si="7"/>
        <v>14.9</v>
      </c>
      <c r="H48">
        <f t="shared" si="0"/>
        <v>9.1999999999999993</v>
      </c>
      <c r="I48">
        <f t="shared" si="1"/>
        <v>989.99175999999989</v>
      </c>
      <c r="J48">
        <f t="shared" si="8"/>
        <v>2.605815749</v>
      </c>
      <c r="K48">
        <f t="shared" si="2"/>
        <v>12.294184251000001</v>
      </c>
      <c r="L48">
        <f t="shared" si="3"/>
        <v>80.52520930125759</v>
      </c>
      <c r="M48">
        <f t="shared" si="4"/>
        <v>411.12591059708024</v>
      </c>
      <c r="N48">
        <f t="shared" si="5"/>
        <v>0.17488696302013423</v>
      </c>
      <c r="O48">
        <f t="shared" si="6"/>
        <v>0.19223488751203863</v>
      </c>
    </row>
    <row r="49" spans="1:15" x14ac:dyDescent="0.35">
      <c r="A49">
        <v>3.5</v>
      </c>
      <c r="B49">
        <v>2.9731999999999998</v>
      </c>
      <c r="C49" s="2">
        <v>33394</v>
      </c>
      <c r="G49">
        <f t="shared" si="7"/>
        <v>14.9</v>
      </c>
      <c r="H49">
        <f t="shared" si="0"/>
        <v>9.1999999999999993</v>
      </c>
      <c r="I49">
        <f t="shared" si="1"/>
        <v>989.99175999999989</v>
      </c>
      <c r="J49">
        <f t="shared" si="8"/>
        <v>2.664856501</v>
      </c>
      <c r="K49">
        <f t="shared" si="2"/>
        <v>12.235143498999999</v>
      </c>
      <c r="L49">
        <f t="shared" si="3"/>
        <v>80.913784139999152</v>
      </c>
      <c r="M49">
        <f t="shared" si="4"/>
        <v>412.71089165995284</v>
      </c>
      <c r="N49">
        <f t="shared" si="5"/>
        <v>0.17884942959731542</v>
      </c>
      <c r="O49">
        <f t="shared" si="6"/>
        <v>0.19704878755996705</v>
      </c>
    </row>
    <row r="50" spans="1:15" x14ac:dyDescent="0.35">
      <c r="A50">
        <v>3.6</v>
      </c>
      <c r="B50">
        <v>3.0354000000000001</v>
      </c>
      <c r="C50" s="2">
        <v>33694</v>
      </c>
      <c r="G50">
        <f t="shared" si="7"/>
        <v>14.9</v>
      </c>
      <c r="H50">
        <f t="shared" si="0"/>
        <v>9.1999999999999993</v>
      </c>
      <c r="I50">
        <f t="shared" si="1"/>
        <v>989.99175999999989</v>
      </c>
      <c r="J50">
        <f t="shared" si="8"/>
        <v>2.7242864510000002</v>
      </c>
      <c r="K50">
        <f t="shared" si="2"/>
        <v>12.175713549000001</v>
      </c>
      <c r="L50">
        <f t="shared" si="3"/>
        <v>81.308726261986394</v>
      </c>
      <c r="M50">
        <f t="shared" si="4"/>
        <v>414.39586559791775</v>
      </c>
      <c r="N50">
        <f t="shared" si="5"/>
        <v>0.18283801684563761</v>
      </c>
      <c r="O50">
        <f t="shared" si="6"/>
        <v>0.20191793797938612</v>
      </c>
    </row>
    <row r="51" spans="1:15" x14ac:dyDescent="0.35">
      <c r="A51">
        <v>3.7</v>
      </c>
      <c r="B51">
        <v>3.0973999999999999</v>
      </c>
      <c r="C51" s="2">
        <v>33994</v>
      </c>
      <c r="G51">
        <f t="shared" si="7"/>
        <v>14.9</v>
      </c>
      <c r="H51">
        <f t="shared" si="0"/>
        <v>9.1999999999999993</v>
      </c>
      <c r="I51">
        <f t="shared" si="1"/>
        <v>989.99175999999989</v>
      </c>
      <c r="J51">
        <f t="shared" si="8"/>
        <v>2.783516401</v>
      </c>
      <c r="K51">
        <f t="shared" si="2"/>
        <v>12.116483599</v>
      </c>
      <c r="L51">
        <f t="shared" si="3"/>
        <v>81.706194038153612</v>
      </c>
      <c r="M51">
        <f t="shared" si="4"/>
        <v>416.05168861648514</v>
      </c>
      <c r="N51">
        <f t="shared" si="5"/>
        <v>0.18681318127516777</v>
      </c>
      <c r="O51">
        <f t="shared" si="6"/>
        <v>0.20679440650241357</v>
      </c>
    </row>
    <row r="52" spans="1:15" x14ac:dyDescent="0.35">
      <c r="A52">
        <v>3.8</v>
      </c>
      <c r="B52">
        <v>3.1594000000000002</v>
      </c>
      <c r="C52" s="2">
        <v>34275</v>
      </c>
      <c r="G52">
        <f t="shared" si="7"/>
        <v>14.9</v>
      </c>
      <c r="H52">
        <f t="shared" si="0"/>
        <v>9.1999999999999993</v>
      </c>
      <c r="I52">
        <f t="shared" si="1"/>
        <v>989.99175999999989</v>
      </c>
      <c r="J52">
        <f t="shared" si="8"/>
        <v>2.8429217875000004</v>
      </c>
      <c r="K52">
        <f t="shared" si="2"/>
        <v>12.0570782125</v>
      </c>
      <c r="L52">
        <f t="shared" si="3"/>
        <v>82.108761554987709</v>
      </c>
      <c r="M52">
        <f t="shared" si="4"/>
        <v>417.43413675830749</v>
      </c>
      <c r="N52">
        <f t="shared" si="5"/>
        <v>0.19080011996644297</v>
      </c>
      <c r="O52">
        <f t="shared" si="6"/>
        <v>0.21170932194170022</v>
      </c>
    </row>
    <row r="53" spans="1:15" x14ac:dyDescent="0.35">
      <c r="A53">
        <v>3.9</v>
      </c>
      <c r="B53">
        <v>3.2216999999999998</v>
      </c>
      <c r="C53" s="2">
        <v>34575</v>
      </c>
      <c r="G53">
        <f t="shared" si="7"/>
        <v>14.9</v>
      </c>
      <c r="H53">
        <f t="shared" si="0"/>
        <v>9.1999999999999993</v>
      </c>
      <c r="I53">
        <f t="shared" si="1"/>
        <v>989.99175999999989</v>
      </c>
      <c r="J53">
        <f t="shared" si="8"/>
        <v>2.9024517374999999</v>
      </c>
      <c r="K53">
        <f t="shared" si="2"/>
        <v>11.997548262500001</v>
      </c>
      <c r="L53">
        <f t="shared" si="3"/>
        <v>82.516172332838721</v>
      </c>
      <c r="M53">
        <f t="shared" si="4"/>
        <v>419.00877152344947</v>
      </c>
      <c r="N53">
        <f t="shared" si="5"/>
        <v>0.19479541862416105</v>
      </c>
      <c r="O53">
        <f t="shared" si="6"/>
        <v>0.21665889549617567</v>
      </c>
    </row>
    <row r="54" spans="1:15" x14ac:dyDescent="0.35">
      <c r="A54">
        <v>4</v>
      </c>
      <c r="B54">
        <v>3.286</v>
      </c>
      <c r="C54" s="2">
        <v>34880</v>
      </c>
      <c r="G54">
        <f t="shared" si="7"/>
        <v>14.9</v>
      </c>
      <c r="H54">
        <f t="shared" si="0"/>
        <v>9.1999999999999993</v>
      </c>
      <c r="I54">
        <f t="shared" si="1"/>
        <v>989.99175999999989</v>
      </c>
      <c r="J54">
        <f t="shared" si="8"/>
        <v>2.9639355200000002</v>
      </c>
      <c r="K54">
        <f t="shared" si="2"/>
        <v>11.936064480000001</v>
      </c>
      <c r="L54">
        <f t="shared" si="3"/>
        <v>82.941220840321719</v>
      </c>
      <c r="M54">
        <f t="shared" si="4"/>
        <v>420.53878212319671</v>
      </c>
      <c r="N54">
        <f t="shared" si="5"/>
        <v>0.19892184697986579</v>
      </c>
      <c r="O54">
        <f t="shared" si="6"/>
        <v>0.22179676735982778</v>
      </c>
    </row>
    <row r="55" spans="1:15" x14ac:dyDescent="0.35">
      <c r="A55">
        <v>4.0999999999999996</v>
      </c>
      <c r="B55">
        <v>3.3481000000000001</v>
      </c>
      <c r="C55" s="2">
        <v>35182</v>
      </c>
      <c r="G55">
        <f t="shared" si="7"/>
        <v>14.9</v>
      </c>
      <c r="H55">
        <f t="shared" si="0"/>
        <v>9.1999999999999993</v>
      </c>
      <c r="I55">
        <f t="shared" si="1"/>
        <v>989.99175999999989</v>
      </c>
      <c r="J55">
        <f t="shared" si="8"/>
        <v>3.0232470030000003</v>
      </c>
      <c r="K55">
        <f t="shared" si="2"/>
        <v>11.876752997000001</v>
      </c>
      <c r="L55">
        <f t="shared" si="3"/>
        <v>83.355422163790564</v>
      </c>
      <c r="M55">
        <f t="shared" si="4"/>
        <v>422.07212304519999</v>
      </c>
      <c r="N55">
        <f t="shared" si="5"/>
        <v>0.2029024834228188</v>
      </c>
      <c r="O55">
        <f t="shared" si="6"/>
        <v>0.22677825312558661</v>
      </c>
    </row>
    <row r="56" spans="1:15" x14ac:dyDescent="0.35">
      <c r="A56">
        <v>4.2</v>
      </c>
      <c r="B56">
        <v>3.41</v>
      </c>
      <c r="C56" s="2">
        <v>35480</v>
      </c>
      <c r="G56">
        <f t="shared" si="7"/>
        <v>14.9</v>
      </c>
      <c r="H56">
        <f t="shared" si="0"/>
        <v>9.1999999999999993</v>
      </c>
      <c r="I56">
        <f t="shared" si="1"/>
        <v>989.99175999999989</v>
      </c>
      <c r="J56">
        <f t="shared" si="8"/>
        <v>3.0823954200000001</v>
      </c>
      <c r="K56">
        <f t="shared" si="2"/>
        <v>11.817604580000001</v>
      </c>
      <c r="L56">
        <f t="shared" si="3"/>
        <v>83.772625264129445</v>
      </c>
      <c r="M56">
        <f t="shared" si="4"/>
        <v>423.52737410501283</v>
      </c>
      <c r="N56">
        <f t="shared" si="5"/>
        <v>0.20687217583892617</v>
      </c>
      <c r="O56">
        <f t="shared" si="6"/>
        <v>0.23177087971784027</v>
      </c>
    </row>
    <row r="57" spans="1:15" x14ac:dyDescent="0.35">
      <c r="A57">
        <v>4.3</v>
      </c>
      <c r="B57">
        <v>3.4721000000000002</v>
      </c>
      <c r="C57" s="2">
        <v>35775</v>
      </c>
      <c r="G57">
        <f t="shared" si="7"/>
        <v>14.9</v>
      </c>
      <c r="H57">
        <f t="shared" si="0"/>
        <v>9.1999999999999993</v>
      </c>
      <c r="I57">
        <f t="shared" si="1"/>
        <v>989.99175999999989</v>
      </c>
      <c r="J57">
        <f t="shared" si="8"/>
        <v>3.1417715375000004</v>
      </c>
      <c r="K57">
        <f t="shared" si="2"/>
        <v>11.7582284625</v>
      </c>
      <c r="L57">
        <f t="shared" si="3"/>
        <v>84.195656102221264</v>
      </c>
      <c r="M57">
        <f t="shared" si="4"/>
        <v>424.9031560080233</v>
      </c>
      <c r="N57">
        <f t="shared" si="5"/>
        <v>0.21085715016778525</v>
      </c>
      <c r="O57">
        <f t="shared" si="6"/>
        <v>0.23680792277229676</v>
      </c>
    </row>
    <row r="58" spans="1:15" x14ac:dyDescent="0.35">
      <c r="A58">
        <v>4.4000000000000004</v>
      </c>
      <c r="B58">
        <v>3.5343</v>
      </c>
      <c r="C58" s="2">
        <v>36059</v>
      </c>
      <c r="G58">
        <f t="shared" si="7"/>
        <v>14.9</v>
      </c>
      <c r="H58">
        <f t="shared" si="0"/>
        <v>9.1999999999999993</v>
      </c>
      <c r="I58">
        <f t="shared" si="1"/>
        <v>989.99175999999989</v>
      </c>
      <c r="J58">
        <f t="shared" si="8"/>
        <v>3.2013492234999998</v>
      </c>
      <c r="K58">
        <f t="shared" si="2"/>
        <v>11.698650776500001</v>
      </c>
      <c r="L58">
        <f t="shared" si="3"/>
        <v>84.624439083921899</v>
      </c>
      <c r="M58">
        <f t="shared" si="4"/>
        <v>426.10622168189923</v>
      </c>
      <c r="N58">
        <f t="shared" si="5"/>
        <v>0.21485565258389261</v>
      </c>
      <c r="O58">
        <f t="shared" si="6"/>
        <v>0.24188769604522661</v>
      </c>
    </row>
    <row r="59" spans="1:15" x14ac:dyDescent="0.35">
      <c r="A59">
        <v>4.5</v>
      </c>
      <c r="B59">
        <v>3.5960999999999999</v>
      </c>
      <c r="C59" s="2">
        <v>36358</v>
      </c>
      <c r="G59">
        <f t="shared" si="7"/>
        <v>14.9</v>
      </c>
      <c r="H59">
        <f t="shared" si="0"/>
        <v>9.1999999999999993</v>
      </c>
      <c r="I59">
        <f t="shared" si="1"/>
        <v>989.99175999999989</v>
      </c>
      <c r="J59">
        <f t="shared" si="8"/>
        <v>3.2603884069999998</v>
      </c>
      <c r="K59">
        <f t="shared" si="2"/>
        <v>11.639611593000001</v>
      </c>
      <c r="L59">
        <f t="shared" si="3"/>
        <v>85.053676584481181</v>
      </c>
      <c r="M59">
        <f t="shared" si="4"/>
        <v>427.47123299116561</v>
      </c>
      <c r="N59">
        <f t="shared" si="5"/>
        <v>0.21881801389261743</v>
      </c>
      <c r="O59">
        <f t="shared" si="6"/>
        <v>0.24694713950382483</v>
      </c>
    </row>
    <row r="60" spans="1:15" x14ac:dyDescent="0.35">
      <c r="A60">
        <v>4.5999999999999996</v>
      </c>
      <c r="B60">
        <v>3.6579000000000002</v>
      </c>
      <c r="C60" s="2">
        <v>36652</v>
      </c>
      <c r="G60">
        <f t="shared" si="7"/>
        <v>14.9</v>
      </c>
      <c r="H60">
        <f t="shared" si="0"/>
        <v>9.1999999999999993</v>
      </c>
      <c r="I60">
        <f t="shared" si="1"/>
        <v>989.99175999999989</v>
      </c>
      <c r="J60">
        <f t="shared" si="8"/>
        <v>3.319473758</v>
      </c>
      <c r="K60">
        <f t="shared" si="2"/>
        <v>11.580526242000001</v>
      </c>
      <c r="L60">
        <f t="shared" si="3"/>
        <v>85.487631504129681</v>
      </c>
      <c r="M60">
        <f t="shared" si="4"/>
        <v>428.74038448742658</v>
      </c>
      <c r="N60">
        <f t="shared" si="5"/>
        <v>0.22278347369127516</v>
      </c>
      <c r="O60">
        <f t="shared" si="6"/>
        <v>0.25203629779766251</v>
      </c>
    </row>
    <row r="61" spans="1:15" x14ac:dyDescent="0.35">
      <c r="A61">
        <v>4.7</v>
      </c>
      <c r="B61">
        <v>3.7199</v>
      </c>
      <c r="C61" s="2">
        <v>36928</v>
      </c>
      <c r="G61">
        <f t="shared" si="7"/>
        <v>14.9</v>
      </c>
      <c r="H61">
        <f t="shared" si="0"/>
        <v>9.1999999999999993</v>
      </c>
      <c r="I61">
        <f t="shared" si="1"/>
        <v>989.99175999999989</v>
      </c>
      <c r="J61">
        <f t="shared" si="8"/>
        <v>3.3789253119999998</v>
      </c>
      <c r="K61">
        <f t="shared" si="2"/>
        <v>11.521074688000001</v>
      </c>
      <c r="L61">
        <f t="shared" si="3"/>
        <v>85.928768522883118</v>
      </c>
      <c r="M61">
        <f t="shared" si="4"/>
        <v>429.75130023149291</v>
      </c>
      <c r="N61">
        <f t="shared" si="5"/>
        <v>0.22677351087248321</v>
      </c>
      <c r="O61">
        <f t="shared" si="6"/>
        <v>0.25718327314591721</v>
      </c>
    </row>
    <row r="62" spans="1:15" x14ac:dyDescent="0.35">
      <c r="A62">
        <v>4.8</v>
      </c>
      <c r="B62">
        <v>3.7841</v>
      </c>
      <c r="C62" s="2">
        <v>37236</v>
      </c>
      <c r="G62">
        <f t="shared" si="7"/>
        <v>14.9</v>
      </c>
      <c r="H62">
        <f t="shared" si="0"/>
        <v>9.1999999999999993</v>
      </c>
      <c r="I62">
        <f t="shared" si="1"/>
        <v>989.99175999999989</v>
      </c>
      <c r="J62">
        <f t="shared" si="8"/>
        <v>3.4402813939999999</v>
      </c>
      <c r="K62">
        <f t="shared" si="2"/>
        <v>11.459718606000001</v>
      </c>
      <c r="L62">
        <f t="shared" si="3"/>
        <v>86.388836762681663</v>
      </c>
      <c r="M62">
        <f t="shared" si="4"/>
        <v>431.02791281112889</v>
      </c>
      <c r="N62">
        <f t="shared" si="5"/>
        <v>0.23089136872483221</v>
      </c>
      <c r="O62">
        <f t="shared" si="6"/>
        <v>0.26252305641654722</v>
      </c>
    </row>
    <row r="63" spans="1:15" x14ac:dyDescent="0.35">
      <c r="A63">
        <v>4.9000000000000004</v>
      </c>
      <c r="B63">
        <v>3.8449</v>
      </c>
      <c r="C63" s="2">
        <v>37610</v>
      </c>
      <c r="G63">
        <f t="shared" si="7"/>
        <v>14.9</v>
      </c>
      <c r="H63">
        <f t="shared" si="0"/>
        <v>9.1999999999999993</v>
      </c>
      <c r="I63">
        <f t="shared" si="1"/>
        <v>989.99175999999989</v>
      </c>
      <c r="J63">
        <f t="shared" si="8"/>
        <v>3.4976280649999998</v>
      </c>
      <c r="K63">
        <f t="shared" si="2"/>
        <v>11.402371935000001</v>
      </c>
      <c r="L63">
        <f t="shared" si="3"/>
        <v>86.823317608258648</v>
      </c>
      <c r="M63">
        <f t="shared" si="4"/>
        <v>433.17856350173065</v>
      </c>
      <c r="N63">
        <f t="shared" si="5"/>
        <v>0.234740138590604</v>
      </c>
      <c r="O63">
        <f t="shared" si="6"/>
        <v>0.26753981471969002</v>
      </c>
    </row>
    <row r="64" spans="1:15" x14ac:dyDescent="0.35">
      <c r="A64">
        <v>5</v>
      </c>
      <c r="B64">
        <v>3.9068000000000001</v>
      </c>
      <c r="C64" s="2">
        <v>37833</v>
      </c>
      <c r="G64">
        <f t="shared" si="7"/>
        <v>14.9</v>
      </c>
      <c r="H64">
        <f t="shared" si="0"/>
        <v>9.1999999999999993</v>
      </c>
      <c r="I64">
        <f t="shared" si="1"/>
        <v>989.99175999999989</v>
      </c>
      <c r="J64">
        <f t="shared" si="8"/>
        <v>3.5574689945000002</v>
      </c>
      <c r="K64">
        <f t="shared" si="2"/>
        <v>11.3425310055</v>
      </c>
      <c r="L64">
        <f t="shared" si="3"/>
        <v>87.281380101139007</v>
      </c>
      <c r="M64">
        <f t="shared" si="4"/>
        <v>433.46014873000712</v>
      </c>
      <c r="N64">
        <f t="shared" si="5"/>
        <v>0.23875630835570472</v>
      </c>
      <c r="O64">
        <f t="shared" si="6"/>
        <v>0.2728017468307305</v>
      </c>
    </row>
    <row r="65" spans="1:15" x14ac:dyDescent="0.35">
      <c r="A65">
        <v>5.0999999999999996</v>
      </c>
      <c r="B65">
        <v>3.9689000000000001</v>
      </c>
      <c r="C65" s="2">
        <v>38312</v>
      </c>
      <c r="G65">
        <f t="shared" si="7"/>
        <v>14.9</v>
      </c>
      <c r="H65">
        <f t="shared" si="0"/>
        <v>9.1999999999999993</v>
      </c>
      <c r="I65">
        <f t="shared" si="1"/>
        <v>989.99175999999989</v>
      </c>
      <c r="J65">
        <f t="shared" si="8"/>
        <v>3.615146148</v>
      </c>
      <c r="K65">
        <f t="shared" si="2"/>
        <v>11.284853852000001</v>
      </c>
      <c r="L65">
        <f t="shared" si="3"/>
        <v>87.727477288023962</v>
      </c>
      <c r="M65">
        <f t="shared" si="4"/>
        <v>436.71608011951952</v>
      </c>
      <c r="N65">
        <f t="shared" si="5"/>
        <v>0.24262725825503356</v>
      </c>
      <c r="O65">
        <f t="shared" si="6"/>
        <v>0.27789975340822026</v>
      </c>
    </row>
    <row r="66" spans="1:15" x14ac:dyDescent="0.35">
      <c r="A66">
        <v>5.2</v>
      </c>
      <c r="B66">
        <v>4.0311000000000003</v>
      </c>
      <c r="C66" s="2">
        <v>38436</v>
      </c>
      <c r="G66">
        <f t="shared" si="7"/>
        <v>14.9</v>
      </c>
      <c r="H66">
        <f t="shared" si="0"/>
        <v>9.1999999999999993</v>
      </c>
      <c r="I66">
        <f t="shared" si="1"/>
        <v>989.99175999999989</v>
      </c>
      <c r="J66">
        <f t="shared" si="8"/>
        <v>3.6762011940000003</v>
      </c>
      <c r="K66">
        <f t="shared" si="2"/>
        <v>11.223798806</v>
      </c>
      <c r="L66">
        <f t="shared" si="3"/>
        <v>88.204695853134126</v>
      </c>
      <c r="M66">
        <f t="shared" si="4"/>
        <v>435.75911268939859</v>
      </c>
      <c r="N66">
        <f t="shared" si="5"/>
        <v>0.2467249123489933</v>
      </c>
      <c r="O66">
        <f t="shared" si="6"/>
        <v>0.28332479565047475</v>
      </c>
    </row>
    <row r="67" spans="1:15" x14ac:dyDescent="0.35">
      <c r="A67">
        <v>5.3</v>
      </c>
      <c r="B67">
        <v>4.093</v>
      </c>
      <c r="C67" s="2">
        <v>38718</v>
      </c>
      <c r="G67">
        <f t="shared" si="7"/>
        <v>14.9</v>
      </c>
      <c r="H67">
        <f t="shared" si="0"/>
        <v>9.1999999999999993</v>
      </c>
      <c r="I67">
        <f t="shared" si="1"/>
        <v>989.99175999999989</v>
      </c>
      <c r="J67">
        <f t="shared" si="8"/>
        <v>3.7354973469999999</v>
      </c>
      <c r="K67">
        <f t="shared" si="2"/>
        <v>11.164502653</v>
      </c>
      <c r="L67">
        <f t="shared" si="3"/>
        <v>88.673162680827559</v>
      </c>
      <c r="M67">
        <f t="shared" si="4"/>
        <v>436.63718344368243</v>
      </c>
      <c r="N67">
        <f t="shared" si="5"/>
        <v>0.25070451993288589</v>
      </c>
      <c r="O67">
        <f t="shared" si="6"/>
        <v>0.28862187383730714</v>
      </c>
    </row>
    <row r="68" spans="1:15" x14ac:dyDescent="0.35">
      <c r="A68">
        <v>5.4</v>
      </c>
      <c r="B68">
        <v>4.1547999999999998</v>
      </c>
      <c r="C68" s="2">
        <v>39015</v>
      </c>
      <c r="G68">
        <f t="shared" si="7"/>
        <v>14.9</v>
      </c>
      <c r="H68">
        <f t="shared" si="0"/>
        <v>9.1999999999999993</v>
      </c>
      <c r="I68">
        <f t="shared" si="1"/>
        <v>989.99175999999989</v>
      </c>
      <c r="J68">
        <f t="shared" si="8"/>
        <v>3.7945549974999997</v>
      </c>
      <c r="K68">
        <f t="shared" si="2"/>
        <v>11.105445002500002</v>
      </c>
      <c r="L68">
        <f t="shared" si="3"/>
        <v>89.144717728748191</v>
      </c>
      <c r="M68">
        <f t="shared" si="4"/>
        <v>437.65913442808613</v>
      </c>
      <c r="N68">
        <f t="shared" si="5"/>
        <v>0.25466812063758387</v>
      </c>
      <c r="O68">
        <f t="shared" si="6"/>
        <v>0.29392568414314874</v>
      </c>
    </row>
    <row r="69" spans="1:15" x14ac:dyDescent="0.35">
      <c r="A69">
        <v>5.5</v>
      </c>
      <c r="B69">
        <v>4.2167000000000003</v>
      </c>
      <c r="C69" s="2">
        <v>39300</v>
      </c>
      <c r="G69">
        <f t="shared" si="7"/>
        <v>14.9</v>
      </c>
      <c r="H69">
        <f t="shared" si="0"/>
        <v>9.1999999999999993</v>
      </c>
      <c r="I69">
        <f t="shared" si="1"/>
        <v>989.99175999999989</v>
      </c>
      <c r="J69">
        <f t="shared" si="8"/>
        <v>3.8538234500000002</v>
      </c>
      <c r="K69">
        <f t="shared" si="2"/>
        <v>11.04617655</v>
      </c>
      <c r="L69">
        <f t="shared" si="3"/>
        <v>89.623025262981145</v>
      </c>
      <c r="M69">
        <f t="shared" si="4"/>
        <v>438.5033855382797</v>
      </c>
      <c r="N69">
        <f t="shared" si="5"/>
        <v>0.2586458691275168</v>
      </c>
      <c r="O69">
        <f t="shared" si="6"/>
        <v>0.29927685843882174</v>
      </c>
    </row>
    <row r="70" spans="1:15" x14ac:dyDescent="0.35">
      <c r="A70">
        <v>5.6</v>
      </c>
      <c r="B70">
        <v>4.3422000000000001</v>
      </c>
      <c r="C70" s="2">
        <v>39904</v>
      </c>
      <c r="G70">
        <f t="shared" si="7"/>
        <v>14.9</v>
      </c>
      <c r="H70">
        <f t="shared" si="0"/>
        <v>9.1999999999999993</v>
      </c>
      <c r="I70">
        <f t="shared" si="1"/>
        <v>989.99175999999989</v>
      </c>
      <c r="J70">
        <f t="shared" si="8"/>
        <v>3.973746416</v>
      </c>
      <c r="K70">
        <f t="shared" si="2"/>
        <v>10.926253584000001</v>
      </c>
      <c r="L70">
        <f t="shared" si="3"/>
        <v>90.606698113771301</v>
      </c>
      <c r="M70">
        <f t="shared" si="4"/>
        <v>440.40894139960938</v>
      </c>
      <c r="N70">
        <f t="shared" si="5"/>
        <v>0.26669439033557046</v>
      </c>
      <c r="O70">
        <f t="shared" si="6"/>
        <v>0.31019273402151709</v>
      </c>
    </row>
    <row r="71" spans="1:15" x14ac:dyDescent="0.35">
      <c r="A71">
        <v>5.7</v>
      </c>
      <c r="B71">
        <v>4.4040999999999997</v>
      </c>
      <c r="C71" s="2">
        <v>40323</v>
      </c>
      <c r="G71">
        <f t="shared" si="7"/>
        <v>14.9</v>
      </c>
      <c r="H71">
        <f t="shared" si="0"/>
        <v>9.1999999999999993</v>
      </c>
      <c r="I71">
        <f t="shared" si="1"/>
        <v>989.99175999999989</v>
      </c>
      <c r="J71">
        <f t="shared" si="8"/>
        <v>4.0317775794999999</v>
      </c>
      <c r="K71">
        <f t="shared" si="2"/>
        <v>10.8682224205</v>
      </c>
      <c r="L71">
        <f t="shared" si="3"/>
        <v>91.090494995082608</v>
      </c>
      <c r="M71">
        <f t="shared" si="4"/>
        <v>442.6696770302629</v>
      </c>
      <c r="N71">
        <f t="shared" si="5"/>
        <v>0.270589099295302</v>
      </c>
      <c r="O71">
        <f t="shared" si="6"/>
        <v>0.31551805596367916</v>
      </c>
    </row>
    <row r="72" spans="1:15" x14ac:dyDescent="0.35">
      <c r="A72">
        <v>5.8</v>
      </c>
      <c r="B72">
        <v>4.4661</v>
      </c>
      <c r="C72" s="2">
        <v>40767</v>
      </c>
      <c r="G72">
        <f t="shared" si="7"/>
        <v>14.9</v>
      </c>
      <c r="H72">
        <f t="shared" si="0"/>
        <v>9.1999999999999993</v>
      </c>
      <c r="I72">
        <f t="shared" si="1"/>
        <v>989.99175999999989</v>
      </c>
      <c r="J72">
        <f t="shared" si="8"/>
        <v>4.0896779055000003</v>
      </c>
      <c r="K72">
        <f t="shared" si="2"/>
        <v>10.8103220945</v>
      </c>
      <c r="L72">
        <f t="shared" si="3"/>
        <v>91.578377715838911</v>
      </c>
      <c r="M72">
        <f t="shared" si="4"/>
        <v>445.15966559810715</v>
      </c>
      <c r="N72">
        <f t="shared" si="5"/>
        <v>0.27447502721476513</v>
      </c>
      <c r="O72">
        <f t="shared" si="6"/>
        <v>0.32085978576823959</v>
      </c>
    </row>
    <row r="73" spans="1:15" x14ac:dyDescent="0.35">
      <c r="A73">
        <v>5.9</v>
      </c>
      <c r="B73">
        <v>4.5270000000000001</v>
      </c>
      <c r="C73" s="2">
        <v>41050</v>
      </c>
      <c r="G73">
        <f t="shared" si="7"/>
        <v>14.9</v>
      </c>
      <c r="H73">
        <f t="shared" si="0"/>
        <v>9.1999999999999993</v>
      </c>
      <c r="I73">
        <f t="shared" si="1"/>
        <v>989.99175999999989</v>
      </c>
      <c r="J73">
        <f t="shared" si="8"/>
        <v>4.1479648249999999</v>
      </c>
      <c r="K73">
        <f t="shared" si="2"/>
        <v>10.752035175</v>
      </c>
      <c r="L73">
        <f t="shared" si="3"/>
        <v>92.074825266743034</v>
      </c>
      <c r="M73">
        <f t="shared" si="4"/>
        <v>445.8330480788548</v>
      </c>
      <c r="N73">
        <f t="shared" si="5"/>
        <v>0.27838690100671137</v>
      </c>
      <c r="O73">
        <f t="shared" si="6"/>
        <v>0.326266157691596</v>
      </c>
    </row>
    <row r="74" spans="1:15" x14ac:dyDescent="0.35">
      <c r="A74">
        <v>6</v>
      </c>
      <c r="B74">
        <v>4.5890000000000004</v>
      </c>
      <c r="C74" s="2">
        <v>41150</v>
      </c>
      <c r="G74">
        <f t="shared" si="7"/>
        <v>14.9</v>
      </c>
      <c r="H74">
        <f t="shared" si="0"/>
        <v>9.1999999999999993</v>
      </c>
      <c r="I74">
        <f t="shared" si="1"/>
        <v>989.99175999999989</v>
      </c>
      <c r="J74">
        <f t="shared" si="8"/>
        <v>4.2090414750000003</v>
      </c>
      <c r="K74">
        <f t="shared" si="2"/>
        <v>10.690958524999999</v>
      </c>
      <c r="L74">
        <f t="shared" si="3"/>
        <v>92.600841887561245</v>
      </c>
      <c r="M74">
        <f t="shared" si="4"/>
        <v>444.38040908921306</v>
      </c>
      <c r="N74">
        <f t="shared" si="5"/>
        <v>0.28248600503355703</v>
      </c>
      <c r="O74">
        <f t="shared" si="6"/>
        <v>0.33196282635887314</v>
      </c>
    </row>
    <row r="75" spans="1:15" x14ac:dyDescent="0.35">
      <c r="A75">
        <v>6.1</v>
      </c>
      <c r="B75">
        <v>4.6509</v>
      </c>
      <c r="C75" s="2">
        <v>41527</v>
      </c>
      <c r="G75">
        <f t="shared" si="7"/>
        <v>14.9</v>
      </c>
      <c r="H75">
        <f t="shared" si="0"/>
        <v>9.1999999999999993</v>
      </c>
      <c r="I75">
        <f t="shared" si="1"/>
        <v>989.99175999999989</v>
      </c>
      <c r="J75">
        <f t="shared" si="8"/>
        <v>4.2674604455000003</v>
      </c>
      <c r="K75">
        <f t="shared" si="2"/>
        <v>10.632539554499999</v>
      </c>
      <c r="L75">
        <f t="shared" si="3"/>
        <v>93.109623992041179</v>
      </c>
      <c r="M75">
        <f t="shared" si="4"/>
        <v>446.00115669621482</v>
      </c>
      <c r="N75">
        <f t="shared" si="5"/>
        <v>0.28640674130872484</v>
      </c>
      <c r="O75">
        <f t="shared" si="6"/>
        <v>0.33744214466219974</v>
      </c>
    </row>
    <row r="76" spans="1:15" x14ac:dyDescent="0.35">
      <c r="A76">
        <v>6.2</v>
      </c>
      <c r="B76">
        <v>4.7126999999999999</v>
      </c>
      <c r="C76" s="2">
        <v>41701</v>
      </c>
      <c r="G76">
        <f t="shared" si="7"/>
        <v>14.9</v>
      </c>
      <c r="H76">
        <f t="shared" si="0"/>
        <v>9.1999999999999993</v>
      </c>
      <c r="I76">
        <f t="shared" si="1"/>
        <v>989.99175999999989</v>
      </c>
      <c r="J76">
        <f t="shared" si="8"/>
        <v>4.3276538164999998</v>
      </c>
      <c r="K76">
        <f t="shared" si="2"/>
        <v>10.572346183500001</v>
      </c>
      <c r="L76">
        <f t="shared" si="3"/>
        <v>93.63974115273065</v>
      </c>
      <c r="M76">
        <f t="shared" si="4"/>
        <v>445.3344219735057</v>
      </c>
      <c r="N76">
        <f t="shared" si="5"/>
        <v>0.29044656486577181</v>
      </c>
      <c r="O76">
        <f t="shared" si="6"/>
        <v>0.34311947142766619</v>
      </c>
    </row>
    <row r="77" spans="1:15" x14ac:dyDescent="0.35">
      <c r="A77">
        <v>6.3</v>
      </c>
      <c r="B77">
        <v>4.7766999999999999</v>
      </c>
      <c r="C77" s="2">
        <v>42019</v>
      </c>
      <c r="G77">
        <f t="shared" si="7"/>
        <v>14.9</v>
      </c>
      <c r="H77">
        <f t="shared" si="0"/>
        <v>9.1999999999999993</v>
      </c>
      <c r="I77">
        <f t="shared" si="1"/>
        <v>989.99175999999989</v>
      </c>
      <c r="J77">
        <f t="shared" si="8"/>
        <v>4.3887175635000002</v>
      </c>
      <c r="K77">
        <f t="shared" si="2"/>
        <v>10.5112824365</v>
      </c>
      <c r="L77">
        <f t="shared" si="3"/>
        <v>94.183727435797351</v>
      </c>
      <c r="M77">
        <f t="shared" si="4"/>
        <v>446.13863927442543</v>
      </c>
      <c r="N77">
        <f t="shared" si="5"/>
        <v>0.29454480291946311</v>
      </c>
      <c r="O77">
        <f t="shared" si="6"/>
        <v>0.34891201490703233</v>
      </c>
    </row>
    <row r="78" spans="1:15" x14ac:dyDescent="0.35">
      <c r="A78">
        <v>6.4</v>
      </c>
      <c r="B78">
        <v>4.8385999999999996</v>
      </c>
      <c r="C78" s="2">
        <v>42423</v>
      </c>
      <c r="G78">
        <f t="shared" si="7"/>
        <v>14.9</v>
      </c>
      <c r="H78">
        <f t="shared" si="0"/>
        <v>9.1999999999999993</v>
      </c>
      <c r="I78">
        <f t="shared" si="1"/>
        <v>989.99175999999989</v>
      </c>
      <c r="J78">
        <f t="shared" si="8"/>
        <v>4.4468872294999997</v>
      </c>
      <c r="K78">
        <f t="shared" si="2"/>
        <v>10.453112770500001</v>
      </c>
      <c r="L78">
        <f t="shared" si="3"/>
        <v>94.707842700585914</v>
      </c>
      <c r="M78">
        <f t="shared" si="4"/>
        <v>447.93544853638133</v>
      </c>
      <c r="N78">
        <f t="shared" si="5"/>
        <v>0.29844880734899326</v>
      </c>
      <c r="O78">
        <f t="shared" si="6"/>
        <v>0.35446140612076099</v>
      </c>
    </row>
    <row r="79" spans="1:15" x14ac:dyDescent="0.35">
      <c r="A79">
        <v>6.5</v>
      </c>
      <c r="B79">
        <v>4.9694000000000003</v>
      </c>
      <c r="C79" s="2">
        <v>42958</v>
      </c>
      <c r="G79">
        <f t="shared" si="7"/>
        <v>14.9</v>
      </c>
      <c r="H79">
        <f t="shared" ref="H79:H142" si="9">$H$11</f>
        <v>9.1999999999999993</v>
      </c>
      <c r="I79">
        <f t="shared" ref="I79:I142" si="10">(3.14*POWER(H79,2)*0.25*G79)</f>
        <v>989.99175999999989</v>
      </c>
      <c r="J79">
        <f t="shared" si="8"/>
        <v>4.5727473070000002</v>
      </c>
      <c r="K79">
        <f t="shared" ref="K79:K142" si="11">G79-J79</f>
        <v>10.327252693</v>
      </c>
      <c r="L79">
        <f t="shared" ref="L79:L142" si="12">I79/K79</f>
        <v>95.862064135511503</v>
      </c>
      <c r="M79">
        <f t="shared" ref="M79:M142" si="13">C79/L79</f>
        <v>448.12304416139187</v>
      </c>
      <c r="N79">
        <f t="shared" ref="N79:N142" si="14">J79/G79</f>
        <v>0.30689579241610737</v>
      </c>
      <c r="O79">
        <f t="shared" ref="O79:O142" si="15">LN(L79/(3.14*H79^2/4))</f>
        <v>0.36657491940299503</v>
      </c>
    </row>
    <row r="80" spans="1:15" x14ac:dyDescent="0.35">
      <c r="A80">
        <v>6.6</v>
      </c>
      <c r="B80">
        <v>5.0313999999999997</v>
      </c>
      <c r="C80" s="2">
        <v>43245</v>
      </c>
      <c r="G80">
        <f t="shared" ref="G80:G143" si="16">$G$11</f>
        <v>14.9</v>
      </c>
      <c r="H80">
        <f t="shared" si="9"/>
        <v>9.1999999999999993</v>
      </c>
      <c r="I80">
        <f t="shared" si="10"/>
        <v>989.99175999999989</v>
      </c>
      <c r="J80">
        <f t="shared" ref="J80:J143" si="17">B80-C80/(2*10^5/1.8467)</f>
        <v>4.6320972924999992</v>
      </c>
      <c r="K80">
        <f t="shared" si="11"/>
        <v>10.267902707500001</v>
      </c>
      <c r="L80">
        <f t="shared" si="12"/>
        <v>96.416160943644172</v>
      </c>
      <c r="M80">
        <f t="shared" si="13"/>
        <v>448.52439235033393</v>
      </c>
      <c r="N80">
        <f t="shared" si="14"/>
        <v>0.31087901291946302</v>
      </c>
      <c r="O80">
        <f t="shared" si="15"/>
        <v>0.3723384252990582</v>
      </c>
    </row>
    <row r="81" spans="1:15" x14ac:dyDescent="0.35">
      <c r="A81">
        <v>6.7</v>
      </c>
      <c r="B81">
        <v>5.0933999999999999</v>
      </c>
      <c r="C81" s="2">
        <v>43550</v>
      </c>
      <c r="G81">
        <f t="shared" si="16"/>
        <v>14.9</v>
      </c>
      <c r="H81">
        <f t="shared" si="9"/>
        <v>9.1999999999999993</v>
      </c>
      <c r="I81">
        <f t="shared" si="10"/>
        <v>989.99175999999989</v>
      </c>
      <c r="J81">
        <f t="shared" si="17"/>
        <v>4.691281075</v>
      </c>
      <c r="K81">
        <f t="shared" si="11"/>
        <v>10.208718924999999</v>
      </c>
      <c r="L81">
        <f t="shared" si="12"/>
        <v>96.975121685015921</v>
      </c>
      <c r="M81">
        <f t="shared" si="13"/>
        <v>449.08425215958368</v>
      </c>
      <c r="N81">
        <f t="shared" si="14"/>
        <v>0.31485107885906038</v>
      </c>
      <c r="O81">
        <f t="shared" si="15"/>
        <v>0.37811906122308753</v>
      </c>
    </row>
    <row r="82" spans="1:15" x14ac:dyDescent="0.35">
      <c r="A82">
        <v>6.8</v>
      </c>
      <c r="B82">
        <v>5.1555</v>
      </c>
      <c r="C82" s="2">
        <v>43863</v>
      </c>
      <c r="G82">
        <f t="shared" si="16"/>
        <v>14.9</v>
      </c>
      <c r="H82">
        <f t="shared" si="9"/>
        <v>9.1999999999999993</v>
      </c>
      <c r="I82">
        <f t="shared" si="10"/>
        <v>989.99175999999989</v>
      </c>
      <c r="J82">
        <f t="shared" si="17"/>
        <v>4.7504909895000003</v>
      </c>
      <c r="K82">
        <f t="shared" si="11"/>
        <v>10.149509010500001</v>
      </c>
      <c r="L82">
        <f t="shared" si="12"/>
        <v>97.540852367914624</v>
      </c>
      <c r="M82">
        <f t="shared" si="13"/>
        <v>449.68850420286492</v>
      </c>
      <c r="N82">
        <f t="shared" si="14"/>
        <v>0.31882489862416108</v>
      </c>
      <c r="O82">
        <f t="shared" si="15"/>
        <v>0.3839358819833989</v>
      </c>
    </row>
    <row r="83" spans="1:15" x14ac:dyDescent="0.35">
      <c r="A83">
        <v>6.9</v>
      </c>
      <c r="B83">
        <v>5.2176999999999998</v>
      </c>
      <c r="C83" s="2">
        <v>44178</v>
      </c>
      <c r="G83">
        <f t="shared" si="16"/>
        <v>14.9</v>
      </c>
      <c r="H83">
        <f t="shared" si="9"/>
        <v>9.1999999999999993</v>
      </c>
      <c r="I83">
        <f t="shared" si="10"/>
        <v>989.99175999999989</v>
      </c>
      <c r="J83">
        <f t="shared" si="17"/>
        <v>4.809782437</v>
      </c>
      <c r="K83">
        <f t="shared" si="11"/>
        <v>10.090217563</v>
      </c>
      <c r="L83">
        <f t="shared" si="12"/>
        <v>98.114015264667685</v>
      </c>
      <c r="M83">
        <f t="shared" si="13"/>
        <v>450.27206236364435</v>
      </c>
      <c r="N83">
        <f t="shared" si="14"/>
        <v>0.32280419040268454</v>
      </c>
      <c r="O83">
        <f t="shared" si="15"/>
        <v>0.38979481657851628</v>
      </c>
    </row>
    <row r="84" spans="1:15" x14ac:dyDescent="0.35">
      <c r="A84">
        <v>7</v>
      </c>
      <c r="B84">
        <v>5.2819000000000003</v>
      </c>
      <c r="C84" s="2">
        <v>44703</v>
      </c>
      <c r="G84">
        <f t="shared" si="16"/>
        <v>14.9</v>
      </c>
      <c r="H84">
        <f t="shared" si="9"/>
        <v>9.1999999999999993</v>
      </c>
      <c r="I84">
        <f t="shared" si="10"/>
        <v>989.99175999999989</v>
      </c>
      <c r="J84">
        <f t="shared" si="17"/>
        <v>4.8691348495</v>
      </c>
      <c r="K84">
        <f t="shared" si="11"/>
        <v>10.0308651505</v>
      </c>
      <c r="L84">
        <f t="shared" si="12"/>
        <v>98.694553774422189</v>
      </c>
      <c r="M84">
        <f t="shared" si="13"/>
        <v>452.94292633587332</v>
      </c>
      <c r="N84">
        <f t="shared" si="14"/>
        <v>0.32678757379194628</v>
      </c>
      <c r="O84">
        <f t="shared" si="15"/>
        <v>0.39569435841627176</v>
      </c>
    </row>
    <row r="85" spans="1:15" x14ac:dyDescent="0.35">
      <c r="A85">
        <v>7.1</v>
      </c>
      <c r="B85">
        <v>5.3426</v>
      </c>
      <c r="C85" s="2">
        <v>44944</v>
      </c>
      <c r="G85">
        <f t="shared" si="16"/>
        <v>14.9</v>
      </c>
      <c r="H85">
        <f t="shared" si="9"/>
        <v>9.1999999999999993</v>
      </c>
      <c r="I85">
        <f t="shared" si="10"/>
        <v>989.99175999999989</v>
      </c>
      <c r="J85">
        <f t="shared" si="17"/>
        <v>4.927609576</v>
      </c>
      <c r="K85">
        <f t="shared" si="11"/>
        <v>9.9723904240000003</v>
      </c>
      <c r="L85">
        <f t="shared" si="12"/>
        <v>99.273265276241233</v>
      </c>
      <c r="M85">
        <f t="shared" si="13"/>
        <v>452.73014718451401</v>
      </c>
      <c r="N85">
        <f t="shared" si="14"/>
        <v>0.33071205208053689</v>
      </c>
      <c r="O85">
        <f t="shared" si="15"/>
        <v>0.40154089603085064</v>
      </c>
    </row>
    <row r="86" spans="1:15" x14ac:dyDescent="0.35">
      <c r="A86">
        <v>7.2</v>
      </c>
      <c r="B86">
        <v>5.4043999999999999</v>
      </c>
      <c r="C86" s="2">
        <v>45156</v>
      </c>
      <c r="G86">
        <f t="shared" si="16"/>
        <v>14.9</v>
      </c>
      <c r="H86">
        <f t="shared" si="9"/>
        <v>9.1999999999999993</v>
      </c>
      <c r="I86">
        <f t="shared" si="10"/>
        <v>989.99175999999989</v>
      </c>
      <c r="J86">
        <f t="shared" si="17"/>
        <v>4.9874520740000001</v>
      </c>
      <c r="K86">
        <f t="shared" si="11"/>
        <v>9.9125479260000002</v>
      </c>
      <c r="L86">
        <f t="shared" si="12"/>
        <v>99.872582447073242</v>
      </c>
      <c r="M86">
        <f t="shared" si="13"/>
        <v>452.1361007554811</v>
      </c>
      <c r="N86">
        <f t="shared" si="14"/>
        <v>0.33472832711409395</v>
      </c>
      <c r="O86">
        <f t="shared" si="15"/>
        <v>0.40755979109671275</v>
      </c>
    </row>
    <row r="87" spans="1:15" x14ac:dyDescent="0.35">
      <c r="A87">
        <v>7.3</v>
      </c>
      <c r="B87">
        <v>5.4653</v>
      </c>
      <c r="C87" s="2">
        <v>45639</v>
      </c>
      <c r="G87">
        <f t="shared" si="16"/>
        <v>14.9</v>
      </c>
      <c r="H87">
        <f t="shared" si="9"/>
        <v>9.1999999999999993</v>
      </c>
      <c r="I87">
        <f t="shared" si="10"/>
        <v>989.99175999999989</v>
      </c>
      <c r="J87">
        <f t="shared" si="17"/>
        <v>5.0438922934999999</v>
      </c>
      <c r="K87">
        <f t="shared" si="11"/>
        <v>9.8561077065000013</v>
      </c>
      <c r="L87">
        <f t="shared" si="12"/>
        <v>100.44449487368229</v>
      </c>
      <c r="M87">
        <f t="shared" si="13"/>
        <v>454.37034709960983</v>
      </c>
      <c r="N87">
        <f t="shared" si="14"/>
        <v>0.33851626130872481</v>
      </c>
      <c r="O87">
        <f t="shared" si="15"/>
        <v>0.4132698782065668</v>
      </c>
    </row>
    <row r="88" spans="1:15" x14ac:dyDescent="0.35">
      <c r="A88">
        <v>7.4</v>
      </c>
      <c r="B88">
        <v>5.5275999999999996</v>
      </c>
      <c r="C88" s="2">
        <v>45763</v>
      </c>
      <c r="G88">
        <f t="shared" si="16"/>
        <v>14.9</v>
      </c>
      <c r="H88">
        <f t="shared" si="9"/>
        <v>9.1999999999999993</v>
      </c>
      <c r="I88">
        <f t="shared" si="10"/>
        <v>989.99175999999989</v>
      </c>
      <c r="J88">
        <f t="shared" si="17"/>
        <v>5.1050473394999996</v>
      </c>
      <c r="K88">
        <f t="shared" si="11"/>
        <v>9.7949526605000017</v>
      </c>
      <c r="L88">
        <f t="shared" si="12"/>
        <v>101.07162273405658</v>
      </c>
      <c r="M88">
        <f t="shared" si="13"/>
        <v>452.77792878039878</v>
      </c>
      <c r="N88">
        <f t="shared" si="14"/>
        <v>0.3426206268120805</v>
      </c>
      <c r="O88">
        <f t="shared" si="15"/>
        <v>0.41949399459364295</v>
      </c>
    </row>
    <row r="89" spans="1:15" x14ac:dyDescent="0.35">
      <c r="A89">
        <v>7.5</v>
      </c>
      <c r="B89">
        <v>5.5883000000000003</v>
      </c>
      <c r="C89" s="2">
        <v>46218</v>
      </c>
      <c r="G89">
        <f t="shared" si="16"/>
        <v>14.9</v>
      </c>
      <c r="H89">
        <f t="shared" si="9"/>
        <v>9.1999999999999993</v>
      </c>
      <c r="I89">
        <f t="shared" si="10"/>
        <v>989.99175999999989</v>
      </c>
      <c r="J89">
        <f t="shared" si="17"/>
        <v>5.1615460970000004</v>
      </c>
      <c r="K89">
        <f t="shared" si="11"/>
        <v>9.7384539029999999</v>
      </c>
      <c r="L89">
        <f t="shared" si="12"/>
        <v>101.65800134814273</v>
      </c>
      <c r="M89">
        <f t="shared" si="13"/>
        <v>454.64202902946795</v>
      </c>
      <c r="N89">
        <f t="shared" si="14"/>
        <v>0.34641248973154365</v>
      </c>
      <c r="O89">
        <f t="shared" si="15"/>
        <v>0.42527884475531447</v>
      </c>
    </row>
    <row r="90" spans="1:15" x14ac:dyDescent="0.35">
      <c r="A90">
        <v>7.6</v>
      </c>
      <c r="B90">
        <v>5.6490999999999998</v>
      </c>
      <c r="C90" s="2">
        <v>46430</v>
      </c>
      <c r="G90">
        <f t="shared" si="16"/>
        <v>14.9</v>
      </c>
      <c r="H90">
        <f t="shared" si="9"/>
        <v>9.1999999999999993</v>
      </c>
      <c r="I90">
        <f t="shared" si="10"/>
        <v>989.99175999999989</v>
      </c>
      <c r="J90">
        <f t="shared" si="17"/>
        <v>5.2203885950000002</v>
      </c>
      <c r="K90">
        <f t="shared" si="11"/>
        <v>9.6796114049999993</v>
      </c>
      <c r="L90">
        <f t="shared" si="12"/>
        <v>102.27598181148264</v>
      </c>
      <c r="M90">
        <f t="shared" si="13"/>
        <v>453.96777598850929</v>
      </c>
      <c r="N90">
        <f t="shared" si="14"/>
        <v>0.35036165067114095</v>
      </c>
      <c r="O90">
        <f t="shared" si="15"/>
        <v>0.43133945658029454</v>
      </c>
    </row>
    <row r="91" spans="1:15" x14ac:dyDescent="0.35">
      <c r="A91">
        <v>7.7</v>
      </c>
      <c r="B91">
        <v>5.7111000000000001</v>
      </c>
      <c r="C91" s="2">
        <v>46847</v>
      </c>
      <c r="G91">
        <f t="shared" si="16"/>
        <v>14.9</v>
      </c>
      <c r="H91">
        <f t="shared" si="9"/>
        <v>9.1999999999999993</v>
      </c>
      <c r="I91">
        <f t="shared" si="10"/>
        <v>989.99175999999989</v>
      </c>
      <c r="J91">
        <f t="shared" si="17"/>
        <v>5.2785382255000002</v>
      </c>
      <c r="K91">
        <f t="shared" si="11"/>
        <v>9.6214617745000002</v>
      </c>
      <c r="L91">
        <f t="shared" si="12"/>
        <v>102.89411143572796</v>
      </c>
      <c r="M91">
        <f t="shared" si="13"/>
        <v>455.2933044109393</v>
      </c>
      <c r="N91">
        <f t="shared" si="14"/>
        <v>0.35426431043624163</v>
      </c>
      <c r="O91">
        <f t="shared" si="15"/>
        <v>0.43736500820604851</v>
      </c>
    </row>
    <row r="92" spans="1:15" x14ac:dyDescent="0.35">
      <c r="A92">
        <v>7.8</v>
      </c>
      <c r="B92">
        <v>5.7752999999999997</v>
      </c>
      <c r="C92" s="2">
        <v>47263</v>
      </c>
      <c r="G92">
        <f t="shared" si="16"/>
        <v>14.9</v>
      </c>
      <c r="H92">
        <f t="shared" si="9"/>
        <v>9.1999999999999993</v>
      </c>
      <c r="I92">
        <f t="shared" si="10"/>
        <v>989.99175999999989</v>
      </c>
      <c r="J92">
        <f t="shared" si="17"/>
        <v>5.3388970894999996</v>
      </c>
      <c r="K92">
        <f t="shared" si="11"/>
        <v>9.5611029105000007</v>
      </c>
      <c r="L92">
        <f t="shared" si="12"/>
        <v>103.54367788603041</v>
      </c>
      <c r="M92">
        <f t="shared" si="13"/>
        <v>456.45471519779272</v>
      </c>
      <c r="N92">
        <f t="shared" si="14"/>
        <v>0.35831524090604022</v>
      </c>
      <c r="O92">
        <f t="shared" si="15"/>
        <v>0.44365812533527493</v>
      </c>
    </row>
    <row r="93" spans="1:15" x14ac:dyDescent="0.35">
      <c r="A93">
        <v>7.9</v>
      </c>
      <c r="B93">
        <v>5.8361000000000001</v>
      </c>
      <c r="C93" s="2">
        <v>47566</v>
      </c>
      <c r="G93">
        <f t="shared" si="16"/>
        <v>14.9</v>
      </c>
      <c r="H93">
        <f t="shared" si="9"/>
        <v>9.1999999999999993</v>
      </c>
      <c r="I93">
        <f t="shared" si="10"/>
        <v>989.99175999999989</v>
      </c>
      <c r="J93">
        <f t="shared" si="17"/>
        <v>5.396899339</v>
      </c>
      <c r="K93">
        <f t="shared" si="11"/>
        <v>9.5031006610000013</v>
      </c>
      <c r="L93">
        <f t="shared" si="12"/>
        <v>104.17565753700268</v>
      </c>
      <c r="M93">
        <f t="shared" si="13"/>
        <v>456.59419028005453</v>
      </c>
      <c r="N93">
        <f t="shared" si="14"/>
        <v>0.36220800932885905</v>
      </c>
      <c r="O93">
        <f t="shared" si="15"/>
        <v>0.4497430822286147</v>
      </c>
    </row>
    <row r="94" spans="1:15" x14ac:dyDescent="0.35">
      <c r="A94">
        <v>8</v>
      </c>
      <c r="B94">
        <v>5.8967000000000001</v>
      </c>
      <c r="C94" s="2">
        <v>47868</v>
      </c>
      <c r="G94">
        <f t="shared" si="16"/>
        <v>14.9</v>
      </c>
      <c r="H94">
        <f t="shared" si="9"/>
        <v>9.1999999999999993</v>
      </c>
      <c r="I94">
        <f t="shared" si="10"/>
        <v>989.99175999999989</v>
      </c>
      <c r="J94">
        <f t="shared" si="17"/>
        <v>5.454710822</v>
      </c>
      <c r="K94">
        <f t="shared" si="11"/>
        <v>9.4452891779999995</v>
      </c>
      <c r="L94">
        <f t="shared" si="12"/>
        <v>104.81328219213152</v>
      </c>
      <c r="M94">
        <f t="shared" si="13"/>
        <v>456.69784400276626</v>
      </c>
      <c r="N94">
        <f t="shared" si="14"/>
        <v>0.36608797463087245</v>
      </c>
      <c r="O94">
        <f t="shared" si="15"/>
        <v>0.45584509542057672</v>
      </c>
    </row>
    <row r="95" spans="1:15" x14ac:dyDescent="0.35">
      <c r="A95">
        <v>8.1</v>
      </c>
      <c r="B95">
        <v>5.9562999999999997</v>
      </c>
      <c r="C95" s="2">
        <v>48142</v>
      </c>
      <c r="G95">
        <f t="shared" si="16"/>
        <v>14.9</v>
      </c>
      <c r="H95">
        <f t="shared" si="9"/>
        <v>9.1999999999999993</v>
      </c>
      <c r="I95">
        <f t="shared" si="10"/>
        <v>989.99175999999989</v>
      </c>
      <c r="J95">
        <f t="shared" si="17"/>
        <v>5.5117808429999995</v>
      </c>
      <c r="K95">
        <f t="shared" si="11"/>
        <v>9.3882191570000018</v>
      </c>
      <c r="L95">
        <f t="shared" si="12"/>
        <v>105.45043138046545</v>
      </c>
      <c r="M95">
        <f t="shared" si="13"/>
        <v>456.53677628215223</v>
      </c>
      <c r="N95">
        <f t="shared" si="14"/>
        <v>0.36991817738255028</v>
      </c>
      <c r="O95">
        <f t="shared" si="15"/>
        <v>0.46190559085931288</v>
      </c>
    </row>
    <row r="96" spans="1:15" x14ac:dyDescent="0.35">
      <c r="A96">
        <v>8.1999999999999993</v>
      </c>
      <c r="B96">
        <v>6.0185000000000004</v>
      </c>
      <c r="C96" s="2">
        <v>48564</v>
      </c>
      <c r="G96">
        <f t="shared" si="16"/>
        <v>14.9</v>
      </c>
      <c r="H96">
        <f t="shared" si="9"/>
        <v>9.1999999999999993</v>
      </c>
      <c r="I96">
        <f t="shared" si="10"/>
        <v>989.99175999999989</v>
      </c>
      <c r="J96">
        <f t="shared" si="17"/>
        <v>5.570084306</v>
      </c>
      <c r="K96">
        <f t="shared" si="11"/>
        <v>9.3299156940000003</v>
      </c>
      <c r="L96">
        <f t="shared" si="12"/>
        <v>106.1094003921875</v>
      </c>
      <c r="M96">
        <f t="shared" si="13"/>
        <v>457.6785828635746</v>
      </c>
      <c r="N96">
        <f t="shared" si="14"/>
        <v>0.37383116147651008</v>
      </c>
      <c r="O96">
        <f t="shared" si="15"/>
        <v>0.46813523414584779</v>
      </c>
    </row>
    <row r="97" spans="1:15" x14ac:dyDescent="0.35">
      <c r="A97">
        <v>8.3000000000000007</v>
      </c>
      <c r="B97">
        <v>6.0778999999999996</v>
      </c>
      <c r="C97" s="2">
        <v>48845</v>
      </c>
      <c r="G97">
        <f t="shared" si="16"/>
        <v>14.9</v>
      </c>
      <c r="H97">
        <f t="shared" si="9"/>
        <v>9.1999999999999993</v>
      </c>
      <c r="I97">
        <f t="shared" si="10"/>
        <v>989.99175999999989</v>
      </c>
      <c r="J97">
        <f t="shared" si="17"/>
        <v>5.6268896924999998</v>
      </c>
      <c r="K97">
        <f t="shared" si="11"/>
        <v>9.2731103075000014</v>
      </c>
      <c r="L97">
        <f t="shared" si="12"/>
        <v>106.75940727236946</v>
      </c>
      <c r="M97">
        <f t="shared" si="13"/>
        <v>457.52408380635171</v>
      </c>
      <c r="N97">
        <f t="shared" si="14"/>
        <v>0.37764360352348991</v>
      </c>
      <c r="O97">
        <f t="shared" si="15"/>
        <v>0.47424236564708244</v>
      </c>
    </row>
    <row r="98" spans="1:15" x14ac:dyDescent="0.35">
      <c r="A98">
        <v>8.4</v>
      </c>
      <c r="B98">
        <v>6.1372</v>
      </c>
      <c r="C98" s="2">
        <v>49175</v>
      </c>
      <c r="G98">
        <f t="shared" si="16"/>
        <v>14.9</v>
      </c>
      <c r="H98">
        <f t="shared" si="9"/>
        <v>9.1999999999999993</v>
      </c>
      <c r="I98">
        <f t="shared" si="10"/>
        <v>989.99175999999989</v>
      </c>
      <c r="J98">
        <f t="shared" si="17"/>
        <v>5.6831426374999996</v>
      </c>
      <c r="K98">
        <f t="shared" si="11"/>
        <v>9.2168573625000008</v>
      </c>
      <c r="L98">
        <f t="shared" si="12"/>
        <v>107.41098848159589</v>
      </c>
      <c r="M98">
        <f t="shared" si="13"/>
        <v>457.82094267222749</v>
      </c>
      <c r="N98">
        <f t="shared" si="14"/>
        <v>0.38141896895973149</v>
      </c>
      <c r="O98">
        <f t="shared" si="15"/>
        <v>0.48032708353972381</v>
      </c>
    </row>
    <row r="99" spans="1:15" x14ac:dyDescent="0.35">
      <c r="A99">
        <v>8.5</v>
      </c>
      <c r="B99">
        <v>6.1978999999999997</v>
      </c>
      <c r="C99" s="2">
        <v>49501</v>
      </c>
      <c r="G99">
        <f t="shared" si="16"/>
        <v>14.9</v>
      </c>
      <c r="H99">
        <f t="shared" si="9"/>
        <v>9.1999999999999993</v>
      </c>
      <c r="I99">
        <f t="shared" si="10"/>
        <v>989.99175999999989</v>
      </c>
      <c r="J99">
        <f t="shared" si="17"/>
        <v>5.7408325164999994</v>
      </c>
      <c r="K99">
        <f t="shared" si="11"/>
        <v>9.159167483500001</v>
      </c>
      <c r="L99">
        <f t="shared" si="12"/>
        <v>108.08752670845293</v>
      </c>
      <c r="M99">
        <f t="shared" si="13"/>
        <v>457.97143766199991</v>
      </c>
      <c r="N99">
        <f t="shared" si="14"/>
        <v>0.38529077291946301</v>
      </c>
      <c r="O99">
        <f t="shared" si="15"/>
        <v>0.48660592447655071</v>
      </c>
    </row>
    <row r="100" spans="1:15" x14ac:dyDescent="0.35">
      <c r="A100">
        <v>8.6</v>
      </c>
      <c r="B100">
        <v>6.2622999999999998</v>
      </c>
      <c r="C100" s="2">
        <v>49870</v>
      </c>
      <c r="G100">
        <f t="shared" si="16"/>
        <v>14.9</v>
      </c>
      <c r="H100">
        <f t="shared" si="9"/>
        <v>9.1999999999999993</v>
      </c>
      <c r="I100">
        <f t="shared" si="10"/>
        <v>989.99175999999989</v>
      </c>
      <c r="J100">
        <f t="shared" si="17"/>
        <v>5.8018253550000001</v>
      </c>
      <c r="K100">
        <f t="shared" si="11"/>
        <v>9.0981746450000003</v>
      </c>
      <c r="L100">
        <f t="shared" si="12"/>
        <v>108.81212975440744</v>
      </c>
      <c r="M100">
        <f t="shared" si="13"/>
        <v>458.31287479215996</v>
      </c>
      <c r="N100">
        <f t="shared" si="14"/>
        <v>0.3893842520134228</v>
      </c>
      <c r="O100">
        <f t="shared" si="15"/>
        <v>0.49328740801070359</v>
      </c>
    </row>
    <row r="101" spans="1:15" x14ac:dyDescent="0.35">
      <c r="A101">
        <v>8.6999999999999993</v>
      </c>
      <c r="B101">
        <v>6.3205999999999998</v>
      </c>
      <c r="C101" s="2">
        <v>50202</v>
      </c>
      <c r="G101">
        <f t="shared" si="16"/>
        <v>14.9</v>
      </c>
      <c r="H101">
        <f t="shared" si="9"/>
        <v>9.1999999999999993</v>
      </c>
      <c r="I101">
        <f t="shared" si="10"/>
        <v>989.99175999999989</v>
      </c>
      <c r="J101">
        <f t="shared" si="17"/>
        <v>5.8570598330000001</v>
      </c>
      <c r="K101">
        <f t="shared" si="11"/>
        <v>9.0429401670000011</v>
      </c>
      <c r="L101">
        <f t="shared" si="12"/>
        <v>109.47675664301448</v>
      </c>
      <c r="M101">
        <f t="shared" si="13"/>
        <v>458.56309174102029</v>
      </c>
      <c r="N101">
        <f t="shared" si="14"/>
        <v>0.39309126395973154</v>
      </c>
      <c r="O101">
        <f t="shared" si="15"/>
        <v>0.49937685171390878</v>
      </c>
    </row>
    <row r="102" spans="1:15" x14ac:dyDescent="0.35">
      <c r="A102">
        <v>8.8000000000000007</v>
      </c>
      <c r="B102">
        <v>6.3811999999999998</v>
      </c>
      <c r="C102" s="2">
        <v>50539</v>
      </c>
      <c r="G102">
        <f t="shared" si="16"/>
        <v>14.9</v>
      </c>
      <c r="H102">
        <f t="shared" si="9"/>
        <v>9.1999999999999993</v>
      </c>
      <c r="I102">
        <f t="shared" si="10"/>
        <v>989.99175999999989</v>
      </c>
      <c r="J102">
        <f t="shared" si="17"/>
        <v>5.9145481434999994</v>
      </c>
      <c r="K102">
        <f t="shared" si="11"/>
        <v>8.985451856500001</v>
      </c>
      <c r="L102">
        <f t="shared" si="12"/>
        <v>110.17718149408904</v>
      </c>
      <c r="M102">
        <f t="shared" si="13"/>
        <v>458.70659708890264</v>
      </c>
      <c r="N102">
        <f t="shared" si="14"/>
        <v>0.3969495398322147</v>
      </c>
      <c r="O102">
        <f t="shared" si="15"/>
        <v>0.50575440388579329</v>
      </c>
    </row>
    <row r="103" spans="1:15" x14ac:dyDescent="0.35">
      <c r="A103">
        <v>8.9</v>
      </c>
      <c r="B103">
        <v>6.4431000000000003</v>
      </c>
      <c r="C103" s="2">
        <v>50842</v>
      </c>
      <c r="G103">
        <f t="shared" si="16"/>
        <v>14.9</v>
      </c>
      <c r="H103">
        <f t="shared" si="9"/>
        <v>9.1999999999999993</v>
      </c>
      <c r="I103">
        <f t="shared" si="10"/>
        <v>989.99175999999989</v>
      </c>
      <c r="J103">
        <f t="shared" si="17"/>
        <v>5.9736503930000007</v>
      </c>
      <c r="K103">
        <f t="shared" si="11"/>
        <v>8.9263496069999988</v>
      </c>
      <c r="L103">
        <f t="shared" si="12"/>
        <v>110.90667558255318</v>
      </c>
      <c r="M103">
        <f t="shared" si="13"/>
        <v>458.42145869890271</v>
      </c>
      <c r="N103">
        <f t="shared" si="14"/>
        <v>0.4009161337583893</v>
      </c>
      <c r="O103">
        <f t="shared" si="15"/>
        <v>0.51235368024718064</v>
      </c>
    </row>
    <row r="104" spans="1:15" x14ac:dyDescent="0.35">
      <c r="A104">
        <v>9</v>
      </c>
      <c r="B104">
        <v>6.5041000000000002</v>
      </c>
      <c r="C104" s="2">
        <v>51203</v>
      </c>
      <c r="G104">
        <f t="shared" si="16"/>
        <v>14.9</v>
      </c>
      <c r="H104">
        <f t="shared" si="9"/>
        <v>9.1999999999999993</v>
      </c>
      <c r="I104">
        <f t="shared" si="10"/>
        <v>989.99175999999989</v>
      </c>
      <c r="J104">
        <f t="shared" si="17"/>
        <v>6.0313170994999998</v>
      </c>
      <c r="K104">
        <f t="shared" si="11"/>
        <v>8.8686829005000014</v>
      </c>
      <c r="L104">
        <f t="shared" si="12"/>
        <v>111.62782242943716</v>
      </c>
      <c r="M104">
        <f t="shared" si="13"/>
        <v>458.69388908277546</v>
      </c>
      <c r="N104">
        <f t="shared" si="14"/>
        <v>0.40478638251677851</v>
      </c>
      <c r="O104">
        <f t="shared" si="15"/>
        <v>0.5188349168889137</v>
      </c>
    </row>
    <row r="105" spans="1:15" x14ac:dyDescent="0.35">
      <c r="A105">
        <v>9.1</v>
      </c>
      <c r="B105">
        <v>6.5648999999999997</v>
      </c>
      <c r="C105" s="2">
        <v>51537</v>
      </c>
      <c r="G105">
        <f t="shared" si="16"/>
        <v>14.9</v>
      </c>
      <c r="H105">
        <f t="shared" si="9"/>
        <v>9.1999999999999993</v>
      </c>
      <c r="I105">
        <f t="shared" si="10"/>
        <v>989.99175999999989</v>
      </c>
      <c r="J105">
        <f t="shared" si="17"/>
        <v>6.0890331105</v>
      </c>
      <c r="K105">
        <f t="shared" si="11"/>
        <v>8.8109668895000013</v>
      </c>
      <c r="L105">
        <f t="shared" si="12"/>
        <v>112.35903759663081</v>
      </c>
      <c r="M105">
        <f t="shared" si="13"/>
        <v>458.68139405944311</v>
      </c>
      <c r="N105">
        <f t="shared" si="14"/>
        <v>0.40865994030201341</v>
      </c>
      <c r="O105">
        <f t="shared" si="15"/>
        <v>0.52536402993337517</v>
      </c>
    </row>
    <row r="106" spans="1:15" x14ac:dyDescent="0.35">
      <c r="A106">
        <v>9.1999999999999993</v>
      </c>
      <c r="B106">
        <v>6.6871999999999998</v>
      </c>
      <c r="C106" s="2">
        <v>52339</v>
      </c>
      <c r="G106">
        <f t="shared" si="16"/>
        <v>14.9</v>
      </c>
      <c r="H106">
        <f t="shared" si="9"/>
        <v>9.1999999999999993</v>
      </c>
      <c r="I106">
        <f t="shared" si="10"/>
        <v>989.99175999999989</v>
      </c>
      <c r="J106">
        <f t="shared" si="17"/>
        <v>6.2039278434999998</v>
      </c>
      <c r="K106">
        <f t="shared" si="11"/>
        <v>8.6960721565000014</v>
      </c>
      <c r="L106">
        <f t="shared" si="12"/>
        <v>113.84355398431424</v>
      </c>
      <c r="M106">
        <f t="shared" si="13"/>
        <v>459.74495848233488</v>
      </c>
      <c r="N106">
        <f t="shared" si="14"/>
        <v>0.41637099620805368</v>
      </c>
      <c r="O106">
        <f t="shared" si="15"/>
        <v>0.53848976550133698</v>
      </c>
    </row>
    <row r="107" spans="1:15" x14ac:dyDescent="0.35">
      <c r="A107">
        <v>9.3000000000000007</v>
      </c>
      <c r="B107">
        <v>6.7512999999999996</v>
      </c>
      <c r="C107" s="2">
        <v>52686</v>
      </c>
      <c r="G107">
        <f t="shared" si="16"/>
        <v>14.9</v>
      </c>
      <c r="H107">
        <f t="shared" si="9"/>
        <v>9.1999999999999993</v>
      </c>
      <c r="I107">
        <f t="shared" si="10"/>
        <v>989.99175999999989</v>
      </c>
      <c r="J107">
        <f t="shared" si="17"/>
        <v>6.2648238190000001</v>
      </c>
      <c r="K107">
        <f t="shared" si="11"/>
        <v>8.6351761810000003</v>
      </c>
      <c r="L107">
        <f t="shared" si="12"/>
        <v>114.64638812793203</v>
      </c>
      <c r="M107">
        <f t="shared" si="13"/>
        <v>459.55220099222453</v>
      </c>
      <c r="N107">
        <f t="shared" si="14"/>
        <v>0.4204579744295302</v>
      </c>
      <c r="O107">
        <f t="shared" si="15"/>
        <v>0.5455170984341029</v>
      </c>
    </row>
    <row r="108" spans="1:15" x14ac:dyDescent="0.35">
      <c r="A108">
        <v>9.4</v>
      </c>
      <c r="B108">
        <v>6.8132000000000001</v>
      </c>
      <c r="C108" s="2">
        <v>53091</v>
      </c>
      <c r="G108">
        <f t="shared" si="16"/>
        <v>14.9</v>
      </c>
      <c r="H108">
        <f t="shared" si="9"/>
        <v>9.1999999999999993</v>
      </c>
      <c r="I108">
        <f t="shared" si="10"/>
        <v>989.99175999999989</v>
      </c>
      <c r="J108">
        <f t="shared" si="17"/>
        <v>6.3229842515000003</v>
      </c>
      <c r="K108">
        <f t="shared" si="11"/>
        <v>8.5770157484999991</v>
      </c>
      <c r="L108">
        <f t="shared" si="12"/>
        <v>115.42380112490008</v>
      </c>
      <c r="M108">
        <f t="shared" si="13"/>
        <v>459.96579113306308</v>
      </c>
      <c r="N108">
        <f t="shared" si="14"/>
        <v>0.42436135916107381</v>
      </c>
      <c r="O108">
        <f t="shared" si="15"/>
        <v>0.55227517481330024</v>
      </c>
    </row>
    <row r="109" spans="1:15" x14ac:dyDescent="0.35">
      <c r="A109">
        <v>9.5</v>
      </c>
      <c r="B109">
        <v>6.8750999999999998</v>
      </c>
      <c r="C109" s="2">
        <v>53480</v>
      </c>
      <c r="G109">
        <f t="shared" si="16"/>
        <v>14.9</v>
      </c>
      <c r="H109">
        <f t="shared" si="9"/>
        <v>9.1999999999999993</v>
      </c>
      <c r="I109">
        <f t="shared" si="10"/>
        <v>989.99175999999989</v>
      </c>
      <c r="J109">
        <f t="shared" si="17"/>
        <v>6.3812924199999994</v>
      </c>
      <c r="K109">
        <f t="shared" si="11"/>
        <v>8.5187075800000009</v>
      </c>
      <c r="L109">
        <f t="shared" si="12"/>
        <v>116.21384472971894</v>
      </c>
      <c r="M109">
        <f t="shared" si="13"/>
        <v>460.18613465873705</v>
      </c>
      <c r="N109">
        <f t="shared" si="14"/>
        <v>0.42827465906040263</v>
      </c>
      <c r="O109">
        <f t="shared" si="15"/>
        <v>0.55909657610492103</v>
      </c>
    </row>
    <row r="110" spans="1:15" x14ac:dyDescent="0.35">
      <c r="A110">
        <v>9.6</v>
      </c>
      <c r="B110">
        <v>6.9371</v>
      </c>
      <c r="C110" s="2">
        <v>53880</v>
      </c>
      <c r="G110">
        <f t="shared" si="16"/>
        <v>14.9</v>
      </c>
      <c r="H110">
        <f t="shared" si="9"/>
        <v>9.1999999999999993</v>
      </c>
      <c r="I110">
        <f t="shared" si="10"/>
        <v>989.99175999999989</v>
      </c>
      <c r="J110">
        <f t="shared" si="17"/>
        <v>6.4395990200000002</v>
      </c>
      <c r="K110">
        <f t="shared" si="11"/>
        <v>8.4604009799999993</v>
      </c>
      <c r="L110">
        <f t="shared" si="12"/>
        <v>117.01475643297464</v>
      </c>
      <c r="M110">
        <f t="shared" si="13"/>
        <v>460.45474641364694</v>
      </c>
      <c r="N110">
        <f t="shared" si="14"/>
        <v>0.43218785369127516</v>
      </c>
      <c r="O110">
        <f t="shared" si="15"/>
        <v>0.56596464329337104</v>
      </c>
    </row>
    <row r="111" spans="1:15" x14ac:dyDescent="0.35">
      <c r="A111">
        <v>9.6999999999999993</v>
      </c>
      <c r="B111">
        <v>6.9995000000000003</v>
      </c>
      <c r="C111" s="2">
        <v>54287</v>
      </c>
      <c r="G111">
        <f t="shared" si="16"/>
        <v>14.9</v>
      </c>
      <c r="H111">
        <f t="shared" si="9"/>
        <v>9.1999999999999993</v>
      </c>
      <c r="I111">
        <f t="shared" si="10"/>
        <v>989.99175999999989</v>
      </c>
      <c r="J111">
        <f t="shared" si="17"/>
        <v>6.4982409855000007</v>
      </c>
      <c r="K111">
        <f t="shared" si="11"/>
        <v>8.4017590144999996</v>
      </c>
      <c r="L111">
        <f t="shared" si="12"/>
        <v>117.83148722683468</v>
      </c>
      <c r="M111">
        <f t="shared" si="13"/>
        <v>460.71726053574582</v>
      </c>
      <c r="N111">
        <f t="shared" si="14"/>
        <v>0.43612355607382552</v>
      </c>
      <c r="O111">
        <f t="shared" si="15"/>
        <v>0.57292012253652846</v>
      </c>
    </row>
    <row r="112" spans="1:15" x14ac:dyDescent="0.35">
      <c r="A112">
        <v>9.8000000000000007</v>
      </c>
      <c r="B112">
        <v>7.0613999999999999</v>
      </c>
      <c r="C112" s="2">
        <v>54714</v>
      </c>
      <c r="G112">
        <f t="shared" si="16"/>
        <v>14.9</v>
      </c>
      <c r="H112">
        <f t="shared" si="9"/>
        <v>9.1999999999999993</v>
      </c>
      <c r="I112">
        <f t="shared" si="10"/>
        <v>989.99175999999989</v>
      </c>
      <c r="J112">
        <f t="shared" si="17"/>
        <v>6.5561982810000003</v>
      </c>
      <c r="K112">
        <f t="shared" si="11"/>
        <v>8.343801719</v>
      </c>
      <c r="L112">
        <f t="shared" si="12"/>
        <v>118.64996237214633</v>
      </c>
      <c r="M112">
        <f t="shared" si="13"/>
        <v>461.13794649499511</v>
      </c>
      <c r="N112">
        <f t="shared" si="14"/>
        <v>0.44001330744966444</v>
      </c>
      <c r="O112">
        <f t="shared" si="15"/>
        <v>0.57984225883826612</v>
      </c>
    </row>
    <row r="113" spans="1:15" x14ac:dyDescent="0.35">
      <c r="A113">
        <v>9.9</v>
      </c>
      <c r="B113">
        <v>7.1231</v>
      </c>
      <c r="C113" s="2">
        <v>55149</v>
      </c>
      <c r="G113">
        <f t="shared" si="16"/>
        <v>14.9</v>
      </c>
      <c r="H113">
        <f t="shared" si="9"/>
        <v>9.1999999999999993</v>
      </c>
      <c r="I113">
        <f t="shared" si="10"/>
        <v>989.99175999999989</v>
      </c>
      <c r="J113">
        <f t="shared" si="17"/>
        <v>6.6138817085000001</v>
      </c>
      <c r="K113">
        <f t="shared" si="11"/>
        <v>8.2861182914999993</v>
      </c>
      <c r="L113">
        <f t="shared" si="12"/>
        <v>119.47593857253347</v>
      </c>
      <c r="M113">
        <f t="shared" si="13"/>
        <v>461.59084966316641</v>
      </c>
      <c r="N113">
        <f t="shared" si="14"/>
        <v>0.44388467842281881</v>
      </c>
      <c r="O113">
        <f t="shared" si="15"/>
        <v>0.58677959333003893</v>
      </c>
    </row>
    <row r="114" spans="1:15" x14ac:dyDescent="0.35">
      <c r="A114">
        <v>10</v>
      </c>
      <c r="B114">
        <v>7.1851000000000003</v>
      </c>
      <c r="C114" s="2">
        <v>55572</v>
      </c>
      <c r="G114">
        <f t="shared" si="16"/>
        <v>14.9</v>
      </c>
      <c r="H114">
        <f t="shared" si="9"/>
        <v>9.1999999999999993</v>
      </c>
      <c r="I114">
        <f t="shared" si="10"/>
        <v>989.99175999999989</v>
      </c>
      <c r="J114">
        <f t="shared" si="17"/>
        <v>6.6719759380000001</v>
      </c>
      <c r="K114">
        <f t="shared" si="11"/>
        <v>8.2280240619999994</v>
      </c>
      <c r="L114">
        <f t="shared" si="12"/>
        <v>120.319502293648</v>
      </c>
      <c r="M114">
        <f t="shared" si="13"/>
        <v>461.87026160042387</v>
      </c>
      <c r="N114">
        <f t="shared" si="14"/>
        <v>0.44778361999999999</v>
      </c>
      <c r="O114">
        <f t="shared" si="15"/>
        <v>0.59381531676050636</v>
      </c>
    </row>
    <row r="115" spans="1:15" x14ac:dyDescent="0.35">
      <c r="A115">
        <v>10.1</v>
      </c>
      <c r="B115">
        <v>7.2491000000000003</v>
      </c>
      <c r="C115" s="2">
        <v>56055</v>
      </c>
      <c r="G115">
        <f t="shared" si="16"/>
        <v>14.9</v>
      </c>
      <c r="H115">
        <f t="shared" si="9"/>
        <v>9.1999999999999993</v>
      </c>
      <c r="I115">
        <f t="shared" si="10"/>
        <v>989.99175999999989</v>
      </c>
      <c r="J115">
        <f t="shared" si="17"/>
        <v>6.7315161575000007</v>
      </c>
      <c r="K115">
        <f t="shared" si="11"/>
        <v>8.1684838424999988</v>
      </c>
      <c r="L115">
        <f t="shared" si="12"/>
        <v>121.19651321939921</v>
      </c>
      <c r="M115">
        <f t="shared" si="13"/>
        <v>462.51330596058443</v>
      </c>
      <c r="N115">
        <f t="shared" si="14"/>
        <v>0.4517796078859061</v>
      </c>
      <c r="O115">
        <f t="shared" si="15"/>
        <v>0.60107789749428497</v>
      </c>
    </row>
    <row r="116" spans="1:15" x14ac:dyDescent="0.35">
      <c r="A116">
        <v>10.199999999999999</v>
      </c>
      <c r="B116">
        <v>7.3110999999999997</v>
      </c>
      <c r="C116" s="2">
        <v>56479</v>
      </c>
      <c r="G116">
        <f t="shared" si="16"/>
        <v>14.9</v>
      </c>
      <c r="H116">
        <f t="shared" si="9"/>
        <v>9.1999999999999993</v>
      </c>
      <c r="I116">
        <f t="shared" si="10"/>
        <v>989.99175999999989</v>
      </c>
      <c r="J116">
        <f t="shared" si="17"/>
        <v>6.7896011534999996</v>
      </c>
      <c r="K116">
        <f t="shared" si="11"/>
        <v>8.1103988465000008</v>
      </c>
      <c r="L116">
        <f t="shared" si="12"/>
        <v>122.06449753420272</v>
      </c>
      <c r="M116">
        <f t="shared" si="13"/>
        <v>462.69800917481734</v>
      </c>
      <c r="N116">
        <f t="shared" si="14"/>
        <v>0.45567792976510063</v>
      </c>
      <c r="O116">
        <f t="shared" si="15"/>
        <v>0.60821416644027348</v>
      </c>
    </row>
    <row r="117" spans="1:15" x14ac:dyDescent="0.35">
      <c r="A117">
        <v>10.3</v>
      </c>
      <c r="B117">
        <v>7.3727999999999998</v>
      </c>
      <c r="C117" s="2">
        <v>56953</v>
      </c>
      <c r="G117">
        <f t="shared" si="16"/>
        <v>14.9</v>
      </c>
      <c r="H117">
        <f t="shared" si="9"/>
        <v>9.1999999999999993</v>
      </c>
      <c r="I117">
        <f t="shared" si="10"/>
        <v>989.99175999999989</v>
      </c>
      <c r="J117">
        <f t="shared" si="17"/>
        <v>6.8469244744999997</v>
      </c>
      <c r="K117">
        <f t="shared" si="11"/>
        <v>8.0530755255000006</v>
      </c>
      <c r="L117">
        <f t="shared" si="12"/>
        <v>122.93337580967653</v>
      </c>
      <c r="M117">
        <f t="shared" si="13"/>
        <v>463.28346248437623</v>
      </c>
      <c r="N117">
        <f t="shared" si="14"/>
        <v>0.45952513251677851</v>
      </c>
      <c r="O117">
        <f t="shared" si="15"/>
        <v>0.61530714162740807</v>
      </c>
    </row>
    <row r="118" spans="1:15" x14ac:dyDescent="0.35">
      <c r="A118">
        <v>10.4</v>
      </c>
      <c r="B118">
        <v>7.4345999999999997</v>
      </c>
      <c r="C118" s="2">
        <v>57440</v>
      </c>
      <c r="G118">
        <f t="shared" si="16"/>
        <v>14.9</v>
      </c>
      <c r="H118">
        <f t="shared" si="9"/>
        <v>9.1999999999999993</v>
      </c>
      <c r="I118">
        <f t="shared" si="10"/>
        <v>989.99175999999989</v>
      </c>
      <c r="J118">
        <f t="shared" si="17"/>
        <v>6.9042277599999995</v>
      </c>
      <c r="K118">
        <f t="shared" si="11"/>
        <v>7.9957722400000009</v>
      </c>
      <c r="L118">
        <f t="shared" si="12"/>
        <v>123.81440219712908</v>
      </c>
      <c r="M118">
        <f t="shared" si="13"/>
        <v>463.92018198777748</v>
      </c>
      <c r="N118">
        <f t="shared" si="14"/>
        <v>0.46337099060402681</v>
      </c>
      <c r="O118">
        <f t="shared" si="15"/>
        <v>0.62244828096106453</v>
      </c>
    </row>
    <row r="119" spans="1:15" x14ac:dyDescent="0.35">
      <c r="A119">
        <v>10.5</v>
      </c>
      <c r="B119">
        <v>7.4968000000000004</v>
      </c>
      <c r="C119" s="2">
        <v>57940</v>
      </c>
      <c r="G119">
        <f t="shared" si="16"/>
        <v>14.9</v>
      </c>
      <c r="H119">
        <f t="shared" si="9"/>
        <v>9.1999999999999993</v>
      </c>
      <c r="I119">
        <f t="shared" si="10"/>
        <v>989.99175999999989</v>
      </c>
      <c r="J119">
        <f t="shared" si="17"/>
        <v>6.9618110099999999</v>
      </c>
      <c r="K119">
        <f t="shared" si="11"/>
        <v>7.9381889900000004</v>
      </c>
      <c r="L119">
        <f t="shared" si="12"/>
        <v>124.71254605390793</v>
      </c>
      <c r="M119">
        <f t="shared" si="13"/>
        <v>464.58838210996834</v>
      </c>
      <c r="N119">
        <f t="shared" si="14"/>
        <v>0.46723563825503356</v>
      </c>
      <c r="O119">
        <f t="shared" si="15"/>
        <v>0.62967605060990561</v>
      </c>
    </row>
    <row r="120" spans="1:15" x14ac:dyDescent="0.35">
      <c r="A120">
        <v>10.6</v>
      </c>
      <c r="B120">
        <v>7.5590000000000002</v>
      </c>
      <c r="C120" s="2">
        <v>58419</v>
      </c>
      <c r="G120">
        <f t="shared" si="16"/>
        <v>14.9</v>
      </c>
      <c r="H120">
        <f t="shared" si="9"/>
        <v>9.1999999999999993</v>
      </c>
      <c r="I120">
        <f t="shared" si="10"/>
        <v>989.99175999999989</v>
      </c>
      <c r="J120">
        <f t="shared" si="17"/>
        <v>7.0195881634999999</v>
      </c>
      <c r="K120">
        <f t="shared" si="11"/>
        <v>7.8804118365000004</v>
      </c>
      <c r="L120">
        <f t="shared" si="12"/>
        <v>125.62690637748369</v>
      </c>
      <c r="M120">
        <f t="shared" si="13"/>
        <v>465.01980892900923</v>
      </c>
      <c r="N120">
        <f t="shared" si="14"/>
        <v>0.47111329956375836</v>
      </c>
      <c r="O120">
        <f t="shared" si="15"/>
        <v>0.63698104693208712</v>
      </c>
    </row>
    <row r="121" spans="1:15" x14ac:dyDescent="0.35">
      <c r="A121">
        <v>10.7</v>
      </c>
      <c r="B121">
        <v>7.6207000000000003</v>
      </c>
      <c r="C121" s="2">
        <v>58936</v>
      </c>
      <c r="G121">
        <f t="shared" si="16"/>
        <v>14.9</v>
      </c>
      <c r="H121">
        <f t="shared" si="9"/>
        <v>9.1999999999999993</v>
      </c>
      <c r="I121">
        <f t="shared" si="10"/>
        <v>989.99175999999989</v>
      </c>
      <c r="J121">
        <f t="shared" si="17"/>
        <v>7.0765144440000007</v>
      </c>
      <c r="K121">
        <f t="shared" si="11"/>
        <v>7.8234855559999996</v>
      </c>
      <c r="L121">
        <f t="shared" si="12"/>
        <v>126.54100949170333</v>
      </c>
      <c r="M121">
        <f t="shared" si="13"/>
        <v>465.74624492674167</v>
      </c>
      <c r="N121">
        <f t="shared" si="14"/>
        <v>0.47493385530201349</v>
      </c>
      <c r="O121">
        <f t="shared" si="15"/>
        <v>0.64423103442564755</v>
      </c>
    </row>
    <row r="122" spans="1:15" x14ac:dyDescent="0.35">
      <c r="A122">
        <v>10.8</v>
      </c>
      <c r="B122">
        <v>7.6825000000000001</v>
      </c>
      <c r="C122" s="2">
        <v>59433</v>
      </c>
      <c r="G122">
        <f t="shared" si="16"/>
        <v>14.9</v>
      </c>
      <c r="H122">
        <f t="shared" si="9"/>
        <v>9.1999999999999993</v>
      </c>
      <c r="I122">
        <f t="shared" si="10"/>
        <v>989.99175999999989</v>
      </c>
      <c r="J122">
        <f t="shared" si="17"/>
        <v>7.1337253944999999</v>
      </c>
      <c r="K122">
        <f t="shared" si="11"/>
        <v>7.7662746055000005</v>
      </c>
      <c r="L122">
        <f t="shared" si="12"/>
        <v>127.47318505823851</v>
      </c>
      <c r="M122">
        <f t="shared" si="13"/>
        <v>466.23923276763594</v>
      </c>
      <c r="N122">
        <f t="shared" si="14"/>
        <v>0.47877351640939597</v>
      </c>
      <c r="O122">
        <f t="shared" si="15"/>
        <v>0.65157062230056595</v>
      </c>
    </row>
    <row r="123" spans="1:15" x14ac:dyDescent="0.35">
      <c r="A123">
        <v>10.9</v>
      </c>
      <c r="B123">
        <v>7.7462999999999997</v>
      </c>
      <c r="C123" s="2">
        <v>59961</v>
      </c>
      <c r="G123">
        <f t="shared" si="16"/>
        <v>14.9</v>
      </c>
      <c r="H123">
        <f t="shared" si="9"/>
        <v>9.1999999999999993</v>
      </c>
      <c r="I123">
        <f t="shared" si="10"/>
        <v>989.99175999999989</v>
      </c>
      <c r="J123">
        <f t="shared" si="17"/>
        <v>7.1926501064999995</v>
      </c>
      <c r="K123">
        <f t="shared" si="11"/>
        <v>7.7073498935000009</v>
      </c>
      <c r="L123">
        <f t="shared" si="12"/>
        <v>128.44775100127609</v>
      </c>
      <c r="M123">
        <f t="shared" si="13"/>
        <v>466.81237727085085</v>
      </c>
      <c r="N123">
        <f t="shared" si="14"/>
        <v>0.48272819506711406</v>
      </c>
      <c r="O123">
        <f t="shared" si="15"/>
        <v>0.65918680774401495</v>
      </c>
    </row>
    <row r="124" spans="1:15" x14ac:dyDescent="0.35">
      <c r="A124">
        <v>11</v>
      </c>
      <c r="B124">
        <v>7.8083</v>
      </c>
      <c r="C124" s="2">
        <v>60509</v>
      </c>
      <c r="G124">
        <f t="shared" si="16"/>
        <v>14.9</v>
      </c>
      <c r="H124">
        <f t="shared" si="9"/>
        <v>9.1999999999999993</v>
      </c>
      <c r="I124">
        <f t="shared" si="10"/>
        <v>989.99175999999989</v>
      </c>
      <c r="J124">
        <f t="shared" si="17"/>
        <v>7.2495901485000003</v>
      </c>
      <c r="K124">
        <f t="shared" si="11"/>
        <v>7.6504098515000001</v>
      </c>
      <c r="L124">
        <f t="shared" si="12"/>
        <v>129.40375472902204</v>
      </c>
      <c r="M124">
        <f t="shared" si="13"/>
        <v>467.59848759186997</v>
      </c>
      <c r="N124">
        <f t="shared" si="14"/>
        <v>0.48654967439597319</v>
      </c>
      <c r="O124">
        <f t="shared" si="15"/>
        <v>0.6666019911886002</v>
      </c>
    </row>
    <row r="125" spans="1:15" x14ac:dyDescent="0.35">
      <c r="A125">
        <v>11.1</v>
      </c>
      <c r="B125">
        <v>7.8700999999999999</v>
      </c>
      <c r="C125" s="2">
        <v>61059</v>
      </c>
      <c r="G125">
        <f t="shared" si="16"/>
        <v>14.9</v>
      </c>
      <c r="H125">
        <f t="shared" si="9"/>
        <v>9.1999999999999993</v>
      </c>
      <c r="I125">
        <f t="shared" si="10"/>
        <v>989.99175999999989</v>
      </c>
      <c r="J125">
        <f t="shared" si="17"/>
        <v>7.3063117235000004</v>
      </c>
      <c r="K125">
        <f t="shared" si="11"/>
        <v>7.5936882765</v>
      </c>
      <c r="L125">
        <f t="shared" si="12"/>
        <v>130.37034494340557</v>
      </c>
      <c r="M125">
        <f t="shared" si="13"/>
        <v>468.35037543626981</v>
      </c>
      <c r="N125">
        <f t="shared" si="14"/>
        <v>0.49035649151006711</v>
      </c>
      <c r="O125">
        <f t="shared" si="15"/>
        <v>0.67404380064115643</v>
      </c>
    </row>
    <row r="126" spans="1:15" x14ac:dyDescent="0.35">
      <c r="A126">
        <v>11.2</v>
      </c>
      <c r="B126">
        <v>7.9321000000000002</v>
      </c>
      <c r="C126" s="2">
        <v>61593</v>
      </c>
      <c r="G126">
        <f t="shared" si="16"/>
        <v>14.9</v>
      </c>
      <c r="H126">
        <f t="shared" si="9"/>
        <v>9.1999999999999993</v>
      </c>
      <c r="I126">
        <f t="shared" si="10"/>
        <v>989.99175999999989</v>
      </c>
      <c r="J126">
        <f t="shared" si="17"/>
        <v>7.3633810344999997</v>
      </c>
      <c r="K126">
        <f t="shared" si="11"/>
        <v>7.5366189655000007</v>
      </c>
      <c r="L126">
        <f t="shared" si="12"/>
        <v>131.35754434871063</v>
      </c>
      <c r="M126">
        <f t="shared" si="13"/>
        <v>468.89579357917239</v>
      </c>
      <c r="N126">
        <f t="shared" si="14"/>
        <v>0.49418664661073824</v>
      </c>
      <c r="O126">
        <f t="shared" si="15"/>
        <v>0.68158754456241188</v>
      </c>
    </row>
    <row r="127" spans="1:15" x14ac:dyDescent="0.35">
      <c r="A127">
        <v>11.3</v>
      </c>
      <c r="B127">
        <v>7.9942000000000002</v>
      </c>
      <c r="C127" s="2">
        <v>62150</v>
      </c>
      <c r="G127">
        <f t="shared" si="16"/>
        <v>14.9</v>
      </c>
      <c r="H127">
        <f t="shared" si="9"/>
        <v>9.1999999999999993</v>
      </c>
      <c r="I127">
        <f t="shared" si="10"/>
        <v>989.99175999999989</v>
      </c>
      <c r="J127">
        <f t="shared" si="17"/>
        <v>7.4203379749999998</v>
      </c>
      <c r="K127">
        <f t="shared" si="11"/>
        <v>7.4796620250000005</v>
      </c>
      <c r="L127">
        <f t="shared" si="12"/>
        <v>132.35782000457431</v>
      </c>
      <c r="M127">
        <f t="shared" si="13"/>
        <v>469.56046871920438</v>
      </c>
      <c r="N127">
        <f t="shared" si="14"/>
        <v>0.49800926006711405</v>
      </c>
      <c r="O127">
        <f t="shared" si="15"/>
        <v>0.68917360580937659</v>
      </c>
    </row>
    <row r="128" spans="1:15" x14ac:dyDescent="0.35">
      <c r="A128">
        <v>11.4</v>
      </c>
      <c r="B128">
        <v>8.0564999999999998</v>
      </c>
      <c r="C128" s="2">
        <v>62730</v>
      </c>
      <c r="G128">
        <f t="shared" si="16"/>
        <v>14.9</v>
      </c>
      <c r="H128">
        <f t="shared" si="9"/>
        <v>9.1999999999999993</v>
      </c>
      <c r="I128">
        <f t="shared" si="10"/>
        <v>989.99175999999989</v>
      </c>
      <c r="J128">
        <f t="shared" si="17"/>
        <v>7.4772825449999996</v>
      </c>
      <c r="K128">
        <f t="shared" si="11"/>
        <v>7.4227174550000008</v>
      </c>
      <c r="L128">
        <f t="shared" si="12"/>
        <v>133.37322429444404</v>
      </c>
      <c r="M128">
        <f t="shared" si="13"/>
        <v>470.33428435015463</v>
      </c>
      <c r="N128">
        <f t="shared" si="14"/>
        <v>0.50183104328859052</v>
      </c>
      <c r="O128">
        <f t="shared" si="15"/>
        <v>0.69681598899186981</v>
      </c>
    </row>
    <row r="129" spans="1:15" x14ac:dyDescent="0.35">
      <c r="A129">
        <v>11.5</v>
      </c>
      <c r="B129">
        <v>8.1181999999999999</v>
      </c>
      <c r="C129" s="2">
        <v>63316</v>
      </c>
      <c r="G129">
        <f t="shared" si="16"/>
        <v>14.9</v>
      </c>
      <c r="H129">
        <f t="shared" si="9"/>
        <v>9.1999999999999993</v>
      </c>
      <c r="I129">
        <f t="shared" si="10"/>
        <v>989.99175999999989</v>
      </c>
      <c r="J129">
        <f t="shared" si="17"/>
        <v>7.5335717139999998</v>
      </c>
      <c r="K129">
        <f t="shared" si="11"/>
        <v>7.3664282860000005</v>
      </c>
      <c r="L129">
        <f t="shared" si="12"/>
        <v>134.39237057143325</v>
      </c>
      <c r="M129">
        <f t="shared" si="13"/>
        <v>471.12793479854423</v>
      </c>
      <c r="N129">
        <f t="shared" si="14"/>
        <v>0.50560883986577176</v>
      </c>
      <c r="O129">
        <f t="shared" si="15"/>
        <v>0.70442825298590739</v>
      </c>
    </row>
    <row r="130" spans="1:15" x14ac:dyDescent="0.35">
      <c r="A130">
        <v>11.6</v>
      </c>
      <c r="B130">
        <v>8.1803000000000008</v>
      </c>
      <c r="C130" s="2">
        <v>63893</v>
      </c>
      <c r="G130">
        <f t="shared" si="16"/>
        <v>14.9</v>
      </c>
      <c r="H130">
        <f t="shared" si="9"/>
        <v>9.1999999999999993</v>
      </c>
      <c r="I130">
        <f t="shared" si="10"/>
        <v>989.99175999999989</v>
      </c>
      <c r="J130">
        <f t="shared" si="17"/>
        <v>7.5903439845000005</v>
      </c>
      <c r="K130">
        <f t="shared" si="11"/>
        <v>7.3096560154999999</v>
      </c>
      <c r="L130">
        <f t="shared" si="12"/>
        <v>135.43616250897981</v>
      </c>
      <c r="M130">
        <f t="shared" si="13"/>
        <v>471.7573122006001</v>
      </c>
      <c r="N130">
        <f t="shared" si="14"/>
        <v>0.50941905936241616</v>
      </c>
      <c r="O130">
        <f t="shared" si="15"/>
        <v>0.71216499700007407</v>
      </c>
    </row>
    <row r="131" spans="1:15" x14ac:dyDescent="0.35">
      <c r="A131">
        <v>11.7</v>
      </c>
      <c r="B131">
        <v>8.2429000000000006</v>
      </c>
      <c r="C131" s="2">
        <v>64524</v>
      </c>
      <c r="G131">
        <f t="shared" si="16"/>
        <v>14.9</v>
      </c>
      <c r="H131">
        <f t="shared" si="9"/>
        <v>9.1999999999999993</v>
      </c>
      <c r="I131">
        <f t="shared" si="10"/>
        <v>989.99175999999989</v>
      </c>
      <c r="J131">
        <f t="shared" si="17"/>
        <v>7.6471176460000008</v>
      </c>
      <c r="K131">
        <f t="shared" si="11"/>
        <v>7.2528823539999996</v>
      </c>
      <c r="L131">
        <f t="shared" si="12"/>
        <v>136.49632128032721</v>
      </c>
      <c r="M131">
        <f t="shared" si="13"/>
        <v>472.71603655518913</v>
      </c>
      <c r="N131">
        <f t="shared" si="14"/>
        <v>0.51322937221476517</v>
      </c>
      <c r="O131">
        <f t="shared" si="15"/>
        <v>0.71996225702431416</v>
      </c>
    </row>
    <row r="132" spans="1:15" x14ac:dyDescent="0.35">
      <c r="A132">
        <v>11.8</v>
      </c>
      <c r="B132">
        <v>8.3065999999999995</v>
      </c>
      <c r="C132" s="2">
        <v>65136</v>
      </c>
      <c r="G132">
        <f t="shared" si="16"/>
        <v>14.9</v>
      </c>
      <c r="H132">
        <f t="shared" si="9"/>
        <v>9.1999999999999993</v>
      </c>
      <c r="I132">
        <f t="shared" si="10"/>
        <v>989.99175999999989</v>
      </c>
      <c r="J132">
        <f t="shared" si="17"/>
        <v>7.7051667439999996</v>
      </c>
      <c r="K132">
        <f t="shared" si="11"/>
        <v>7.1948332560000008</v>
      </c>
      <c r="L132">
        <f t="shared" si="12"/>
        <v>137.59759604913904</v>
      </c>
      <c r="M132">
        <f t="shared" si="13"/>
        <v>473.38036324950434</v>
      </c>
      <c r="N132">
        <f t="shared" si="14"/>
        <v>0.51712528483221476</v>
      </c>
      <c r="O132">
        <f t="shared" si="15"/>
        <v>0.72799804786325306</v>
      </c>
    </row>
    <row r="133" spans="1:15" x14ac:dyDescent="0.35">
      <c r="A133">
        <v>11.9</v>
      </c>
      <c r="B133">
        <v>8.3683999999999994</v>
      </c>
      <c r="C133" s="2">
        <v>65765</v>
      </c>
      <c r="G133">
        <f t="shared" si="16"/>
        <v>14.9</v>
      </c>
      <c r="H133">
        <f t="shared" si="9"/>
        <v>9.1999999999999993</v>
      </c>
      <c r="I133">
        <f t="shared" si="10"/>
        <v>989.99175999999989</v>
      </c>
      <c r="J133">
        <f t="shared" si="17"/>
        <v>7.7611588724999994</v>
      </c>
      <c r="K133">
        <f t="shared" si="11"/>
        <v>7.138841127500001</v>
      </c>
      <c r="L133">
        <f t="shared" si="12"/>
        <v>138.67681635138052</v>
      </c>
      <c r="M133">
        <f t="shared" si="13"/>
        <v>474.23211557845451</v>
      </c>
      <c r="N133">
        <f t="shared" si="14"/>
        <v>0.5208831458053691</v>
      </c>
      <c r="O133">
        <f t="shared" si="15"/>
        <v>0.73581075684596786</v>
      </c>
    </row>
    <row r="134" spans="1:15" x14ac:dyDescent="0.35">
      <c r="A134">
        <v>12</v>
      </c>
      <c r="B134">
        <v>8.4300999999999995</v>
      </c>
      <c r="C134" s="2">
        <v>66418</v>
      </c>
      <c r="G134">
        <f t="shared" si="16"/>
        <v>14.9</v>
      </c>
      <c r="H134">
        <f t="shared" si="9"/>
        <v>9.1999999999999993</v>
      </c>
      <c r="I134">
        <f t="shared" si="10"/>
        <v>989.99175999999989</v>
      </c>
      <c r="J134">
        <f t="shared" si="17"/>
        <v>7.8168293969999993</v>
      </c>
      <c r="K134">
        <f t="shared" si="11"/>
        <v>7.083170603000001</v>
      </c>
      <c r="L134">
        <f t="shared" si="12"/>
        <v>139.76675354687907</v>
      </c>
      <c r="M134">
        <f t="shared" si="13"/>
        <v>475.20600081565738</v>
      </c>
      <c r="N134">
        <f t="shared" si="14"/>
        <v>0.52461942261744965</v>
      </c>
      <c r="O134">
        <f t="shared" si="15"/>
        <v>0.74363958020711429</v>
      </c>
    </row>
    <row r="135" spans="1:15" x14ac:dyDescent="0.35">
      <c r="A135">
        <v>12.1</v>
      </c>
      <c r="B135">
        <v>8.4922000000000004</v>
      </c>
      <c r="C135" s="2">
        <v>67097</v>
      </c>
      <c r="G135">
        <f t="shared" si="16"/>
        <v>14.9</v>
      </c>
      <c r="H135">
        <f t="shared" si="9"/>
        <v>9.1999999999999993</v>
      </c>
      <c r="I135">
        <f t="shared" si="10"/>
        <v>989.99175999999989</v>
      </c>
      <c r="J135">
        <f t="shared" si="17"/>
        <v>7.8726598505000007</v>
      </c>
      <c r="K135">
        <f t="shared" si="11"/>
        <v>7.0273401494999996</v>
      </c>
      <c r="L135">
        <f t="shared" si="12"/>
        <v>140.87716531985981</v>
      </c>
      <c r="M135">
        <f t="shared" si="13"/>
        <v>476.28016824200796</v>
      </c>
      <c r="N135">
        <f t="shared" si="14"/>
        <v>0.52836643291946317</v>
      </c>
      <c r="O135">
        <f t="shared" si="15"/>
        <v>0.75155293583632721</v>
      </c>
    </row>
    <row r="136" spans="1:15" x14ac:dyDescent="0.35">
      <c r="A136">
        <v>12.2</v>
      </c>
      <c r="B136">
        <v>8.5542999999999996</v>
      </c>
      <c r="C136" s="2">
        <v>67732</v>
      </c>
      <c r="G136">
        <f t="shared" si="16"/>
        <v>14.9</v>
      </c>
      <c r="H136">
        <f t="shared" si="9"/>
        <v>9.1999999999999993</v>
      </c>
      <c r="I136">
        <f t="shared" si="10"/>
        <v>989.99175999999989</v>
      </c>
      <c r="J136">
        <f t="shared" si="17"/>
        <v>7.9288965779999998</v>
      </c>
      <c r="K136">
        <f t="shared" si="11"/>
        <v>6.9711034220000005</v>
      </c>
      <c r="L136">
        <f t="shared" si="12"/>
        <v>142.01363831093076</v>
      </c>
      <c r="M136">
        <f t="shared" si="13"/>
        <v>476.94010804585298</v>
      </c>
      <c r="N136">
        <f t="shared" si="14"/>
        <v>0.53214070993288587</v>
      </c>
      <c r="O136">
        <f t="shared" si="15"/>
        <v>0.75958769052220243</v>
      </c>
    </row>
    <row r="137" spans="1:15" x14ac:dyDescent="0.35">
      <c r="A137">
        <v>12.3</v>
      </c>
      <c r="B137">
        <v>8.6160999999999994</v>
      </c>
      <c r="C137" s="2">
        <v>68413</v>
      </c>
      <c r="G137">
        <f t="shared" si="16"/>
        <v>14.9</v>
      </c>
      <c r="H137">
        <f t="shared" si="9"/>
        <v>9.1999999999999993</v>
      </c>
      <c r="I137">
        <f t="shared" si="10"/>
        <v>989.99175999999989</v>
      </c>
      <c r="J137">
        <f t="shared" si="17"/>
        <v>7.9844085644999998</v>
      </c>
      <c r="K137">
        <f t="shared" si="11"/>
        <v>6.9155914355000006</v>
      </c>
      <c r="L137">
        <f t="shared" si="12"/>
        <v>143.1535927524647</v>
      </c>
      <c r="M137">
        <f t="shared" si="13"/>
        <v>477.89928764342602</v>
      </c>
      <c r="N137">
        <f t="shared" si="14"/>
        <v>0.53586634661073818</v>
      </c>
      <c r="O137">
        <f t="shared" si="15"/>
        <v>0.76758272213564727</v>
      </c>
    </row>
    <row r="138" spans="1:15" x14ac:dyDescent="0.35">
      <c r="A138">
        <v>12.4</v>
      </c>
      <c r="B138">
        <v>8.6778999999999993</v>
      </c>
      <c r="C138" s="2">
        <v>69093</v>
      </c>
      <c r="G138">
        <f t="shared" si="16"/>
        <v>14.9</v>
      </c>
      <c r="H138">
        <f t="shared" si="9"/>
        <v>9.1999999999999993</v>
      </c>
      <c r="I138">
        <f t="shared" si="10"/>
        <v>989.99175999999989</v>
      </c>
      <c r="J138">
        <f t="shared" si="17"/>
        <v>8.0399297845</v>
      </c>
      <c r="K138">
        <f t="shared" si="11"/>
        <v>6.8600702155000004</v>
      </c>
      <c r="L138">
        <f t="shared" si="12"/>
        <v>144.31219053168886</v>
      </c>
      <c r="M138">
        <f t="shared" si="13"/>
        <v>478.77452171878844</v>
      </c>
      <c r="N138">
        <f t="shared" si="14"/>
        <v>0.53959260298657719</v>
      </c>
      <c r="O138">
        <f t="shared" si="15"/>
        <v>0.77564353577037493</v>
      </c>
    </row>
    <row r="139" spans="1:15" x14ac:dyDescent="0.35">
      <c r="A139">
        <v>12.5</v>
      </c>
      <c r="B139">
        <v>8.7405000000000008</v>
      </c>
      <c r="C139" s="2">
        <v>69802</v>
      </c>
      <c r="G139">
        <f t="shared" si="16"/>
        <v>14.9</v>
      </c>
      <c r="H139">
        <f t="shared" si="9"/>
        <v>9.1999999999999993</v>
      </c>
      <c r="I139">
        <f t="shared" si="10"/>
        <v>989.99175999999989</v>
      </c>
      <c r="J139">
        <f t="shared" si="17"/>
        <v>8.0959832330000001</v>
      </c>
      <c r="K139">
        <f t="shared" si="11"/>
        <v>6.8040167670000002</v>
      </c>
      <c r="L139">
        <f t="shared" si="12"/>
        <v>145.50107589410058</v>
      </c>
      <c r="M139">
        <f t="shared" si="13"/>
        <v>479.73528423118802</v>
      </c>
      <c r="N139">
        <f t="shared" si="14"/>
        <v>0.5433545793959732</v>
      </c>
      <c r="O139">
        <f t="shared" si="15"/>
        <v>0.78384807413512025</v>
      </c>
    </row>
    <row r="140" spans="1:15" x14ac:dyDescent="0.35">
      <c r="A140">
        <v>12.6</v>
      </c>
      <c r="B140">
        <v>8.8041999999999998</v>
      </c>
      <c r="C140" s="2">
        <v>70507</v>
      </c>
      <c r="G140">
        <f t="shared" si="16"/>
        <v>14.9</v>
      </c>
      <c r="H140">
        <f t="shared" si="9"/>
        <v>9.1999999999999993</v>
      </c>
      <c r="I140">
        <f t="shared" si="10"/>
        <v>989.99175999999989</v>
      </c>
      <c r="J140">
        <f t="shared" si="17"/>
        <v>8.1531736155000001</v>
      </c>
      <c r="K140">
        <f t="shared" si="11"/>
        <v>6.7468263845000003</v>
      </c>
      <c r="L140">
        <f t="shared" si="12"/>
        <v>146.73443535976909</v>
      </c>
      <c r="M140">
        <f t="shared" si="13"/>
        <v>480.5075224989161</v>
      </c>
      <c r="N140">
        <f t="shared" si="14"/>
        <v>0.54719286010067114</v>
      </c>
      <c r="O140">
        <f t="shared" si="15"/>
        <v>0.79228898388857605</v>
      </c>
    </row>
    <row r="141" spans="1:15" x14ac:dyDescent="0.35">
      <c r="A141">
        <v>12.7</v>
      </c>
      <c r="B141">
        <v>8.8660999999999994</v>
      </c>
      <c r="C141" s="2">
        <v>71239</v>
      </c>
      <c r="G141">
        <f t="shared" si="16"/>
        <v>14.9</v>
      </c>
      <c r="H141">
        <f t="shared" si="9"/>
        <v>9.1999999999999993</v>
      </c>
      <c r="I141">
        <f t="shared" si="10"/>
        <v>989.99175999999989</v>
      </c>
      <c r="J141">
        <f t="shared" si="17"/>
        <v>8.2083146935000002</v>
      </c>
      <c r="K141">
        <f t="shared" si="11"/>
        <v>6.6916853065000002</v>
      </c>
      <c r="L141">
        <f t="shared" si="12"/>
        <v>147.94356199601418</v>
      </c>
      <c r="M141">
        <f t="shared" si="13"/>
        <v>481.52821953765914</v>
      </c>
      <c r="N141">
        <f t="shared" si="14"/>
        <v>0.55089360359060402</v>
      </c>
      <c r="O141">
        <f t="shared" si="15"/>
        <v>0.80049545626131213</v>
      </c>
    </row>
    <row r="142" spans="1:15" x14ac:dyDescent="0.35">
      <c r="A142">
        <v>12.8</v>
      </c>
      <c r="B142">
        <v>8.9280000000000008</v>
      </c>
      <c r="C142" s="2">
        <v>71927</v>
      </c>
      <c r="G142">
        <f t="shared" si="16"/>
        <v>14.9</v>
      </c>
      <c r="H142">
        <f t="shared" si="9"/>
        <v>9.1999999999999993</v>
      </c>
      <c r="I142">
        <f t="shared" si="10"/>
        <v>989.99175999999989</v>
      </c>
      <c r="J142">
        <f t="shared" si="17"/>
        <v>8.2638620455000016</v>
      </c>
      <c r="K142">
        <f t="shared" si="11"/>
        <v>6.6361379544999988</v>
      </c>
      <c r="L142">
        <f t="shared" si="12"/>
        <v>149.18191375582865</v>
      </c>
      <c r="M142">
        <f t="shared" si="13"/>
        <v>482.14289647554386</v>
      </c>
      <c r="N142">
        <f t="shared" si="14"/>
        <v>0.55462161379194641</v>
      </c>
      <c r="O142">
        <f t="shared" si="15"/>
        <v>0.80883105203580363</v>
      </c>
    </row>
    <row r="143" spans="1:15" x14ac:dyDescent="0.35">
      <c r="A143">
        <v>12.9</v>
      </c>
      <c r="B143">
        <v>8.99</v>
      </c>
      <c r="C143" s="2">
        <v>72718</v>
      </c>
      <c r="G143">
        <f t="shared" si="16"/>
        <v>14.9</v>
      </c>
      <c r="H143">
        <f t="shared" ref="H143:H201" si="18">$H$11</f>
        <v>9.1999999999999993</v>
      </c>
      <c r="I143">
        <f t="shared" ref="I143:I201" si="19">(3.14*POWER(H143,2)*0.25*G143)</f>
        <v>989.99175999999989</v>
      </c>
      <c r="J143">
        <f t="shared" si="17"/>
        <v>8.3185583469999997</v>
      </c>
      <c r="K143">
        <f t="shared" ref="K143:K201" si="20">G143-J143</f>
        <v>6.5814416530000006</v>
      </c>
      <c r="L143">
        <f t="shared" ref="L143:L201" si="21">I143/K143</f>
        <v>150.42171794514576</v>
      </c>
      <c r="M143">
        <f t="shared" ref="M143:M201" si="22">C143/L143</f>
        <v>483.42753289467186</v>
      </c>
      <c r="N143">
        <f t="shared" ref="N143:N201" si="23">J143/G143</f>
        <v>0.55829250651006712</v>
      </c>
      <c r="O143">
        <f t="shared" ref="O143:O201" si="24">LN(L143/(3.14*H143^2/4))</f>
        <v>0.81710739541164701</v>
      </c>
    </row>
    <row r="144" spans="1:15" x14ac:dyDescent="0.35">
      <c r="A144">
        <v>13</v>
      </c>
      <c r="B144">
        <v>9.0520999999999994</v>
      </c>
      <c r="C144" s="2">
        <v>73472</v>
      </c>
      <c r="G144">
        <f t="shared" ref="G144:G201" si="25">$G$11</f>
        <v>14.9</v>
      </c>
      <c r="H144">
        <f t="shared" si="18"/>
        <v>9.1999999999999993</v>
      </c>
      <c r="I144">
        <f t="shared" si="19"/>
        <v>989.99175999999989</v>
      </c>
      <c r="J144">
        <f t="shared" ref="J144:J201" si="26">B144-C144/(2*10^5/1.8467)</f>
        <v>8.3736962879999997</v>
      </c>
      <c r="K144">
        <f t="shared" si="20"/>
        <v>6.5263037120000007</v>
      </c>
      <c r="L144">
        <f t="shared" si="21"/>
        <v>151.6925665257792</v>
      </c>
      <c r="M144">
        <f t="shared" si="22"/>
        <v>484.34805793541568</v>
      </c>
      <c r="N144">
        <f t="shared" si="23"/>
        <v>0.56199303946308721</v>
      </c>
      <c r="O144">
        <f t="shared" si="24"/>
        <v>0.82552047709517451</v>
      </c>
    </row>
    <row r="145" spans="1:15" x14ac:dyDescent="0.35">
      <c r="A145">
        <v>13.1</v>
      </c>
      <c r="B145">
        <v>9.1135999999999999</v>
      </c>
      <c r="C145" s="2">
        <v>74233</v>
      </c>
      <c r="G145">
        <f t="shared" si="25"/>
        <v>14.9</v>
      </c>
      <c r="H145">
        <f t="shared" si="18"/>
        <v>9.1999999999999993</v>
      </c>
      <c r="I145">
        <f t="shared" si="19"/>
        <v>989.99175999999989</v>
      </c>
      <c r="J145">
        <f t="shared" si="26"/>
        <v>8.4281695944999999</v>
      </c>
      <c r="K145">
        <f t="shared" si="20"/>
        <v>6.4718304055000004</v>
      </c>
      <c r="L145">
        <f t="shared" si="21"/>
        <v>152.96936074818467</v>
      </c>
      <c r="M145">
        <f t="shared" si="22"/>
        <v>485.28018707093241</v>
      </c>
      <c r="N145">
        <f t="shared" si="23"/>
        <v>0.56564896607382553</v>
      </c>
      <c r="O145">
        <f t="shared" si="24"/>
        <v>0.83390223788034257</v>
      </c>
    </row>
    <row r="146" spans="1:15" x14ac:dyDescent="0.35">
      <c r="A146">
        <v>13.2</v>
      </c>
      <c r="B146">
        <v>9.1755999999999993</v>
      </c>
      <c r="C146" s="2">
        <v>74962</v>
      </c>
      <c r="G146">
        <f t="shared" si="25"/>
        <v>14.9</v>
      </c>
      <c r="H146">
        <f t="shared" si="18"/>
        <v>9.1999999999999993</v>
      </c>
      <c r="I146">
        <f t="shared" si="19"/>
        <v>989.99175999999989</v>
      </c>
      <c r="J146">
        <f t="shared" si="26"/>
        <v>8.4834383729999985</v>
      </c>
      <c r="K146">
        <f t="shared" si="20"/>
        <v>6.4165616270000019</v>
      </c>
      <c r="L146">
        <f t="shared" si="21"/>
        <v>154.286955779284</v>
      </c>
      <c r="M146">
        <f t="shared" si="22"/>
        <v>485.86090522932653</v>
      </c>
      <c r="N146">
        <f t="shared" si="23"/>
        <v>0.56935828006711398</v>
      </c>
      <c r="O146">
        <f t="shared" si="24"/>
        <v>0.84247881083789833</v>
      </c>
    </row>
    <row r="147" spans="1:15" x14ac:dyDescent="0.35">
      <c r="A147">
        <v>13.3</v>
      </c>
      <c r="B147">
        <v>9.2380999999999993</v>
      </c>
      <c r="C147" s="2">
        <v>75746</v>
      </c>
      <c r="G147">
        <f t="shared" si="25"/>
        <v>14.9</v>
      </c>
      <c r="H147">
        <f t="shared" si="18"/>
        <v>9.1999999999999993</v>
      </c>
      <c r="I147">
        <f t="shared" si="19"/>
        <v>989.99175999999989</v>
      </c>
      <c r="J147">
        <f t="shared" si="26"/>
        <v>8.5386993090000001</v>
      </c>
      <c r="K147">
        <f t="shared" si="20"/>
        <v>6.3613006910000003</v>
      </c>
      <c r="L147">
        <f t="shared" si="21"/>
        <v>155.62725425016382</v>
      </c>
      <c r="M147">
        <f t="shared" si="22"/>
        <v>486.71423501594205</v>
      </c>
      <c r="N147">
        <f t="shared" si="23"/>
        <v>0.57306706771812077</v>
      </c>
      <c r="O147">
        <f t="shared" si="24"/>
        <v>0.85112834534541781</v>
      </c>
    </row>
    <row r="148" spans="1:15" x14ac:dyDescent="0.35">
      <c r="A148">
        <v>13.4</v>
      </c>
      <c r="B148">
        <v>9.3018999999999998</v>
      </c>
      <c r="C148" s="2">
        <v>76544</v>
      </c>
      <c r="G148">
        <f t="shared" si="25"/>
        <v>14.9</v>
      </c>
      <c r="H148">
        <f t="shared" si="18"/>
        <v>9.1999999999999993</v>
      </c>
      <c r="I148">
        <f t="shared" si="19"/>
        <v>989.99175999999989</v>
      </c>
      <c r="J148">
        <f t="shared" si="26"/>
        <v>8.5951309760000001</v>
      </c>
      <c r="K148">
        <f t="shared" si="20"/>
        <v>6.3048690240000003</v>
      </c>
      <c r="L148">
        <f t="shared" si="21"/>
        <v>157.02019442933948</v>
      </c>
      <c r="M148">
        <f t="shared" si="22"/>
        <v>487.47869838134415</v>
      </c>
      <c r="N148">
        <f t="shared" si="23"/>
        <v>0.57685442791946306</v>
      </c>
      <c r="O148">
        <f t="shared" si="24"/>
        <v>0.86003901710478015</v>
      </c>
    </row>
    <row r="149" spans="1:15" x14ac:dyDescent="0.35">
      <c r="A149">
        <v>13.5</v>
      </c>
      <c r="B149">
        <v>9.3638999999999992</v>
      </c>
      <c r="C149" s="2">
        <v>77364</v>
      </c>
      <c r="G149">
        <f t="shared" si="25"/>
        <v>14.9</v>
      </c>
      <c r="H149">
        <f t="shared" si="18"/>
        <v>9.1999999999999993</v>
      </c>
      <c r="I149">
        <f t="shared" si="19"/>
        <v>989.99175999999989</v>
      </c>
      <c r="J149">
        <f t="shared" si="26"/>
        <v>8.6495595059999992</v>
      </c>
      <c r="K149">
        <f t="shared" si="20"/>
        <v>6.2504404940000011</v>
      </c>
      <c r="L149">
        <f t="shared" si="21"/>
        <v>158.38751859974107</v>
      </c>
      <c r="M149">
        <f t="shared" si="22"/>
        <v>488.44757897562312</v>
      </c>
      <c r="N149">
        <f t="shared" si="23"/>
        <v>0.58050734939597304</v>
      </c>
      <c r="O149">
        <f t="shared" si="24"/>
        <v>0.868709272646634</v>
      </c>
    </row>
    <row r="150" spans="1:15" x14ac:dyDescent="0.35">
      <c r="A150">
        <v>13.6</v>
      </c>
      <c r="B150">
        <v>9.4258000000000006</v>
      </c>
      <c r="C150" s="2">
        <v>78183</v>
      </c>
      <c r="G150">
        <f t="shared" si="25"/>
        <v>14.9</v>
      </c>
      <c r="H150">
        <f t="shared" si="18"/>
        <v>9.1999999999999993</v>
      </c>
      <c r="I150">
        <f t="shared" si="19"/>
        <v>989.99175999999989</v>
      </c>
      <c r="J150">
        <f t="shared" si="26"/>
        <v>8.7038972695000005</v>
      </c>
      <c r="K150">
        <f t="shared" si="20"/>
        <v>6.1961027304999998</v>
      </c>
      <c r="L150">
        <f t="shared" si="21"/>
        <v>159.77652454450373</v>
      </c>
      <c r="M150">
        <f t="shared" si="22"/>
        <v>489.32720387357728</v>
      </c>
      <c r="N150">
        <f t="shared" si="23"/>
        <v>0.58415417916107382</v>
      </c>
      <c r="O150">
        <f t="shared" si="24"/>
        <v>0.87744071040189664</v>
      </c>
    </row>
    <row r="151" spans="1:15" x14ac:dyDescent="0.35">
      <c r="A151">
        <v>13.7</v>
      </c>
      <c r="B151">
        <v>9.4878999999999998</v>
      </c>
      <c r="C151" s="2">
        <v>79007</v>
      </c>
      <c r="G151">
        <f t="shared" si="25"/>
        <v>14.9</v>
      </c>
      <c r="H151">
        <f t="shared" si="18"/>
        <v>9.1999999999999993</v>
      </c>
      <c r="I151">
        <f t="shared" si="19"/>
        <v>989.99175999999989</v>
      </c>
      <c r="J151">
        <f t="shared" si="26"/>
        <v>8.7583888654999988</v>
      </c>
      <c r="K151">
        <f t="shared" si="20"/>
        <v>6.1416111345000015</v>
      </c>
      <c r="L151">
        <f t="shared" si="21"/>
        <v>161.19414569229264</v>
      </c>
      <c r="M151">
        <f t="shared" si="22"/>
        <v>490.13566628417357</v>
      </c>
      <c r="N151">
        <f t="shared" si="23"/>
        <v>0.58781133325503343</v>
      </c>
      <c r="O151">
        <f t="shared" si="24"/>
        <v>0.88627410545745655</v>
      </c>
    </row>
    <row r="152" spans="1:15" x14ac:dyDescent="0.35">
      <c r="A152">
        <v>13.8</v>
      </c>
      <c r="B152">
        <v>9.5502000000000002</v>
      </c>
      <c r="C152" s="2">
        <v>79810</v>
      </c>
      <c r="G152">
        <f t="shared" si="25"/>
        <v>14.9</v>
      </c>
      <c r="H152">
        <f t="shared" si="18"/>
        <v>9.1999999999999993</v>
      </c>
      <c r="I152">
        <f t="shared" si="19"/>
        <v>989.99175999999989</v>
      </c>
      <c r="J152">
        <f t="shared" si="26"/>
        <v>8.8132743649999998</v>
      </c>
      <c r="K152">
        <f t="shared" si="20"/>
        <v>6.0867256350000005</v>
      </c>
      <c r="L152">
        <f t="shared" si="21"/>
        <v>162.64767288134877</v>
      </c>
      <c r="M152">
        <f t="shared" si="22"/>
        <v>490.69254165241745</v>
      </c>
      <c r="N152">
        <f t="shared" si="23"/>
        <v>0.59149492382550328</v>
      </c>
      <c r="O152">
        <f t="shared" si="24"/>
        <v>0.89525093838352943</v>
      </c>
    </row>
    <row r="153" spans="1:15" x14ac:dyDescent="0.35">
      <c r="A153">
        <v>13.9</v>
      </c>
      <c r="B153">
        <v>9.6119000000000003</v>
      </c>
      <c r="C153" s="2">
        <v>80661</v>
      </c>
      <c r="G153">
        <f t="shared" si="25"/>
        <v>14.9</v>
      </c>
      <c r="H153">
        <f t="shared" si="18"/>
        <v>9.1999999999999993</v>
      </c>
      <c r="I153">
        <f t="shared" si="19"/>
        <v>989.99175999999989</v>
      </c>
      <c r="J153">
        <f t="shared" si="26"/>
        <v>8.8671166565000004</v>
      </c>
      <c r="K153">
        <f t="shared" si="20"/>
        <v>6.0328833435</v>
      </c>
      <c r="L153">
        <f t="shared" si="21"/>
        <v>164.09927121608362</v>
      </c>
      <c r="M153">
        <f t="shared" si="22"/>
        <v>491.53783196140296</v>
      </c>
      <c r="N153">
        <f t="shared" si="23"/>
        <v>0.59510850043624164</v>
      </c>
      <c r="O153">
        <f t="shared" si="24"/>
        <v>0.90413615007954051</v>
      </c>
    </row>
    <row r="154" spans="1:15" x14ac:dyDescent="0.35">
      <c r="A154">
        <v>14</v>
      </c>
      <c r="B154">
        <v>9.6736000000000004</v>
      </c>
      <c r="C154" s="2">
        <v>81541</v>
      </c>
      <c r="G154">
        <f t="shared" si="25"/>
        <v>14.9</v>
      </c>
      <c r="H154">
        <f t="shared" si="18"/>
        <v>9.1999999999999993</v>
      </c>
      <c r="I154">
        <f t="shared" si="19"/>
        <v>989.99175999999989</v>
      </c>
      <c r="J154">
        <f t="shared" si="26"/>
        <v>8.9206911765000001</v>
      </c>
      <c r="K154">
        <f t="shared" si="20"/>
        <v>5.9793088235000003</v>
      </c>
      <c r="L154">
        <f t="shared" si="21"/>
        <v>165.56959829689919</v>
      </c>
      <c r="M154">
        <f t="shared" si="22"/>
        <v>492.48775644053194</v>
      </c>
      <c r="N154">
        <f t="shared" si="23"/>
        <v>0.59870410580536915</v>
      </c>
      <c r="O154">
        <f t="shared" si="24"/>
        <v>0.91305623302342753</v>
      </c>
    </row>
    <row r="155" spans="1:15" x14ac:dyDescent="0.35">
      <c r="A155">
        <v>14.1</v>
      </c>
      <c r="B155">
        <v>9.7365999999999993</v>
      </c>
      <c r="C155" s="2">
        <v>82410</v>
      </c>
      <c r="G155">
        <f t="shared" si="25"/>
        <v>14.9</v>
      </c>
      <c r="H155">
        <f t="shared" si="18"/>
        <v>9.1999999999999993</v>
      </c>
      <c r="I155">
        <f t="shared" si="19"/>
        <v>989.99175999999989</v>
      </c>
      <c r="J155">
        <f t="shared" si="26"/>
        <v>8.9756672649999985</v>
      </c>
      <c r="K155">
        <f t="shared" si="20"/>
        <v>5.9243327350000019</v>
      </c>
      <c r="L155">
        <f t="shared" si="21"/>
        <v>167.10603611969469</v>
      </c>
      <c r="M155">
        <f t="shared" si="22"/>
        <v>493.15992356476801</v>
      </c>
      <c r="N155">
        <f t="shared" si="23"/>
        <v>0.60239377617449652</v>
      </c>
      <c r="O155">
        <f t="shared" si="24"/>
        <v>0.92229315083756591</v>
      </c>
    </row>
    <row r="156" spans="1:15" x14ac:dyDescent="0.35">
      <c r="A156">
        <v>14.2</v>
      </c>
      <c r="B156">
        <v>9.8612000000000002</v>
      </c>
      <c r="C156" s="2">
        <v>84169</v>
      </c>
      <c r="G156">
        <f t="shared" si="25"/>
        <v>14.9</v>
      </c>
      <c r="H156">
        <f t="shared" si="18"/>
        <v>9.1999999999999993</v>
      </c>
      <c r="I156">
        <f t="shared" si="19"/>
        <v>989.99175999999989</v>
      </c>
      <c r="J156">
        <f t="shared" si="26"/>
        <v>9.0840255385000006</v>
      </c>
      <c r="K156">
        <f t="shared" si="20"/>
        <v>5.8159744614999997</v>
      </c>
      <c r="L156">
        <f t="shared" si="21"/>
        <v>170.21941319609419</v>
      </c>
      <c r="M156">
        <f t="shared" si="22"/>
        <v>494.47356455774292</v>
      </c>
      <c r="N156">
        <f t="shared" si="23"/>
        <v>0.60966614352348991</v>
      </c>
      <c r="O156">
        <f t="shared" si="24"/>
        <v>0.94075286380617718</v>
      </c>
    </row>
    <row r="157" spans="1:15" x14ac:dyDescent="0.35">
      <c r="A157">
        <v>14.3</v>
      </c>
      <c r="B157">
        <v>9.9230999999999998</v>
      </c>
      <c r="C157" s="2">
        <v>85100</v>
      </c>
      <c r="G157">
        <f t="shared" si="25"/>
        <v>14.9</v>
      </c>
      <c r="H157">
        <f t="shared" si="18"/>
        <v>9.1999999999999993</v>
      </c>
      <c r="I157">
        <f t="shared" si="19"/>
        <v>989.99175999999989</v>
      </c>
      <c r="J157">
        <f t="shared" si="26"/>
        <v>9.1373291499999993</v>
      </c>
      <c r="K157">
        <f t="shared" si="20"/>
        <v>5.762670850000001</v>
      </c>
      <c r="L157">
        <f t="shared" si="21"/>
        <v>171.7939104573359</v>
      </c>
      <c r="M157">
        <f t="shared" si="22"/>
        <v>495.36098091866961</v>
      </c>
      <c r="N157">
        <f t="shared" si="23"/>
        <v>0.61324356711409389</v>
      </c>
      <c r="O157">
        <f t="shared" si="24"/>
        <v>0.94996015647813548</v>
      </c>
    </row>
    <row r="158" spans="1:15" x14ac:dyDescent="0.35">
      <c r="A158">
        <v>14.4</v>
      </c>
      <c r="B158">
        <v>9.9853000000000005</v>
      </c>
      <c r="C158" s="2">
        <v>86034</v>
      </c>
      <c r="G158">
        <f t="shared" si="25"/>
        <v>14.9</v>
      </c>
      <c r="H158">
        <f t="shared" si="18"/>
        <v>9.1999999999999993</v>
      </c>
      <c r="I158">
        <f t="shared" si="19"/>
        <v>989.99175999999989</v>
      </c>
      <c r="J158">
        <f t="shared" si="26"/>
        <v>9.1909050610000005</v>
      </c>
      <c r="K158">
        <f t="shared" si="20"/>
        <v>5.7090949389999999</v>
      </c>
      <c r="L158">
        <f t="shared" si="21"/>
        <v>173.4060775968469</v>
      </c>
      <c r="M158">
        <f t="shared" si="22"/>
        <v>496.14177999009411</v>
      </c>
      <c r="N158">
        <f t="shared" si="23"/>
        <v>0.61683926583892623</v>
      </c>
      <c r="O158">
        <f t="shared" si="24"/>
        <v>0.95930070640008402</v>
      </c>
    </row>
    <row r="159" spans="1:15" x14ac:dyDescent="0.35">
      <c r="A159">
        <v>14.5</v>
      </c>
      <c r="B159">
        <v>10.047499999999999</v>
      </c>
      <c r="C159" s="2">
        <v>86991</v>
      </c>
      <c r="G159">
        <f t="shared" si="25"/>
        <v>14.9</v>
      </c>
      <c r="H159">
        <f t="shared" si="18"/>
        <v>9.1999999999999993</v>
      </c>
      <c r="I159">
        <f t="shared" si="19"/>
        <v>989.99175999999989</v>
      </c>
      <c r="J159">
        <f t="shared" si="26"/>
        <v>9.2442686015</v>
      </c>
      <c r="K159">
        <f t="shared" si="20"/>
        <v>5.6557313985000004</v>
      </c>
      <c r="L159">
        <f t="shared" si="21"/>
        <v>175.04221651377631</v>
      </c>
      <c r="M159">
        <f t="shared" si="22"/>
        <v>496.97154053778542</v>
      </c>
      <c r="N159">
        <f t="shared" si="23"/>
        <v>0.62042071151006706</v>
      </c>
      <c r="O159">
        <f t="shared" si="24"/>
        <v>0.96869177514181271</v>
      </c>
    </row>
    <row r="160" spans="1:15" x14ac:dyDescent="0.35">
      <c r="A160">
        <v>14.6</v>
      </c>
      <c r="B160">
        <v>10.109500000000001</v>
      </c>
      <c r="C160" s="2">
        <v>87910</v>
      </c>
      <c r="G160">
        <f t="shared" si="25"/>
        <v>14.9</v>
      </c>
      <c r="H160">
        <f t="shared" si="18"/>
        <v>9.1999999999999993</v>
      </c>
      <c r="I160">
        <f t="shared" si="19"/>
        <v>989.99175999999989</v>
      </c>
      <c r="J160">
        <f t="shared" si="26"/>
        <v>9.2977830150000003</v>
      </c>
      <c r="K160">
        <f t="shared" si="20"/>
        <v>5.6022169850000001</v>
      </c>
      <c r="L160">
        <f t="shared" si="21"/>
        <v>176.71428340792835</v>
      </c>
      <c r="M160">
        <f t="shared" si="22"/>
        <v>497.46969121374309</v>
      </c>
      <c r="N160">
        <f t="shared" si="23"/>
        <v>0.62401228288590604</v>
      </c>
      <c r="O160">
        <f t="shared" si="24"/>
        <v>0.97819880337557896</v>
      </c>
    </row>
    <row r="161" spans="1:15" x14ac:dyDescent="0.35">
      <c r="A161">
        <v>14.7</v>
      </c>
      <c r="B161">
        <v>10.1715</v>
      </c>
      <c r="C161" s="2">
        <v>88880</v>
      </c>
      <c r="G161">
        <f t="shared" si="25"/>
        <v>14.9</v>
      </c>
      <c r="H161">
        <f t="shared" si="18"/>
        <v>9.1999999999999993</v>
      </c>
      <c r="I161">
        <f t="shared" si="19"/>
        <v>989.99175999999989</v>
      </c>
      <c r="J161">
        <f t="shared" si="26"/>
        <v>9.35082652</v>
      </c>
      <c r="K161">
        <f t="shared" si="20"/>
        <v>5.5491734800000003</v>
      </c>
      <c r="L161">
        <f t="shared" si="21"/>
        <v>178.40346198727957</v>
      </c>
      <c r="M161">
        <f t="shared" si="22"/>
        <v>498.1966101439067</v>
      </c>
      <c r="N161">
        <f t="shared" si="23"/>
        <v>0.62757224966442948</v>
      </c>
      <c r="O161">
        <f t="shared" si="24"/>
        <v>0.98771221880565285</v>
      </c>
    </row>
    <row r="162" spans="1:15" x14ac:dyDescent="0.35">
      <c r="A162">
        <v>14.8</v>
      </c>
      <c r="B162">
        <v>10.233499999999999</v>
      </c>
      <c r="C162" s="2">
        <v>89890</v>
      </c>
      <c r="G162">
        <f t="shared" si="25"/>
        <v>14.9</v>
      </c>
      <c r="H162">
        <f t="shared" si="18"/>
        <v>9.1999999999999993</v>
      </c>
      <c r="I162">
        <f t="shared" si="19"/>
        <v>989.99175999999989</v>
      </c>
      <c r="J162">
        <f t="shared" si="26"/>
        <v>9.4035006849999991</v>
      </c>
      <c r="K162">
        <f t="shared" si="20"/>
        <v>5.4964993150000012</v>
      </c>
      <c r="L162">
        <f t="shared" si="21"/>
        <v>180.11314170426667</v>
      </c>
      <c r="M162">
        <f t="shared" si="22"/>
        <v>499.07518768171383</v>
      </c>
      <c r="N162">
        <f t="shared" si="23"/>
        <v>0.63110742852348989</v>
      </c>
      <c r="O162">
        <f t="shared" si="24"/>
        <v>0.99724981153940084</v>
      </c>
    </row>
    <row r="163" spans="1:15" x14ac:dyDescent="0.35">
      <c r="A163">
        <v>14.9</v>
      </c>
      <c r="B163">
        <v>10.297599999999999</v>
      </c>
      <c r="C163" s="2">
        <v>90895</v>
      </c>
      <c r="G163">
        <f t="shared" si="25"/>
        <v>14.9</v>
      </c>
      <c r="H163">
        <f t="shared" si="18"/>
        <v>9.1999999999999993</v>
      </c>
      <c r="I163">
        <f t="shared" si="19"/>
        <v>989.99175999999989</v>
      </c>
      <c r="J163">
        <f t="shared" si="26"/>
        <v>9.4583210174999994</v>
      </c>
      <c r="K163">
        <f t="shared" si="20"/>
        <v>5.4416789825000009</v>
      </c>
      <c r="L163">
        <f t="shared" si="21"/>
        <v>181.92762990682348</v>
      </c>
      <c r="M163">
        <f t="shared" si="22"/>
        <v>499.62174545204056</v>
      </c>
      <c r="N163">
        <f t="shared" si="23"/>
        <v>0.63478664546979857</v>
      </c>
      <c r="O163">
        <f t="shared" si="24"/>
        <v>1.007273563213035</v>
      </c>
    </row>
    <row r="164" spans="1:15" x14ac:dyDescent="0.35">
      <c r="A164">
        <v>15</v>
      </c>
      <c r="B164">
        <v>10.4199</v>
      </c>
      <c r="C164" s="2">
        <v>92904</v>
      </c>
      <c r="G164">
        <f t="shared" si="25"/>
        <v>14.9</v>
      </c>
      <c r="H164">
        <f t="shared" si="18"/>
        <v>9.1999999999999993</v>
      </c>
      <c r="I164">
        <f t="shared" si="19"/>
        <v>989.99175999999989</v>
      </c>
      <c r="J164">
        <f t="shared" si="26"/>
        <v>9.5620709159999997</v>
      </c>
      <c r="K164">
        <f t="shared" si="20"/>
        <v>5.3379290840000007</v>
      </c>
      <c r="L164">
        <f t="shared" si="21"/>
        <v>185.46364037832913</v>
      </c>
      <c r="M164">
        <f t="shared" si="22"/>
        <v>500.92837501994569</v>
      </c>
      <c r="N164">
        <f t="shared" si="23"/>
        <v>0.64174972590604018</v>
      </c>
      <c r="O164">
        <f t="shared" si="24"/>
        <v>1.0265234471828444</v>
      </c>
    </row>
    <row r="165" spans="1:15" x14ac:dyDescent="0.35">
      <c r="A165">
        <v>15.1</v>
      </c>
      <c r="B165">
        <v>10.482100000000001</v>
      </c>
      <c r="C165" s="2">
        <v>93974</v>
      </c>
      <c r="G165">
        <f t="shared" si="25"/>
        <v>14.9</v>
      </c>
      <c r="H165">
        <f t="shared" si="18"/>
        <v>9.1999999999999993</v>
      </c>
      <c r="I165">
        <f t="shared" si="19"/>
        <v>989.99175999999989</v>
      </c>
      <c r="J165">
        <f t="shared" si="26"/>
        <v>9.614391071</v>
      </c>
      <c r="K165">
        <f t="shared" si="20"/>
        <v>5.2856089290000003</v>
      </c>
      <c r="L165">
        <f t="shared" si="21"/>
        <v>187.29947169725614</v>
      </c>
      <c r="M165">
        <f t="shared" si="22"/>
        <v>501.73126036306212</v>
      </c>
      <c r="N165">
        <f t="shared" si="23"/>
        <v>0.64526114570469795</v>
      </c>
      <c r="O165">
        <f t="shared" si="24"/>
        <v>1.0363733819125056</v>
      </c>
    </row>
    <row r="166" spans="1:15" x14ac:dyDescent="0.35">
      <c r="A166">
        <v>15.2</v>
      </c>
      <c r="B166">
        <v>10.5443</v>
      </c>
      <c r="C166" s="2">
        <v>95060</v>
      </c>
      <c r="G166">
        <f t="shared" si="25"/>
        <v>14.9</v>
      </c>
      <c r="H166">
        <f t="shared" si="18"/>
        <v>9.1999999999999993</v>
      </c>
      <c r="I166">
        <f t="shared" si="19"/>
        <v>989.99175999999989</v>
      </c>
      <c r="J166">
        <f t="shared" si="26"/>
        <v>9.6665634899999997</v>
      </c>
      <c r="K166">
        <f t="shared" si="20"/>
        <v>5.2334365100000007</v>
      </c>
      <c r="L166">
        <f t="shared" si="21"/>
        <v>189.16667052487082</v>
      </c>
      <c r="M166">
        <f t="shared" si="22"/>
        <v>502.51981353925623</v>
      </c>
      <c r="N166">
        <f t="shared" si="23"/>
        <v>0.64876265033557046</v>
      </c>
      <c r="O166">
        <f t="shared" si="24"/>
        <v>1.0462930741729803</v>
      </c>
    </row>
    <row r="167" spans="1:15" x14ac:dyDescent="0.35">
      <c r="A167">
        <v>15.3</v>
      </c>
      <c r="B167">
        <v>10.606400000000001</v>
      </c>
      <c r="C167" s="2">
        <v>96116</v>
      </c>
      <c r="G167">
        <f t="shared" si="25"/>
        <v>14.9</v>
      </c>
      <c r="H167">
        <f t="shared" si="18"/>
        <v>9.1999999999999993</v>
      </c>
      <c r="I167">
        <f t="shared" si="19"/>
        <v>989.99175999999989</v>
      </c>
      <c r="J167">
        <f t="shared" si="26"/>
        <v>9.7189129140000006</v>
      </c>
      <c r="K167">
        <f t="shared" si="20"/>
        <v>5.1810870859999998</v>
      </c>
      <c r="L167">
        <f t="shared" si="21"/>
        <v>191.07800034380659</v>
      </c>
      <c r="M167">
        <f t="shared" si="22"/>
        <v>503.01970832360871</v>
      </c>
      <c r="N167">
        <f t="shared" si="23"/>
        <v>0.65227603449664429</v>
      </c>
      <c r="O167">
        <f t="shared" si="24"/>
        <v>1.0563463165358427</v>
      </c>
    </row>
    <row r="168" spans="1:15" x14ac:dyDescent="0.35">
      <c r="A168">
        <v>15.4</v>
      </c>
      <c r="B168">
        <v>10.6684</v>
      </c>
      <c r="C168" s="2">
        <v>97242</v>
      </c>
      <c r="G168">
        <f t="shared" si="25"/>
        <v>14.9</v>
      </c>
      <c r="H168">
        <f t="shared" si="18"/>
        <v>9.1999999999999993</v>
      </c>
      <c r="I168">
        <f t="shared" si="19"/>
        <v>989.99175999999989</v>
      </c>
      <c r="J168">
        <f t="shared" si="26"/>
        <v>9.7705159930000001</v>
      </c>
      <c r="K168">
        <f t="shared" si="20"/>
        <v>5.1294840070000003</v>
      </c>
      <c r="L168">
        <f t="shared" si="21"/>
        <v>193.00026253108462</v>
      </c>
      <c r="M168">
        <f t="shared" si="22"/>
        <v>503.8438742244623</v>
      </c>
      <c r="N168">
        <f t="shared" si="23"/>
        <v>0.65573932838926174</v>
      </c>
      <c r="O168">
        <f t="shared" si="24"/>
        <v>1.0663561422583869</v>
      </c>
    </row>
    <row r="169" spans="1:15" x14ac:dyDescent="0.35">
      <c r="A169">
        <v>15.5</v>
      </c>
      <c r="B169">
        <v>10.730399999999999</v>
      </c>
      <c r="C169" s="2">
        <v>98428</v>
      </c>
      <c r="G169">
        <f t="shared" si="25"/>
        <v>14.9</v>
      </c>
      <c r="H169">
        <f t="shared" si="18"/>
        <v>9.1999999999999993</v>
      </c>
      <c r="I169">
        <f t="shared" si="19"/>
        <v>989.99175999999989</v>
      </c>
      <c r="J169">
        <f t="shared" si="26"/>
        <v>9.8215650619999995</v>
      </c>
      <c r="K169">
        <f t="shared" si="20"/>
        <v>5.0784349380000009</v>
      </c>
      <c r="L169">
        <f t="shared" si="21"/>
        <v>194.94032553066052</v>
      </c>
      <c r="M169">
        <f t="shared" si="22"/>
        <v>504.91348945920936</v>
      </c>
      <c r="N169">
        <f t="shared" si="23"/>
        <v>0.65916544040268454</v>
      </c>
      <c r="O169">
        <f t="shared" si="24"/>
        <v>1.0763580818992278</v>
      </c>
    </row>
    <row r="170" spans="1:15" x14ac:dyDescent="0.35">
      <c r="A170">
        <v>15.6</v>
      </c>
      <c r="B170">
        <v>10.794499999999999</v>
      </c>
      <c r="C170" s="2">
        <v>99594</v>
      </c>
      <c r="G170">
        <f t="shared" si="25"/>
        <v>14.9</v>
      </c>
      <c r="H170">
        <f t="shared" si="18"/>
        <v>9.1999999999999993</v>
      </c>
      <c r="I170">
        <f t="shared" si="19"/>
        <v>989.99175999999989</v>
      </c>
      <c r="J170">
        <f t="shared" si="26"/>
        <v>9.8748988009999987</v>
      </c>
      <c r="K170">
        <f t="shared" si="20"/>
        <v>5.0251011990000016</v>
      </c>
      <c r="L170">
        <f t="shared" si="21"/>
        <v>197.00931798090133</v>
      </c>
      <c r="M170">
        <f t="shared" si="22"/>
        <v>505.52938825794496</v>
      </c>
      <c r="N170">
        <f t="shared" si="23"/>
        <v>0.66274488597315429</v>
      </c>
      <c r="O170">
        <f t="shared" si="24"/>
        <v>1.0869156201045851</v>
      </c>
    </row>
    <row r="171" spans="1:15" x14ac:dyDescent="0.35">
      <c r="A171">
        <v>15.7</v>
      </c>
      <c r="B171">
        <v>10.8565</v>
      </c>
      <c r="C171" s="2">
        <v>100777</v>
      </c>
      <c r="G171">
        <f t="shared" si="25"/>
        <v>14.9</v>
      </c>
      <c r="H171">
        <f t="shared" si="18"/>
        <v>9.1999999999999993</v>
      </c>
      <c r="I171">
        <f t="shared" si="19"/>
        <v>989.99175999999989</v>
      </c>
      <c r="J171">
        <f t="shared" si="26"/>
        <v>9.9259755705000003</v>
      </c>
      <c r="K171">
        <f t="shared" si="20"/>
        <v>4.9740244295</v>
      </c>
      <c r="L171">
        <f t="shared" si="21"/>
        <v>199.03234775618424</v>
      </c>
      <c r="M171">
        <f t="shared" si="22"/>
        <v>506.33477992960422</v>
      </c>
      <c r="N171">
        <f t="shared" si="23"/>
        <v>0.66617285708053697</v>
      </c>
      <c r="O171">
        <f t="shared" si="24"/>
        <v>1.0971319561427764</v>
      </c>
    </row>
    <row r="172" spans="1:15" x14ac:dyDescent="0.35">
      <c r="A172">
        <v>15.8</v>
      </c>
      <c r="B172">
        <v>10.9184</v>
      </c>
      <c r="C172" s="2">
        <v>101969</v>
      </c>
      <c r="G172">
        <f t="shared" si="25"/>
        <v>14.9</v>
      </c>
      <c r="H172">
        <f t="shared" si="18"/>
        <v>9.1999999999999993</v>
      </c>
      <c r="I172">
        <f t="shared" si="19"/>
        <v>989.99175999999989</v>
      </c>
      <c r="J172">
        <f t="shared" si="26"/>
        <v>9.9768692385000008</v>
      </c>
      <c r="K172">
        <f t="shared" si="20"/>
        <v>4.9231307614999995</v>
      </c>
      <c r="L172">
        <f t="shared" si="21"/>
        <v>201.08987714524267</v>
      </c>
      <c r="M172">
        <f t="shared" si="22"/>
        <v>507.08171613407518</v>
      </c>
      <c r="N172">
        <f t="shared" si="23"/>
        <v>0.66958853949664432</v>
      </c>
      <c r="O172">
        <f t="shared" si="24"/>
        <v>1.1074165511833878</v>
      </c>
    </row>
    <row r="173" spans="1:15" x14ac:dyDescent="0.35">
      <c r="A173">
        <v>15.9</v>
      </c>
      <c r="B173">
        <v>10.9803</v>
      </c>
      <c r="C173" s="2">
        <v>103120</v>
      </c>
      <c r="G173">
        <f t="shared" si="25"/>
        <v>14.9</v>
      </c>
      <c r="H173">
        <f t="shared" si="18"/>
        <v>9.1999999999999993</v>
      </c>
      <c r="I173">
        <f t="shared" si="19"/>
        <v>989.99175999999989</v>
      </c>
      <c r="J173">
        <f t="shared" si="26"/>
        <v>10.02814148</v>
      </c>
      <c r="K173">
        <f t="shared" si="20"/>
        <v>4.87185852</v>
      </c>
      <c r="L173">
        <f t="shared" si="21"/>
        <v>203.20618013349039</v>
      </c>
      <c r="M173">
        <f t="shared" si="22"/>
        <v>507.46488090203906</v>
      </c>
      <c r="N173">
        <f t="shared" si="23"/>
        <v>0.6730296295302014</v>
      </c>
      <c r="O173">
        <f t="shared" si="24"/>
        <v>1.1178857223743364</v>
      </c>
    </row>
    <row r="174" spans="1:15" x14ac:dyDescent="0.35">
      <c r="A174">
        <v>16</v>
      </c>
      <c r="B174">
        <v>11.042400000000001</v>
      </c>
      <c r="C174" s="2">
        <v>104358</v>
      </c>
      <c r="G174">
        <f t="shared" si="25"/>
        <v>14.9</v>
      </c>
      <c r="H174">
        <f t="shared" si="18"/>
        <v>9.1999999999999993</v>
      </c>
      <c r="I174">
        <f t="shared" si="19"/>
        <v>989.99175999999989</v>
      </c>
      <c r="J174">
        <f t="shared" si="26"/>
        <v>10.078810407000001</v>
      </c>
      <c r="K174">
        <f t="shared" si="20"/>
        <v>4.8211895929999997</v>
      </c>
      <c r="L174">
        <f t="shared" si="21"/>
        <v>205.34180224677175</v>
      </c>
      <c r="M174">
        <f t="shared" si="22"/>
        <v>508.21605176420258</v>
      </c>
      <c r="N174">
        <f t="shared" si="23"/>
        <v>0.67643022865771818</v>
      </c>
      <c r="O174">
        <f t="shared" si="24"/>
        <v>1.1283405118129139</v>
      </c>
    </row>
    <row r="175" spans="1:15" x14ac:dyDescent="0.35">
      <c r="A175">
        <v>16.100000000000001</v>
      </c>
      <c r="B175">
        <v>11.1046</v>
      </c>
      <c r="C175" s="2">
        <v>105620</v>
      </c>
      <c r="G175">
        <f t="shared" si="25"/>
        <v>14.9</v>
      </c>
      <c r="H175">
        <f t="shared" si="18"/>
        <v>9.1999999999999993</v>
      </c>
      <c r="I175">
        <f t="shared" si="19"/>
        <v>989.99175999999989</v>
      </c>
      <c r="J175">
        <f t="shared" si="26"/>
        <v>10.129357729999999</v>
      </c>
      <c r="K175">
        <f t="shared" si="20"/>
        <v>4.7706422700000015</v>
      </c>
      <c r="L175">
        <f t="shared" si="21"/>
        <v>207.51750057335562</v>
      </c>
      <c r="M175">
        <f t="shared" si="22"/>
        <v>508.96912167976046</v>
      </c>
      <c r="N175">
        <f t="shared" si="23"/>
        <v>0.67982266644295297</v>
      </c>
      <c r="O175">
        <f t="shared" si="24"/>
        <v>1.1388802693166222</v>
      </c>
    </row>
    <row r="176" spans="1:15" x14ac:dyDescent="0.35">
      <c r="A176">
        <v>16.2</v>
      </c>
      <c r="B176">
        <v>11.166600000000001</v>
      </c>
      <c r="C176" s="2">
        <v>106925</v>
      </c>
      <c r="G176">
        <f t="shared" si="25"/>
        <v>14.9</v>
      </c>
      <c r="H176">
        <f t="shared" si="18"/>
        <v>9.1999999999999993</v>
      </c>
      <c r="I176">
        <f t="shared" si="19"/>
        <v>989.99175999999989</v>
      </c>
      <c r="J176">
        <f t="shared" si="26"/>
        <v>10.1793080125</v>
      </c>
      <c r="K176">
        <f t="shared" si="20"/>
        <v>4.7206919875000004</v>
      </c>
      <c r="L176">
        <f t="shared" si="21"/>
        <v>209.71327140627173</v>
      </c>
      <c r="M176">
        <f t="shared" si="22"/>
        <v>509.86282023543066</v>
      </c>
      <c r="N176">
        <f t="shared" si="23"/>
        <v>0.68317503439597316</v>
      </c>
      <c r="O176">
        <f t="shared" si="24"/>
        <v>1.1494058165785954</v>
      </c>
    </row>
    <row r="177" spans="1:15" x14ac:dyDescent="0.35">
      <c r="A177">
        <v>16.3</v>
      </c>
      <c r="B177">
        <v>11.228899999999999</v>
      </c>
      <c r="C177" s="2">
        <v>108162</v>
      </c>
      <c r="G177">
        <f t="shared" si="25"/>
        <v>14.9</v>
      </c>
      <c r="H177">
        <f t="shared" si="18"/>
        <v>9.1999999999999993</v>
      </c>
      <c r="I177">
        <f t="shared" si="19"/>
        <v>989.99175999999989</v>
      </c>
      <c r="J177">
        <f t="shared" si="26"/>
        <v>10.230186173</v>
      </c>
      <c r="K177">
        <f t="shared" si="20"/>
        <v>4.6698138270000005</v>
      </c>
      <c r="L177">
        <f t="shared" si="21"/>
        <v>211.99812169728276</v>
      </c>
      <c r="M177">
        <f t="shared" si="22"/>
        <v>510.20263356128754</v>
      </c>
      <c r="N177">
        <f t="shared" si="23"/>
        <v>0.68658967604026844</v>
      </c>
      <c r="O177">
        <f t="shared" si="24"/>
        <v>1.160242007804025</v>
      </c>
    </row>
    <row r="178" spans="1:15" x14ac:dyDescent="0.35">
      <c r="A178">
        <v>16.399999999999999</v>
      </c>
      <c r="B178">
        <v>11.293100000000001</v>
      </c>
      <c r="C178" s="2">
        <v>109542</v>
      </c>
      <c r="G178">
        <f t="shared" si="25"/>
        <v>14.9</v>
      </c>
      <c r="H178">
        <f t="shared" si="18"/>
        <v>9.1999999999999993</v>
      </c>
      <c r="I178">
        <f t="shared" si="19"/>
        <v>989.99175999999989</v>
      </c>
      <c r="J178">
        <f t="shared" si="26"/>
        <v>10.281643943000001</v>
      </c>
      <c r="K178">
        <f t="shared" si="20"/>
        <v>4.6183560569999997</v>
      </c>
      <c r="L178">
        <f t="shared" si="21"/>
        <v>214.36020691810421</v>
      </c>
      <c r="M178">
        <f t="shared" si="22"/>
        <v>511.01835352235059</v>
      </c>
      <c r="N178">
        <f t="shared" si="23"/>
        <v>0.69004321765100674</v>
      </c>
      <c r="O178">
        <f t="shared" si="24"/>
        <v>1.1713224029991114</v>
      </c>
    </row>
    <row r="179" spans="1:15" x14ac:dyDescent="0.35">
      <c r="A179">
        <v>16.5</v>
      </c>
      <c r="B179">
        <v>11.3551</v>
      </c>
      <c r="C179" s="2">
        <v>110872</v>
      </c>
      <c r="G179">
        <f t="shared" si="25"/>
        <v>14.9</v>
      </c>
      <c r="H179">
        <f t="shared" si="18"/>
        <v>9.1999999999999993</v>
      </c>
      <c r="I179">
        <f t="shared" si="19"/>
        <v>989.99175999999989</v>
      </c>
      <c r="J179">
        <f t="shared" si="26"/>
        <v>10.331363388</v>
      </c>
      <c r="K179">
        <f t="shared" si="20"/>
        <v>4.5686366120000006</v>
      </c>
      <c r="L179">
        <f t="shared" si="21"/>
        <v>216.69304085154928</v>
      </c>
      <c r="M179">
        <f t="shared" si="22"/>
        <v>511.65464088879298</v>
      </c>
      <c r="N179">
        <f t="shared" si="23"/>
        <v>0.69338009315436233</v>
      </c>
      <c r="O179">
        <f t="shared" si="24"/>
        <v>1.1821463869103321</v>
      </c>
    </row>
    <row r="180" spans="1:15" x14ac:dyDescent="0.35">
      <c r="A180">
        <v>16.600000000000001</v>
      </c>
      <c r="B180">
        <v>11.4171</v>
      </c>
      <c r="C180" s="2">
        <v>112172</v>
      </c>
      <c r="G180">
        <f t="shared" si="25"/>
        <v>14.9</v>
      </c>
      <c r="H180">
        <f t="shared" si="18"/>
        <v>9.1999999999999993</v>
      </c>
      <c r="I180">
        <f t="shared" si="19"/>
        <v>989.99175999999989</v>
      </c>
      <c r="J180">
        <f t="shared" si="26"/>
        <v>10.381359838</v>
      </c>
      <c r="K180">
        <f t="shared" si="20"/>
        <v>4.5186401620000005</v>
      </c>
      <c r="L180">
        <f t="shared" si="21"/>
        <v>219.09063888854087</v>
      </c>
      <c r="M180">
        <f t="shared" si="22"/>
        <v>511.98901317306326</v>
      </c>
      <c r="N180">
        <f t="shared" si="23"/>
        <v>0.69673555959731537</v>
      </c>
      <c r="O180">
        <f t="shared" si="24"/>
        <v>1.1931501134864915</v>
      </c>
    </row>
    <row r="181" spans="1:15" x14ac:dyDescent="0.35">
      <c r="A181">
        <v>16.7</v>
      </c>
      <c r="B181">
        <v>11.479200000000001</v>
      </c>
      <c r="C181" s="2">
        <v>113604</v>
      </c>
      <c r="G181">
        <f t="shared" si="25"/>
        <v>14.9</v>
      </c>
      <c r="H181">
        <f t="shared" si="18"/>
        <v>9.1999999999999993</v>
      </c>
      <c r="I181">
        <f t="shared" si="19"/>
        <v>989.99175999999989</v>
      </c>
      <c r="J181">
        <f t="shared" si="26"/>
        <v>10.430237466000001</v>
      </c>
      <c r="K181">
        <f t="shared" si="20"/>
        <v>4.4697625339999991</v>
      </c>
      <c r="L181">
        <f t="shared" si="21"/>
        <v>221.48643299715843</v>
      </c>
      <c r="M181">
        <f t="shared" si="22"/>
        <v>512.91629226543864</v>
      </c>
      <c r="N181">
        <f t="shared" si="23"/>
        <v>0.70001593731543632</v>
      </c>
      <c r="O181">
        <f t="shared" si="24"/>
        <v>1.2040259301218739</v>
      </c>
    </row>
    <row r="182" spans="1:15" x14ac:dyDescent="0.35">
      <c r="A182">
        <v>16.8</v>
      </c>
      <c r="B182">
        <v>11.541499999999999</v>
      </c>
      <c r="C182" s="2">
        <v>115051</v>
      </c>
      <c r="G182">
        <f t="shared" si="25"/>
        <v>14.9</v>
      </c>
      <c r="H182">
        <f t="shared" si="18"/>
        <v>9.1999999999999993</v>
      </c>
      <c r="I182">
        <f t="shared" si="19"/>
        <v>989.99175999999989</v>
      </c>
      <c r="J182">
        <f t="shared" si="26"/>
        <v>10.4791765915</v>
      </c>
      <c r="K182">
        <f t="shared" si="20"/>
        <v>4.4208234085000004</v>
      </c>
      <c r="L182">
        <f t="shared" si="21"/>
        <v>223.93831839030804</v>
      </c>
      <c r="M182">
        <f t="shared" si="22"/>
        <v>513.76200744472214</v>
      </c>
      <c r="N182">
        <f t="shared" si="23"/>
        <v>0.70330044238255029</v>
      </c>
      <c r="O182">
        <f t="shared" si="24"/>
        <v>1.2150352426960793</v>
      </c>
    </row>
    <row r="183" spans="1:15" x14ac:dyDescent="0.35">
      <c r="A183">
        <v>16.899999999999999</v>
      </c>
      <c r="B183">
        <v>11.603400000000001</v>
      </c>
      <c r="C183" s="2">
        <v>116513</v>
      </c>
      <c r="G183">
        <f t="shared" si="25"/>
        <v>14.9</v>
      </c>
      <c r="H183">
        <f t="shared" si="18"/>
        <v>9.1999999999999993</v>
      </c>
      <c r="I183">
        <f t="shared" si="19"/>
        <v>989.99175999999989</v>
      </c>
      <c r="J183">
        <f t="shared" si="26"/>
        <v>10.527577214500001</v>
      </c>
      <c r="K183">
        <f t="shared" si="20"/>
        <v>4.3724227854999995</v>
      </c>
      <c r="L183">
        <f t="shared" si="21"/>
        <v>226.41720816272604</v>
      </c>
      <c r="M183">
        <f t="shared" si="22"/>
        <v>514.59427905436462</v>
      </c>
      <c r="N183">
        <f t="shared" si="23"/>
        <v>0.7065488063422819</v>
      </c>
      <c r="O183">
        <f t="shared" si="24"/>
        <v>1.2260439443162143</v>
      </c>
    </row>
    <row r="184" spans="1:15" x14ac:dyDescent="0.35">
      <c r="A184">
        <v>17</v>
      </c>
      <c r="B184">
        <v>11.6653</v>
      </c>
      <c r="C184" s="2">
        <v>117938</v>
      </c>
      <c r="G184">
        <f t="shared" si="25"/>
        <v>14.9</v>
      </c>
      <c r="H184">
        <f t="shared" si="18"/>
        <v>9.1999999999999993</v>
      </c>
      <c r="I184">
        <f t="shared" si="19"/>
        <v>989.99175999999989</v>
      </c>
      <c r="J184">
        <f t="shared" si="26"/>
        <v>10.576319477</v>
      </c>
      <c r="K184">
        <f t="shared" si="20"/>
        <v>4.3236805230000002</v>
      </c>
      <c r="L184">
        <f t="shared" si="21"/>
        <v>228.96968329035809</v>
      </c>
      <c r="M184">
        <f t="shared" si="22"/>
        <v>515.08129069839333</v>
      </c>
      <c r="N184">
        <f t="shared" si="23"/>
        <v>0.70982009912751676</v>
      </c>
      <c r="O184">
        <f t="shared" si="24"/>
        <v>1.2372542005016478</v>
      </c>
    </row>
    <row r="185" spans="1:15" x14ac:dyDescent="0.35">
      <c r="A185">
        <v>17.100000000000001</v>
      </c>
      <c r="B185">
        <v>11.7277</v>
      </c>
      <c r="C185" s="2">
        <v>119480</v>
      </c>
      <c r="G185">
        <f t="shared" si="25"/>
        <v>14.9</v>
      </c>
      <c r="H185">
        <f t="shared" si="18"/>
        <v>9.1999999999999993</v>
      </c>
      <c r="I185">
        <f t="shared" si="19"/>
        <v>989.99175999999989</v>
      </c>
      <c r="J185">
        <f t="shared" si="26"/>
        <v>10.62448142</v>
      </c>
      <c r="K185">
        <f t="shared" si="20"/>
        <v>4.27551858</v>
      </c>
      <c r="L185">
        <f t="shared" si="21"/>
        <v>231.54893177893754</v>
      </c>
      <c r="M185">
        <f t="shared" si="22"/>
        <v>516.00324424760868</v>
      </c>
      <c r="N185">
        <f t="shared" si="23"/>
        <v>0.71305244429530201</v>
      </c>
      <c r="O185">
        <f t="shared" si="24"/>
        <v>1.2484558126564207</v>
      </c>
    </row>
    <row r="186" spans="1:15" x14ac:dyDescent="0.35">
      <c r="A186">
        <v>17.2</v>
      </c>
      <c r="B186">
        <v>11.792199999999999</v>
      </c>
      <c r="C186" s="2">
        <v>121046</v>
      </c>
      <c r="G186">
        <f t="shared" si="25"/>
        <v>14.9</v>
      </c>
      <c r="H186">
        <f t="shared" si="18"/>
        <v>9.1999999999999993</v>
      </c>
      <c r="I186">
        <f t="shared" si="19"/>
        <v>989.99175999999989</v>
      </c>
      <c r="J186">
        <f t="shared" si="26"/>
        <v>10.674521758999999</v>
      </c>
      <c r="K186">
        <f t="shared" si="20"/>
        <v>4.2254782410000011</v>
      </c>
      <c r="L186">
        <f t="shared" si="21"/>
        <v>234.29105619195155</v>
      </c>
      <c r="M186">
        <f t="shared" si="22"/>
        <v>516.64797610041342</v>
      </c>
      <c r="N186">
        <f t="shared" si="23"/>
        <v>0.71641085630872481</v>
      </c>
      <c r="O186">
        <f t="shared" si="24"/>
        <v>1.260228765412041</v>
      </c>
    </row>
    <row r="187" spans="1:15" x14ac:dyDescent="0.35">
      <c r="A187">
        <v>17.3</v>
      </c>
      <c r="B187">
        <v>11.8546</v>
      </c>
      <c r="C187" s="2">
        <v>122640</v>
      </c>
      <c r="G187">
        <f t="shared" si="25"/>
        <v>14.9</v>
      </c>
      <c r="H187">
        <f t="shared" si="18"/>
        <v>9.1999999999999993</v>
      </c>
      <c r="I187">
        <f t="shared" si="19"/>
        <v>989.99175999999989</v>
      </c>
      <c r="J187">
        <f t="shared" si="26"/>
        <v>10.722203560000001</v>
      </c>
      <c r="K187">
        <f t="shared" si="20"/>
        <v>4.1777964399999998</v>
      </c>
      <c r="L187">
        <f t="shared" si="21"/>
        <v>236.96505423801833</v>
      </c>
      <c r="M187">
        <f t="shared" si="22"/>
        <v>517.54466663601329</v>
      </c>
      <c r="N187">
        <f t="shared" si="23"/>
        <v>0.71961097718120803</v>
      </c>
      <c r="O187">
        <f t="shared" si="24"/>
        <v>1.2715772728804846</v>
      </c>
    </row>
    <row r="188" spans="1:15" x14ac:dyDescent="0.35">
      <c r="A188">
        <v>17.399999999999999</v>
      </c>
      <c r="B188">
        <v>11.916399999999999</v>
      </c>
      <c r="C188" s="2">
        <v>124265</v>
      </c>
      <c r="G188">
        <f t="shared" si="25"/>
        <v>14.9</v>
      </c>
      <c r="H188">
        <f t="shared" si="18"/>
        <v>9.1999999999999993</v>
      </c>
      <c r="I188">
        <f t="shared" si="19"/>
        <v>989.99175999999989</v>
      </c>
      <c r="J188">
        <f t="shared" si="26"/>
        <v>10.768999122499999</v>
      </c>
      <c r="K188">
        <f t="shared" si="20"/>
        <v>4.1310008775000018</v>
      </c>
      <c r="L188">
        <f t="shared" si="21"/>
        <v>239.64937054167922</v>
      </c>
      <c r="M188">
        <f t="shared" si="22"/>
        <v>518.52838052160939</v>
      </c>
      <c r="N188">
        <f t="shared" si="23"/>
        <v>0.72275161895973139</v>
      </c>
      <c r="O188">
        <f t="shared" si="24"/>
        <v>1.2828414921185076</v>
      </c>
    </row>
    <row r="189" spans="1:15" x14ac:dyDescent="0.35">
      <c r="A189">
        <v>17.5</v>
      </c>
      <c r="B189">
        <v>11.9787</v>
      </c>
      <c r="C189" s="2">
        <v>125924</v>
      </c>
      <c r="G189">
        <f t="shared" si="25"/>
        <v>14.9</v>
      </c>
      <c r="H189">
        <f t="shared" si="18"/>
        <v>9.1999999999999993</v>
      </c>
      <c r="I189">
        <f t="shared" si="19"/>
        <v>989.99175999999989</v>
      </c>
      <c r="J189">
        <f t="shared" si="26"/>
        <v>10.815980745999999</v>
      </c>
      <c r="K189">
        <f t="shared" si="20"/>
        <v>4.0840192540000011</v>
      </c>
      <c r="L189">
        <f t="shared" si="21"/>
        <v>242.40624209358825</v>
      </c>
      <c r="M189">
        <f t="shared" si="22"/>
        <v>519.4750717326134</v>
      </c>
      <c r="N189">
        <f t="shared" si="23"/>
        <v>0.72590474805369121</v>
      </c>
      <c r="O189">
        <f t="shared" si="24"/>
        <v>1.2942795981645148</v>
      </c>
    </row>
    <row r="190" spans="1:15" x14ac:dyDescent="0.35">
      <c r="A190">
        <v>17.600000000000001</v>
      </c>
      <c r="B190">
        <v>12.040800000000001</v>
      </c>
      <c r="C190" s="2">
        <v>127541</v>
      </c>
      <c r="G190">
        <f t="shared" si="25"/>
        <v>14.9</v>
      </c>
      <c r="H190">
        <f t="shared" si="18"/>
        <v>9.1999999999999993</v>
      </c>
      <c r="I190">
        <f t="shared" si="19"/>
        <v>989.99175999999989</v>
      </c>
      <c r="J190">
        <f t="shared" si="26"/>
        <v>10.863150176500001</v>
      </c>
      <c r="K190">
        <f t="shared" si="20"/>
        <v>4.036849823499999</v>
      </c>
      <c r="L190">
        <f t="shared" si="21"/>
        <v>245.23868939510481</v>
      </c>
      <c r="M190">
        <f t="shared" si="22"/>
        <v>520.06883707700092</v>
      </c>
      <c r="N190">
        <f t="shared" si="23"/>
        <v>0.72907048164429533</v>
      </c>
      <c r="O190">
        <f t="shared" si="24"/>
        <v>1.305896571797319</v>
      </c>
    </row>
    <row r="191" spans="1:15" x14ac:dyDescent="0.35">
      <c r="A191">
        <v>17.7</v>
      </c>
      <c r="B191">
        <v>12.1029</v>
      </c>
      <c r="C191" s="2">
        <v>129288</v>
      </c>
      <c r="G191">
        <f t="shared" si="25"/>
        <v>14.9</v>
      </c>
      <c r="H191">
        <f t="shared" si="18"/>
        <v>9.1999999999999993</v>
      </c>
      <c r="I191">
        <f t="shared" si="19"/>
        <v>989.99175999999989</v>
      </c>
      <c r="J191">
        <f t="shared" si="26"/>
        <v>10.909119252</v>
      </c>
      <c r="K191">
        <f t="shared" si="20"/>
        <v>3.9908807480000004</v>
      </c>
      <c r="L191">
        <f t="shared" si="21"/>
        <v>248.06347834275098</v>
      </c>
      <c r="M191">
        <f t="shared" si="22"/>
        <v>521.189176511352</v>
      </c>
      <c r="N191">
        <f t="shared" si="23"/>
        <v>0.73215565449664433</v>
      </c>
      <c r="O191">
        <f t="shared" si="24"/>
        <v>1.3173492675617582</v>
      </c>
    </row>
    <row r="192" spans="1:15" x14ac:dyDescent="0.35">
      <c r="A192">
        <v>17.8</v>
      </c>
      <c r="B192">
        <v>12.164999999999999</v>
      </c>
      <c r="C192" s="2">
        <v>131076</v>
      </c>
      <c r="G192">
        <f t="shared" si="25"/>
        <v>14.9</v>
      </c>
      <c r="H192">
        <f t="shared" si="18"/>
        <v>9.1999999999999993</v>
      </c>
      <c r="I192">
        <f t="shared" si="19"/>
        <v>989.99175999999989</v>
      </c>
      <c r="J192">
        <f t="shared" si="26"/>
        <v>10.954709754</v>
      </c>
      <c r="K192">
        <f t="shared" si="20"/>
        <v>3.9452902460000008</v>
      </c>
      <c r="L192">
        <f t="shared" si="21"/>
        <v>250.93001991519375</v>
      </c>
      <c r="M192">
        <f t="shared" si="22"/>
        <v>522.36077630049783</v>
      </c>
      <c r="N192">
        <f t="shared" si="23"/>
        <v>0.73521541973154358</v>
      </c>
      <c r="O192">
        <f t="shared" si="24"/>
        <v>1.3288386882294008</v>
      </c>
    </row>
    <row r="193" spans="1:15" x14ac:dyDescent="0.35">
      <c r="A193">
        <v>17.899999999999999</v>
      </c>
      <c r="B193">
        <v>12.226900000000001</v>
      </c>
      <c r="C193" s="2">
        <v>132898</v>
      </c>
      <c r="G193">
        <f t="shared" si="25"/>
        <v>14.9</v>
      </c>
      <c r="H193">
        <f t="shared" si="18"/>
        <v>9.1999999999999993</v>
      </c>
      <c r="I193">
        <f t="shared" si="19"/>
        <v>989.99175999999989</v>
      </c>
      <c r="J193">
        <f t="shared" si="26"/>
        <v>10.999786317</v>
      </c>
      <c r="K193">
        <f t="shared" si="20"/>
        <v>3.9002136830000005</v>
      </c>
      <c r="L193">
        <f t="shared" si="21"/>
        <v>253.83013354245489</v>
      </c>
      <c r="M193">
        <f t="shared" si="22"/>
        <v>523.57061844972736</v>
      </c>
      <c r="N193">
        <f t="shared" si="23"/>
        <v>0.73824069241610735</v>
      </c>
      <c r="O193">
        <f t="shared" si="24"/>
        <v>1.3403298708039375</v>
      </c>
    </row>
    <row r="194" spans="1:15" x14ac:dyDescent="0.35">
      <c r="A194">
        <v>18</v>
      </c>
      <c r="B194">
        <v>12.291</v>
      </c>
      <c r="C194" s="2">
        <v>134751</v>
      </c>
      <c r="G194">
        <f t="shared" si="25"/>
        <v>14.9</v>
      </c>
      <c r="H194">
        <f t="shared" si="18"/>
        <v>9.1999999999999993</v>
      </c>
      <c r="I194">
        <f t="shared" si="19"/>
        <v>989.99175999999989</v>
      </c>
      <c r="J194">
        <f t="shared" si="26"/>
        <v>11.046776641500001</v>
      </c>
      <c r="K194">
        <f t="shared" si="20"/>
        <v>3.8532233584999993</v>
      </c>
      <c r="L194">
        <f t="shared" si="21"/>
        <v>256.92560952017806</v>
      </c>
      <c r="M194">
        <f t="shared" si="22"/>
        <v>524.47477015488846</v>
      </c>
      <c r="N194">
        <f t="shared" si="23"/>
        <v>0.74139440546979873</v>
      </c>
      <c r="O194">
        <f t="shared" si="24"/>
        <v>1.3524511789642315</v>
      </c>
    </row>
    <row r="195" spans="1:15" x14ac:dyDescent="0.35">
      <c r="A195">
        <v>18.100000000000001</v>
      </c>
      <c r="B195">
        <v>12.353199999999999</v>
      </c>
      <c r="C195" s="2">
        <v>136661</v>
      </c>
      <c r="G195">
        <f t="shared" si="25"/>
        <v>14.9</v>
      </c>
      <c r="H195">
        <f t="shared" si="18"/>
        <v>9.1999999999999993</v>
      </c>
      <c r="I195">
        <f t="shared" si="19"/>
        <v>989.99175999999989</v>
      </c>
      <c r="J195">
        <f t="shared" si="26"/>
        <v>11.0913406565</v>
      </c>
      <c r="K195">
        <f t="shared" si="20"/>
        <v>3.8086593435000005</v>
      </c>
      <c r="L195">
        <f t="shared" si="21"/>
        <v>259.93182133486329</v>
      </c>
      <c r="M195">
        <f t="shared" si="22"/>
        <v>525.75709775812038</v>
      </c>
      <c r="N195">
        <f t="shared" si="23"/>
        <v>0.7443852789597315</v>
      </c>
      <c r="O195">
        <f t="shared" si="24"/>
        <v>1.3640839640829725</v>
      </c>
    </row>
    <row r="196" spans="1:15" x14ac:dyDescent="0.35">
      <c r="A196">
        <v>18.2</v>
      </c>
      <c r="B196">
        <v>12.4152</v>
      </c>
      <c r="C196" s="2">
        <v>138498</v>
      </c>
      <c r="G196">
        <f t="shared" si="25"/>
        <v>14.9</v>
      </c>
      <c r="H196">
        <f t="shared" si="18"/>
        <v>9.1999999999999993</v>
      </c>
      <c r="I196">
        <f t="shared" si="19"/>
        <v>989.99175999999989</v>
      </c>
      <c r="J196">
        <f t="shared" si="26"/>
        <v>11.136378716999999</v>
      </c>
      <c r="K196">
        <f t="shared" si="20"/>
        <v>3.7636212830000009</v>
      </c>
      <c r="L196">
        <f t="shared" si="21"/>
        <v>263.04234288176644</v>
      </c>
      <c r="M196">
        <f t="shared" si="22"/>
        <v>526.52359495692588</v>
      </c>
      <c r="N196">
        <f t="shared" si="23"/>
        <v>0.74740796758389261</v>
      </c>
      <c r="O196">
        <f t="shared" si="24"/>
        <v>1.37597961185891</v>
      </c>
    </row>
    <row r="197" spans="1:15" x14ac:dyDescent="0.35">
      <c r="A197">
        <v>18.3</v>
      </c>
      <c r="B197">
        <v>12.477499999999999</v>
      </c>
      <c r="C197" s="2">
        <v>140461</v>
      </c>
      <c r="G197">
        <f t="shared" si="25"/>
        <v>14.9</v>
      </c>
      <c r="H197">
        <f t="shared" si="18"/>
        <v>9.1999999999999993</v>
      </c>
      <c r="I197">
        <f t="shared" si="19"/>
        <v>989.99175999999989</v>
      </c>
      <c r="J197">
        <f t="shared" si="26"/>
        <v>11.180553356499999</v>
      </c>
      <c r="K197">
        <f t="shared" si="20"/>
        <v>3.7194466435000013</v>
      </c>
      <c r="L197">
        <f t="shared" si="21"/>
        <v>266.16640992285267</v>
      </c>
      <c r="M197">
        <f t="shared" si="22"/>
        <v>527.71873070201491</v>
      </c>
      <c r="N197">
        <f t="shared" si="23"/>
        <v>0.75037270848993276</v>
      </c>
      <c r="O197">
        <f t="shared" si="24"/>
        <v>1.3877863074783081</v>
      </c>
    </row>
    <row r="198" spans="1:15" x14ac:dyDescent="0.35">
      <c r="A198">
        <v>18.399999999999999</v>
      </c>
      <c r="B198">
        <v>12.539899999999999</v>
      </c>
      <c r="C198" s="2">
        <v>142492</v>
      </c>
      <c r="G198">
        <f t="shared" si="25"/>
        <v>14.9</v>
      </c>
      <c r="H198">
        <f t="shared" si="18"/>
        <v>9.1999999999999993</v>
      </c>
      <c r="I198">
        <f t="shared" si="19"/>
        <v>989.99175999999989</v>
      </c>
      <c r="J198">
        <f t="shared" si="26"/>
        <v>11.224200117999999</v>
      </c>
      <c r="K198">
        <f t="shared" si="20"/>
        <v>3.6757998820000015</v>
      </c>
      <c r="L198">
        <f t="shared" si="21"/>
        <v>269.32689258952411</v>
      </c>
      <c r="M198">
        <f t="shared" si="22"/>
        <v>529.06710737263541</v>
      </c>
      <c r="N198">
        <f t="shared" si="23"/>
        <v>0.75330202134228175</v>
      </c>
      <c r="O198">
        <f t="shared" si="24"/>
        <v>1.3995904490040323</v>
      </c>
    </row>
    <row r="199" spans="1:15" x14ac:dyDescent="0.35">
      <c r="A199">
        <v>18.5</v>
      </c>
      <c r="B199">
        <v>12.601699999999999</v>
      </c>
      <c r="C199" s="2">
        <v>144598</v>
      </c>
      <c r="G199">
        <f t="shared" si="25"/>
        <v>14.9</v>
      </c>
      <c r="H199">
        <f t="shared" si="18"/>
        <v>9.1999999999999993</v>
      </c>
      <c r="I199">
        <f t="shared" si="19"/>
        <v>989.99175999999989</v>
      </c>
      <c r="J199">
        <f t="shared" si="26"/>
        <v>11.266554366999999</v>
      </c>
      <c r="K199">
        <f t="shared" si="20"/>
        <v>3.6334456330000009</v>
      </c>
      <c r="L199">
        <f t="shared" si="21"/>
        <v>272.46637489456543</v>
      </c>
      <c r="M199">
        <f t="shared" si="22"/>
        <v>530.70034809232573</v>
      </c>
      <c r="N199">
        <f t="shared" si="23"/>
        <v>0.75614458838926168</v>
      </c>
      <c r="O199">
        <f t="shared" si="24"/>
        <v>1.4111798046969348</v>
      </c>
    </row>
    <row r="200" spans="1:15" x14ac:dyDescent="0.35">
      <c r="A200">
        <v>18.600000000000001</v>
      </c>
      <c r="B200">
        <v>12.663399999999999</v>
      </c>
      <c r="C200" s="2">
        <v>146622</v>
      </c>
      <c r="G200">
        <f t="shared" si="25"/>
        <v>14.9</v>
      </c>
      <c r="H200">
        <f t="shared" si="18"/>
        <v>9.1999999999999993</v>
      </c>
      <c r="I200">
        <f t="shared" si="19"/>
        <v>989.99175999999989</v>
      </c>
      <c r="J200">
        <f t="shared" si="26"/>
        <v>11.309565762999998</v>
      </c>
      <c r="K200">
        <f t="shared" si="20"/>
        <v>3.590434237000002</v>
      </c>
      <c r="L200">
        <f t="shared" si="21"/>
        <v>275.73036982490186</v>
      </c>
      <c r="M200">
        <f t="shared" si="22"/>
        <v>531.75861655395431</v>
      </c>
      <c r="N200">
        <f t="shared" si="23"/>
        <v>0.75903125926174486</v>
      </c>
      <c r="O200">
        <f t="shared" si="24"/>
        <v>1.4230880603843641</v>
      </c>
    </row>
    <row r="201" spans="1:15" x14ac:dyDescent="0.35">
      <c r="A201">
        <v>18.7</v>
      </c>
      <c r="B201">
        <v>12.7255</v>
      </c>
      <c r="C201" s="2">
        <v>148747</v>
      </c>
      <c r="G201">
        <f t="shared" si="25"/>
        <v>14.9</v>
      </c>
      <c r="H201">
        <f t="shared" si="18"/>
        <v>9.1999999999999993</v>
      </c>
      <c r="I201">
        <f t="shared" si="19"/>
        <v>989.99175999999989</v>
      </c>
      <c r="J201">
        <f t="shared" si="26"/>
        <v>11.352044575500001</v>
      </c>
      <c r="K201">
        <f t="shared" si="20"/>
        <v>3.5479554244999996</v>
      </c>
      <c r="L201">
        <f t="shared" si="21"/>
        <v>279.03162287883475</v>
      </c>
      <c r="M201">
        <f t="shared" si="22"/>
        <v>533.08294760766637</v>
      </c>
      <c r="N201">
        <f t="shared" si="23"/>
        <v>0.76188218627516779</v>
      </c>
      <c r="O201">
        <f t="shared" si="24"/>
        <v>1.4349897121399362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UTS-R-250</dc:creator>
  <cp:lastModifiedBy>Зульфия</cp:lastModifiedBy>
  <dcterms:created xsi:type="dcterms:W3CDTF">2025-11-28T12:56:39Z</dcterms:created>
  <dcterms:modified xsi:type="dcterms:W3CDTF">2025-12-04T20:18:34Z</dcterms:modified>
</cp:coreProperties>
</file>