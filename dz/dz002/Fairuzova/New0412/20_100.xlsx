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Зульфия\Desktop\Бамонка\Зульфия\New0412\"/>
    </mc:Choice>
  </mc:AlternateContent>
  <xr:revisionPtr revIDLastSave="0" documentId="8_{AC359921-0FB2-45C7-BC3A-2E809892B4A9}" xr6:coauthVersionLast="45" xr6:coauthVersionMax="45" xr10:uidLastSave="{00000000-0000-0000-0000-000000000000}"/>
  <bookViews>
    <workbookView xWindow="-110" yWindow="-110" windowWidth="25420" windowHeight="1630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N21" i="1" s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N41" i="1" s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H17" i="1"/>
  <c r="H18" i="1"/>
  <c r="H19" i="1"/>
  <c r="H20" i="1"/>
  <c r="H21" i="1"/>
  <c r="I21" i="1" s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I41" i="1" s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G17" i="1"/>
  <c r="N17" i="1" s="1"/>
  <c r="G18" i="1"/>
  <c r="K18" i="1" s="1"/>
  <c r="G19" i="1"/>
  <c r="N19" i="1" s="1"/>
  <c r="G20" i="1"/>
  <c r="I20" i="1" s="1"/>
  <c r="G21" i="1"/>
  <c r="K21" i="1" s="1"/>
  <c r="G22" i="1"/>
  <c r="N22" i="1" s="1"/>
  <c r="G23" i="1"/>
  <c r="N23" i="1" s="1"/>
  <c r="G24" i="1"/>
  <c r="N24" i="1" s="1"/>
  <c r="G25" i="1"/>
  <c r="I25" i="1" s="1"/>
  <c r="G26" i="1"/>
  <c r="K26" i="1" s="1"/>
  <c r="G27" i="1"/>
  <c r="K27" i="1" s="1"/>
  <c r="G28" i="1"/>
  <c r="I28" i="1" s="1"/>
  <c r="G29" i="1"/>
  <c r="N29" i="1" s="1"/>
  <c r="G30" i="1"/>
  <c r="N30" i="1" s="1"/>
  <c r="G31" i="1"/>
  <c r="G32" i="1"/>
  <c r="G33" i="1"/>
  <c r="N33" i="1" s="1"/>
  <c r="G34" i="1"/>
  <c r="N34" i="1" s="1"/>
  <c r="G35" i="1"/>
  <c r="N35" i="1" s="1"/>
  <c r="G36" i="1"/>
  <c r="K36" i="1" s="1"/>
  <c r="G37" i="1"/>
  <c r="K37" i="1" s="1"/>
  <c r="G38" i="1"/>
  <c r="I38" i="1" s="1"/>
  <c r="G39" i="1"/>
  <c r="K39" i="1" s="1"/>
  <c r="G40" i="1"/>
  <c r="I40" i="1" s="1"/>
  <c r="G41" i="1"/>
  <c r="K41" i="1" s="1"/>
  <c r="G42" i="1"/>
  <c r="N42" i="1" s="1"/>
  <c r="G43" i="1"/>
  <c r="N43" i="1" s="1"/>
  <c r="G44" i="1"/>
  <c r="N44" i="1" s="1"/>
  <c r="G45" i="1"/>
  <c r="N45" i="1" s="1"/>
  <c r="G46" i="1"/>
  <c r="N46" i="1" s="1"/>
  <c r="G47" i="1"/>
  <c r="N47" i="1" s="1"/>
  <c r="G48" i="1"/>
  <c r="K48" i="1" s="1"/>
  <c r="G49" i="1"/>
  <c r="K49" i="1" s="1"/>
  <c r="G50" i="1"/>
  <c r="N50" i="1" s="1"/>
  <c r="G51" i="1"/>
  <c r="G52" i="1"/>
  <c r="G53" i="1"/>
  <c r="N53" i="1" s="1"/>
  <c r="G54" i="1"/>
  <c r="I54" i="1" s="1"/>
  <c r="G55" i="1"/>
  <c r="K55" i="1" s="1"/>
  <c r="G56" i="1"/>
  <c r="K56" i="1" s="1"/>
  <c r="H14" i="1"/>
  <c r="G14" i="1"/>
  <c r="J16" i="1"/>
  <c r="H16" i="1"/>
  <c r="G16" i="1"/>
  <c r="K16" i="1" s="1"/>
  <c r="J15" i="1"/>
  <c r="H15" i="1"/>
  <c r="G15" i="1"/>
  <c r="K15" i="1" s="1"/>
  <c r="J14" i="1"/>
  <c r="L41" i="1" l="1"/>
  <c r="L21" i="1"/>
  <c r="K14" i="1"/>
  <c r="N52" i="1"/>
  <c r="N32" i="1"/>
  <c r="I16" i="1"/>
  <c r="L16" i="1" s="1"/>
  <c r="N16" i="1"/>
  <c r="N51" i="1"/>
  <c r="N31" i="1"/>
  <c r="M21" i="1"/>
  <c r="O21" i="1"/>
  <c r="L54" i="1"/>
  <c r="M41" i="1"/>
  <c r="O41" i="1"/>
  <c r="K40" i="1"/>
  <c r="L40" i="1" s="1"/>
  <c r="N20" i="1"/>
  <c r="I17" i="1"/>
  <c r="L17" i="1" s="1"/>
  <c r="N37" i="1"/>
  <c r="I36" i="1"/>
  <c r="L36" i="1" s="1"/>
  <c r="N36" i="1"/>
  <c r="K34" i="1"/>
  <c r="I53" i="1"/>
  <c r="K53" i="1"/>
  <c r="I52" i="1"/>
  <c r="K32" i="1"/>
  <c r="I51" i="1"/>
  <c r="K51" i="1"/>
  <c r="I30" i="1"/>
  <c r="K30" i="1"/>
  <c r="I49" i="1"/>
  <c r="L49" i="1" s="1"/>
  <c r="N49" i="1"/>
  <c r="I48" i="1"/>
  <c r="L48" i="1" s="1"/>
  <c r="K28" i="1"/>
  <c r="L28" i="1" s="1"/>
  <c r="N28" i="1"/>
  <c r="I26" i="1"/>
  <c r="L26" i="1" s="1"/>
  <c r="K46" i="1"/>
  <c r="N26" i="1"/>
  <c r="I45" i="1"/>
  <c r="K45" i="1"/>
  <c r="N25" i="1"/>
  <c r="K20" i="1"/>
  <c r="L20" i="1" s="1"/>
  <c r="N40" i="1"/>
  <c r="I19" i="1"/>
  <c r="N39" i="1"/>
  <c r="I14" i="1"/>
  <c r="N18" i="1"/>
  <c r="I37" i="1"/>
  <c r="L37" i="1" s="1"/>
  <c r="N56" i="1"/>
  <c r="N55" i="1"/>
  <c r="K54" i="1"/>
  <c r="N54" i="1"/>
  <c r="I33" i="1"/>
  <c r="K33" i="1"/>
  <c r="I32" i="1"/>
  <c r="L32" i="1" s="1"/>
  <c r="K52" i="1"/>
  <c r="K31" i="1"/>
  <c r="K50" i="1"/>
  <c r="N48" i="1"/>
  <c r="N27" i="1"/>
  <c r="I46" i="1"/>
  <c r="L46" i="1" s="1"/>
  <c r="I15" i="1"/>
  <c r="L15" i="1" s="1"/>
  <c r="M15" i="1" s="1"/>
  <c r="K25" i="1"/>
  <c r="L25" i="1" s="1"/>
  <c r="N15" i="1"/>
  <c r="I44" i="1"/>
  <c r="I24" i="1"/>
  <c r="K44" i="1"/>
  <c r="K24" i="1"/>
  <c r="I39" i="1"/>
  <c r="L39" i="1" s="1"/>
  <c r="K19" i="1"/>
  <c r="I18" i="1"/>
  <c r="L18" i="1" s="1"/>
  <c r="K38" i="1"/>
  <c r="L38" i="1" s="1"/>
  <c r="N38" i="1"/>
  <c r="I35" i="1"/>
  <c r="K35" i="1"/>
  <c r="I34" i="1"/>
  <c r="I31" i="1"/>
  <c r="L31" i="1" s="1"/>
  <c r="I29" i="1"/>
  <c r="K29" i="1"/>
  <c r="I47" i="1"/>
  <c r="K47" i="1"/>
  <c r="I43" i="1"/>
  <c r="I23" i="1"/>
  <c r="K43" i="1"/>
  <c r="K23" i="1"/>
  <c r="K17" i="1"/>
  <c r="I56" i="1"/>
  <c r="L56" i="1" s="1"/>
  <c r="I55" i="1"/>
  <c r="L55" i="1" s="1"/>
  <c r="I50" i="1"/>
  <c r="I27" i="1"/>
  <c r="L27" i="1" s="1"/>
  <c r="I42" i="1"/>
  <c r="I22" i="1"/>
  <c r="K42" i="1"/>
  <c r="K22" i="1"/>
  <c r="O16" i="1"/>
  <c r="M16" i="1"/>
  <c r="N14" i="1"/>
  <c r="L51" i="1" l="1"/>
  <c r="L52" i="1"/>
  <c r="L19" i="1"/>
  <c r="L44" i="1"/>
  <c r="O28" i="1"/>
  <c r="M28" i="1"/>
  <c r="M25" i="1"/>
  <c r="O25" i="1"/>
  <c r="O40" i="1"/>
  <c r="M40" i="1"/>
  <c r="O38" i="1"/>
  <c r="M38" i="1"/>
  <c r="O20" i="1"/>
  <c r="M20" i="1"/>
  <c r="O52" i="1"/>
  <c r="M52" i="1"/>
  <c r="L53" i="1"/>
  <c r="O26" i="1"/>
  <c r="M26" i="1"/>
  <c r="L33" i="1"/>
  <c r="L42" i="1"/>
  <c r="O36" i="1"/>
  <c r="M36" i="1"/>
  <c r="L29" i="1"/>
  <c r="O31" i="1"/>
  <c r="M31" i="1"/>
  <c r="L22" i="1"/>
  <c r="M49" i="1"/>
  <c r="O49" i="1"/>
  <c r="O39" i="1"/>
  <c r="M39" i="1"/>
  <c r="M55" i="1"/>
  <c r="O55" i="1"/>
  <c r="O37" i="1"/>
  <c r="M37" i="1"/>
  <c r="O44" i="1"/>
  <c r="M44" i="1"/>
  <c r="M19" i="1"/>
  <c r="O19" i="1"/>
  <c r="L45" i="1"/>
  <c r="O32" i="1"/>
  <c r="M32" i="1"/>
  <c r="M54" i="1"/>
  <c r="O54" i="1"/>
  <c r="M18" i="1"/>
  <c r="O18" i="1"/>
  <c r="L30" i="1"/>
  <c r="O56" i="1"/>
  <c r="M56" i="1"/>
  <c r="M51" i="1"/>
  <c r="O51" i="1"/>
  <c r="L23" i="1"/>
  <c r="L43" i="1"/>
  <c r="M46" i="1"/>
  <c r="O46" i="1"/>
  <c r="L47" i="1"/>
  <c r="O15" i="1"/>
  <c r="M17" i="1"/>
  <c r="O17" i="1"/>
  <c r="L34" i="1"/>
  <c r="L35" i="1"/>
  <c r="O48" i="1"/>
  <c r="M48" i="1"/>
  <c r="M27" i="1"/>
  <c r="O27" i="1"/>
  <c r="L50" i="1"/>
  <c r="L24" i="1"/>
  <c r="L14" i="1"/>
  <c r="I11" i="1"/>
  <c r="O42" i="1" l="1"/>
  <c r="M42" i="1"/>
  <c r="O33" i="1"/>
  <c r="M33" i="1"/>
  <c r="M53" i="1"/>
  <c r="O53" i="1"/>
  <c r="O14" i="1"/>
  <c r="M14" i="1"/>
  <c r="O45" i="1"/>
  <c r="M45" i="1"/>
  <c r="O43" i="1"/>
  <c r="M43" i="1"/>
  <c r="O24" i="1"/>
  <c r="M24" i="1"/>
  <c r="O30" i="1"/>
  <c r="M30" i="1"/>
  <c r="O22" i="1"/>
  <c r="M22" i="1"/>
  <c r="O35" i="1"/>
  <c r="M35" i="1"/>
  <c r="O34" i="1"/>
  <c r="M34" i="1"/>
  <c r="O50" i="1"/>
  <c r="M50" i="1"/>
  <c r="O29" i="1"/>
  <c r="M29" i="1"/>
  <c r="O47" i="1"/>
  <c r="M47" i="1"/>
  <c r="O23" i="1"/>
  <c r="M23" i="1"/>
</calcChain>
</file>

<file path=xl/sharedStrings.xml><?xml version="1.0" encoding="utf-8"?>
<sst xmlns="http://schemas.openxmlformats.org/spreadsheetml/2006/main" count="34" uniqueCount="31">
  <si>
    <t>Файл</t>
  </si>
  <si>
    <t>D:\Зульфия\холодная_100\20_100\20_100.001.rez</t>
  </si>
  <si>
    <t>Вид испытания</t>
  </si>
  <si>
    <t>сжатие</t>
  </si>
  <si>
    <t>Дата</t>
  </si>
  <si>
    <t>28 Ноябрь 2025 г.</t>
  </si>
  <si>
    <t>Скорость [мм/мин]</t>
  </si>
  <si>
    <t>Форма</t>
  </si>
  <si>
    <t>Круглый</t>
  </si>
  <si>
    <t>Начальные размеры: [мм]</t>
  </si>
  <si>
    <t>Диаметр</t>
  </si>
  <si>
    <t>Толщина</t>
  </si>
  <si>
    <t>Ширина</t>
  </si>
  <si>
    <t>Длина</t>
  </si>
  <si>
    <t>База</t>
  </si>
  <si>
    <t>Расч.дл</t>
  </si>
  <si>
    <t>Размеры после испытания: [мм]</t>
  </si>
  <si>
    <t>Количество точек</t>
  </si>
  <si>
    <t>Время [с]</t>
  </si>
  <si>
    <t>Перемещение [мм]</t>
  </si>
  <si>
    <t>Усилие [Н]</t>
  </si>
  <si>
    <t>H0</t>
  </si>
  <si>
    <t>D0</t>
  </si>
  <si>
    <t>V</t>
  </si>
  <si>
    <t>Hк</t>
  </si>
  <si>
    <t>∆H оконч, мм</t>
  </si>
  <si>
    <t xml:space="preserve"> Hi оконч, мм</t>
  </si>
  <si>
    <t>Si, мм2</t>
  </si>
  <si>
    <t>σi, МПа</t>
  </si>
  <si>
    <t>ε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</si>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</sst>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Лист1!$N$14:$N$56</c:f>
              <c:numCache>
                <c:formatCode>General</c:formatCode>
                <c:ptCount val="43"/>
                <c:pt idx="0">
                  <c:v>0</c:v>
                </c:pt>
                <c:pt idx="1">
                  <c:v>6.5346009731543614E-2</c:v>
                </c:pt>
                <c:pt idx="2">
                  <c:v>9.0086346543624171E-2</c:v>
                </c:pt>
                <c:pt idx="3">
                  <c:v>0.10270948483221477</c:v>
                </c:pt>
                <c:pt idx="4">
                  <c:v>0.11537610724832213</c:v>
                </c:pt>
                <c:pt idx="5">
                  <c:v>0.14105952714765099</c:v>
                </c:pt>
                <c:pt idx="6">
                  <c:v>0.16640245473154361</c:v>
                </c:pt>
                <c:pt idx="7">
                  <c:v>0.17925695090604027</c:v>
                </c:pt>
                <c:pt idx="8">
                  <c:v>0.19212425020134227</c:v>
                </c:pt>
                <c:pt idx="9">
                  <c:v>0.21763406325503357</c:v>
                </c:pt>
                <c:pt idx="10">
                  <c:v>0.23089680936241611</c:v>
                </c:pt>
                <c:pt idx="11">
                  <c:v>0.24374841758389265</c:v>
                </c:pt>
                <c:pt idx="12">
                  <c:v>0.25655633114093956</c:v>
                </c:pt>
                <c:pt idx="13">
                  <c:v>0.26939306661073831</c:v>
                </c:pt>
                <c:pt idx="14">
                  <c:v>0.28214707835570468</c:v>
                </c:pt>
                <c:pt idx="15">
                  <c:v>0.29500889372483213</c:v>
                </c:pt>
                <c:pt idx="16">
                  <c:v>0.3077324469127517</c:v>
                </c:pt>
                <c:pt idx="17">
                  <c:v>0.33323269439597314</c:v>
                </c:pt>
                <c:pt idx="18">
                  <c:v>0.34630509986577185</c:v>
                </c:pt>
                <c:pt idx="19">
                  <c:v>0.35894507526845637</c:v>
                </c:pt>
                <c:pt idx="20">
                  <c:v>0.37161778939597317</c:v>
                </c:pt>
                <c:pt idx="21">
                  <c:v>0.38424637587248323</c:v>
                </c:pt>
                <c:pt idx="22">
                  <c:v>0.39683333731543619</c:v>
                </c:pt>
                <c:pt idx="23">
                  <c:v>0.40921641812080534</c:v>
                </c:pt>
                <c:pt idx="24">
                  <c:v>0.42165372845637578</c:v>
                </c:pt>
                <c:pt idx="25">
                  <c:v>0.44648466442953022</c:v>
                </c:pt>
                <c:pt idx="26">
                  <c:v>0.45878582791946304</c:v>
                </c:pt>
                <c:pt idx="27">
                  <c:v>0.47088487651006711</c:v>
                </c:pt>
                <c:pt idx="28">
                  <c:v>0.48303184046979863</c:v>
                </c:pt>
                <c:pt idx="29">
                  <c:v>0.49501592912751685</c:v>
                </c:pt>
                <c:pt idx="30">
                  <c:v>0.51874089285234903</c:v>
                </c:pt>
                <c:pt idx="31">
                  <c:v>0.53063826949664439</c:v>
                </c:pt>
                <c:pt idx="32">
                  <c:v>0.54268667570469797</c:v>
                </c:pt>
                <c:pt idx="33">
                  <c:v>0.5543024174832214</c:v>
                </c:pt>
                <c:pt idx="34">
                  <c:v>0.56593086902684564</c:v>
                </c:pt>
                <c:pt idx="35">
                  <c:v>0.57728149724832212</c:v>
                </c:pt>
                <c:pt idx="36">
                  <c:v>0.58852800429530205</c:v>
                </c:pt>
                <c:pt idx="37">
                  <c:v>0.59957798563758391</c:v>
                </c:pt>
                <c:pt idx="38">
                  <c:v>0.6106346664765101</c:v>
                </c:pt>
                <c:pt idx="39">
                  <c:v>0.62143168194630871</c:v>
                </c:pt>
                <c:pt idx="40">
                  <c:v>0.63229079436241609</c:v>
                </c:pt>
                <c:pt idx="41">
                  <c:v>0.65243377463087249</c:v>
                </c:pt>
                <c:pt idx="42">
                  <c:v>0.66236538781879195</c:v>
                </c:pt>
              </c:numCache>
            </c:numRef>
          </c:cat>
          <c:val>
            <c:numRef>
              <c:f>Лист1!$M$14:$M$56</c:f>
              <c:numCache>
                <c:formatCode>General</c:formatCode>
                <c:ptCount val="43"/>
                <c:pt idx="0">
                  <c:v>19.881882653245519</c:v>
                </c:pt>
                <c:pt idx="1">
                  <c:v>347.88016657042687</c:v>
                </c:pt>
                <c:pt idx="2">
                  <c:v>383.71387331273701</c:v>
                </c:pt>
                <c:pt idx="3">
                  <c:v>400.49798799886582</c:v>
                </c:pt>
                <c:pt idx="4">
                  <c:v>415.56116185696749</c:v>
                </c:pt>
                <c:pt idx="5">
                  <c:v>440.48196229362713</c:v>
                </c:pt>
                <c:pt idx="6">
                  <c:v>461.03405349565901</c:v>
                </c:pt>
                <c:pt idx="7">
                  <c:v>469.26672865565422</c:v>
                </c:pt>
                <c:pt idx="8">
                  <c:v>477.02342805348604</c:v>
                </c:pt>
                <c:pt idx="9">
                  <c:v>491.55156992249869</c:v>
                </c:pt>
                <c:pt idx="10">
                  <c:v>498.24372139798578</c:v>
                </c:pt>
                <c:pt idx="11">
                  <c:v>503.86116471404176</c:v>
                </c:pt>
                <c:pt idx="12">
                  <c:v>510.18713239283534</c:v>
                </c:pt>
                <c:pt idx="13">
                  <c:v>515.11206390226675</c:v>
                </c:pt>
                <c:pt idx="14">
                  <c:v>520.70547660299474</c:v>
                </c:pt>
                <c:pt idx="15">
                  <c:v>525.23335628645395</c:v>
                </c:pt>
                <c:pt idx="16">
                  <c:v>529.76767853470415</c:v>
                </c:pt>
                <c:pt idx="17">
                  <c:v>539.10464438903375</c:v>
                </c:pt>
                <c:pt idx="18">
                  <c:v>543.79469315104609</c:v>
                </c:pt>
                <c:pt idx="19">
                  <c:v>548.70737096203061</c:v>
                </c:pt>
                <c:pt idx="20">
                  <c:v>552.58563509403757</c:v>
                </c:pt>
                <c:pt idx="21">
                  <c:v>557.87450350384893</c:v>
                </c:pt>
                <c:pt idx="22">
                  <c:v>563.23781831482734</c:v>
                </c:pt>
                <c:pt idx="23">
                  <c:v>571.02274493820039</c:v>
                </c:pt>
                <c:pt idx="24">
                  <c:v>576.89784674884174</c:v>
                </c:pt>
                <c:pt idx="25">
                  <c:v>591.48358315628809</c:v>
                </c:pt>
                <c:pt idx="26">
                  <c:v>597.75776919494376</c:v>
                </c:pt>
                <c:pt idx="27">
                  <c:v>605.54576580879825</c:v>
                </c:pt>
                <c:pt idx="28">
                  <c:v>612.04516039403609</c:v>
                </c:pt>
                <c:pt idx="29">
                  <c:v>619.70039015235443</c:v>
                </c:pt>
                <c:pt idx="30">
                  <c:v>634.35684660524203</c:v>
                </c:pt>
                <c:pt idx="31">
                  <c:v>642.18431054369739</c:v>
                </c:pt>
                <c:pt idx="32">
                  <c:v>649.68633443226247</c:v>
                </c:pt>
                <c:pt idx="33">
                  <c:v>657.90341409247856</c:v>
                </c:pt>
                <c:pt idx="34">
                  <c:v>664.46632334395758</c:v>
                </c:pt>
                <c:pt idx="35">
                  <c:v>672.77507723951783</c:v>
                </c:pt>
                <c:pt idx="36">
                  <c:v>681.31950500656296</c:v>
                </c:pt>
                <c:pt idx="37">
                  <c:v>689.94969917201752</c:v>
                </c:pt>
                <c:pt idx="38">
                  <c:v>697.46267293121878</c:v>
                </c:pt>
                <c:pt idx="39">
                  <c:v>706.70750547047589</c:v>
                </c:pt>
                <c:pt idx="40">
                  <c:v>716.04409025280791</c:v>
                </c:pt>
                <c:pt idx="41">
                  <c:v>739.40421814196111</c:v>
                </c:pt>
                <c:pt idx="42">
                  <c:v>750.70171491273186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A7-497F-88E9-D56182E28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44735"/>
        <c:axId val="1544342831"/>
      </c:lineChart>
      <c:catAx>
        <c:axId val="1556644735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42831"/>
        <c:crosses val="autoZero"/>
        <c:auto val="1"/>
        <c:lblAlgn val="ctr"/>
        <c:lblOffset val="100"/>
        <c:tickMarkSkip val="50"/>
        <c:noMultiLvlLbl val="0"/>
      </c:catAx>
      <c:valAx>
        <c:axId val="15443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664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Лист1!$O$14:$O$56</c:f>
              <c:numCache>
                <c:formatCode>General</c:formatCode>
                <c:ptCount val="43"/>
                <c:pt idx="0">
                  <c:v>0</c:v>
                </c:pt>
                <c:pt idx="1">
                  <c:v>6.7578882067990717E-2</c:v>
                </c:pt>
                <c:pt idx="2">
                  <c:v>9.4405570284907217E-2</c:v>
                </c:pt>
                <c:pt idx="3">
                  <c:v>0.1083755951476942</c:v>
                </c:pt>
                <c:pt idx="4">
                  <c:v>0.12259270424538281</c:v>
                </c:pt>
                <c:pt idx="5">
                  <c:v>0.152055657591954</c:v>
                </c:pt>
                <c:pt idx="6">
                  <c:v>0.18200455272290716</c:v>
                </c:pt>
                <c:pt idx="7">
                  <c:v>0.19754519160497219</c:v>
                </c:pt>
                <c:pt idx="8">
                  <c:v>0.21334700728729072</c:v>
                </c:pt>
                <c:pt idx="9">
                  <c:v>0.24543269808944235</c:v>
                </c:pt>
                <c:pt idx="10">
                  <c:v>0.26253013039362416</c:v>
                </c:pt>
                <c:pt idx="11">
                  <c:v>0.27938117718822381</c:v>
                </c:pt>
                <c:pt idx="12">
                  <c:v>0.29646228076855363</c:v>
                </c:pt>
                <c:pt idx="13">
                  <c:v>0.31387967467247008</c:v>
                </c:pt>
                <c:pt idx="14">
                  <c:v>0.33149057542396682</c:v>
                </c:pt>
                <c:pt idx="15">
                  <c:v>0.34957009146196877</c:v>
                </c:pt>
                <c:pt idx="16">
                  <c:v>0.36778276068013199</c:v>
                </c:pt>
                <c:pt idx="17">
                  <c:v>0.40531416109519769</c:v>
                </c:pt>
                <c:pt idx="18">
                  <c:v>0.4251145499324685</c:v>
                </c:pt>
                <c:pt idx="19">
                  <c:v>0.44464013972365496</c:v>
                </c:pt>
                <c:pt idx="20">
                  <c:v>0.46460668203379984</c:v>
                </c:pt>
                <c:pt idx="21">
                  <c:v>0.48490835628623746</c:v>
                </c:pt>
                <c:pt idx="22">
                  <c:v>0.50556173124844384</c:v>
                </c:pt>
                <c:pt idx="23">
                  <c:v>0.52630551835357919</c:v>
                </c:pt>
                <c:pt idx="24">
                  <c:v>0.54758250397435482</c:v>
                </c:pt>
                <c:pt idx="25">
                  <c:v>0.59146582067621722</c:v>
                </c:pt>
                <c:pt idx="26">
                  <c:v>0.61394019662677846</c:v>
                </c:pt>
                <c:pt idx="27">
                  <c:v>0.63654924605599283</c:v>
                </c:pt>
                <c:pt idx="28">
                  <c:v>0.65977399335246634</c:v>
                </c:pt>
                <c:pt idx="29">
                  <c:v>0.68322839303102867</c:v>
                </c:pt>
                <c:pt idx="30">
                  <c:v>0.73134946961602776</c:v>
                </c:pt>
                <c:pt idx="31">
                  <c:v>0.75638152742877851</c:v>
                </c:pt>
                <c:pt idx="32">
                  <c:v>0.78238651186242758</c:v>
                </c:pt>
                <c:pt idx="33">
                  <c:v>0.80811462305874437</c:v>
                </c:pt>
                <c:pt idx="34">
                  <c:v>0.8345514696101346</c:v>
                </c:pt>
                <c:pt idx="35">
                  <c:v>0.86104879959313696</c:v>
                </c:pt>
                <c:pt idx="36">
                  <c:v>0.8880143153613671</c:v>
                </c:pt>
                <c:pt idx="37">
                  <c:v>0.91523625212735193</c:v>
                </c:pt>
                <c:pt idx="38">
                  <c:v>0.94323721537043592</c:v>
                </c:pt>
                <c:pt idx="39">
                  <c:v>0.97135872555288538</c:v>
                </c:pt>
                <c:pt idx="40">
                  <c:v>1.0004628552592161</c:v>
                </c:pt>
                <c:pt idx="41">
                  <c:v>1.0568000555328982</c:v>
                </c:pt>
                <c:pt idx="42">
                  <c:v>1.0857909972821487</c:v>
                </c:pt>
              </c:numCache>
            </c:numRef>
          </c:cat>
          <c:val>
            <c:numRef>
              <c:f>Лист1!$M$14:$M$56</c:f>
              <c:numCache>
                <c:formatCode>General</c:formatCode>
                <c:ptCount val="43"/>
                <c:pt idx="0">
                  <c:v>19.881882653245519</c:v>
                </c:pt>
                <c:pt idx="1">
                  <c:v>347.88016657042687</c:v>
                </c:pt>
                <c:pt idx="2">
                  <c:v>383.71387331273701</c:v>
                </c:pt>
                <c:pt idx="3">
                  <c:v>400.49798799886582</c:v>
                </c:pt>
                <c:pt idx="4">
                  <c:v>415.56116185696749</c:v>
                </c:pt>
                <c:pt idx="5">
                  <c:v>440.48196229362713</c:v>
                </c:pt>
                <c:pt idx="6">
                  <c:v>461.03405349565901</c:v>
                </c:pt>
                <c:pt idx="7">
                  <c:v>469.26672865565422</c:v>
                </c:pt>
                <c:pt idx="8">
                  <c:v>477.02342805348604</c:v>
                </c:pt>
                <c:pt idx="9">
                  <c:v>491.55156992249869</c:v>
                </c:pt>
                <c:pt idx="10">
                  <c:v>498.24372139798578</c:v>
                </c:pt>
                <c:pt idx="11">
                  <c:v>503.86116471404176</c:v>
                </c:pt>
                <c:pt idx="12">
                  <c:v>510.18713239283534</c:v>
                </c:pt>
                <c:pt idx="13">
                  <c:v>515.11206390226675</c:v>
                </c:pt>
                <c:pt idx="14">
                  <c:v>520.70547660299474</c:v>
                </c:pt>
                <c:pt idx="15">
                  <c:v>525.23335628645395</c:v>
                </c:pt>
                <c:pt idx="16">
                  <c:v>529.76767853470415</c:v>
                </c:pt>
                <c:pt idx="17">
                  <c:v>539.10464438903375</c:v>
                </c:pt>
                <c:pt idx="18">
                  <c:v>543.79469315104609</c:v>
                </c:pt>
                <c:pt idx="19">
                  <c:v>548.70737096203061</c:v>
                </c:pt>
                <c:pt idx="20">
                  <c:v>552.58563509403757</c:v>
                </c:pt>
                <c:pt idx="21">
                  <c:v>557.87450350384893</c:v>
                </c:pt>
                <c:pt idx="22">
                  <c:v>563.23781831482734</c:v>
                </c:pt>
                <c:pt idx="23">
                  <c:v>571.02274493820039</c:v>
                </c:pt>
                <c:pt idx="24">
                  <c:v>576.89784674884174</c:v>
                </c:pt>
                <c:pt idx="25">
                  <c:v>591.48358315628809</c:v>
                </c:pt>
                <c:pt idx="26">
                  <c:v>597.75776919494376</c:v>
                </c:pt>
                <c:pt idx="27">
                  <c:v>605.54576580879825</c:v>
                </c:pt>
                <c:pt idx="28">
                  <c:v>612.04516039403609</c:v>
                </c:pt>
                <c:pt idx="29">
                  <c:v>619.70039015235443</c:v>
                </c:pt>
                <c:pt idx="30">
                  <c:v>634.35684660524203</c:v>
                </c:pt>
                <c:pt idx="31">
                  <c:v>642.18431054369739</c:v>
                </c:pt>
                <c:pt idx="32">
                  <c:v>649.68633443226247</c:v>
                </c:pt>
                <c:pt idx="33">
                  <c:v>657.90341409247856</c:v>
                </c:pt>
                <c:pt idx="34">
                  <c:v>664.46632334395758</c:v>
                </c:pt>
                <c:pt idx="35">
                  <c:v>672.77507723951783</c:v>
                </c:pt>
                <c:pt idx="36">
                  <c:v>681.31950500656296</c:v>
                </c:pt>
                <c:pt idx="37">
                  <c:v>689.94969917201752</c:v>
                </c:pt>
                <c:pt idx="38">
                  <c:v>697.46267293121878</c:v>
                </c:pt>
                <c:pt idx="39">
                  <c:v>706.70750547047589</c:v>
                </c:pt>
                <c:pt idx="40">
                  <c:v>716.04409025280791</c:v>
                </c:pt>
                <c:pt idx="41">
                  <c:v>739.40421814196111</c:v>
                </c:pt>
                <c:pt idx="42">
                  <c:v>750.70171491273186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9-48CD-AD6C-C2CEF2FD5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644735"/>
        <c:axId val="1544342831"/>
      </c:lineChart>
      <c:catAx>
        <c:axId val="1556644735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342831"/>
        <c:crosses val="autoZero"/>
        <c:auto val="1"/>
        <c:lblAlgn val="ctr"/>
        <c:lblOffset val="100"/>
        <c:tickMarkSkip val="50"/>
        <c:noMultiLvlLbl val="0"/>
      </c:catAx>
      <c:valAx>
        <c:axId val="15443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56644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161637</xdr:colOff>
      <xdr:row>16</xdr:row>
      <xdr:rowOff>71583</xdr:rowOff>
    </xdr:from>
    <xdr:to>
      <xdr:col>29</xdr:col>
      <xdr:colOff>542636</xdr:colOff>
      <xdr:row>42</xdr:row>
      <xdr:rowOff>138546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BB782A4-034F-4B2C-8681-2E38811D9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46</xdr:row>
      <xdr:rowOff>0</xdr:rowOff>
    </xdr:from>
    <xdr:to>
      <xdr:col>33</xdr:col>
      <xdr:colOff>380999</xdr:colOff>
      <xdr:row>72</xdr:row>
      <xdr:rowOff>66963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3097A25-84CA-4EA5-9596-619360359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0.16387</cdr:x>
      <cdr:y>0.11483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8BCDD73F-8AF7-4B48-B58E-DEF403BC869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98393" cy="2641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σ</a:t>
          </a:r>
          <a:r>
            <a:rPr lang="en-US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i, </a:t>
          </a:r>
          <a:r>
            <a:rPr lang="ru-RU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МПа</a:t>
          </a:r>
          <a:endParaRPr lang="ru-RU" sz="14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endParaRPr lang="ru-R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0.97008</cdr:x>
      <cdr:y>0.93504</cdr:y>
    </cdr:from>
    <cdr:to>
      <cdr:x>0.99593</cdr:x>
      <cdr:y>0.99384</cdr:y>
    </cdr:to>
    <cdr:sp macro="" textlink="">
      <cdr:nvSpPr>
        <cdr:cNvPr id="4" name="TextBox 4">
          <a:extLst xmlns:a="http://schemas.openxmlformats.org/drawingml/2006/main">
            <a:ext uri="{FF2B5EF4-FFF2-40B4-BE49-F238E27FC236}">
              <a16:creationId xmlns:a16="http://schemas.microsoft.com/office/drawing/2014/main" id="{0003525C-DAD1-4942-9EDA-E7B1C13239C4}"/>
            </a:ext>
          </a:extLst>
        </cdr:cNvPr>
        <cdr:cNvSpPr txBox="1"/>
      </cdr:nvSpPr>
      <cdr:spPr>
        <a:xfrm xmlns:a="http://schemas.openxmlformats.org/drawingml/2006/main">
          <a:off x="8086436" y="4553528"/>
          <a:ext cx="215473" cy="2863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l-GR" sz="2000" b="1">
              <a:latin typeface="Times New Roman" panose="02020603050405020304" pitchFamily="18" charset="0"/>
              <a:cs typeface="Times New Roman" panose="02020603050405020304" pitchFamily="18" charset="0"/>
            </a:rPr>
            <a:t>ε</a:t>
          </a:r>
          <a:endParaRPr lang="ru-RU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0.16387</cdr:x>
      <cdr:y>0.11483</cdr:y>
    </cdr:to>
    <cdr:sp macro="" textlink="">
      <cdr:nvSpPr>
        <cdr:cNvPr id="2" name="TextBox 2">
          <a:extLst xmlns:a="http://schemas.openxmlformats.org/drawingml/2006/main">
            <a:ext uri="{FF2B5EF4-FFF2-40B4-BE49-F238E27FC236}">
              <a16:creationId xmlns:a16="http://schemas.microsoft.com/office/drawing/2014/main" id="{8BCDD73F-8AF7-4B48-B58E-DEF403BC869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98393" cy="2641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l-GR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σ</a:t>
          </a:r>
          <a:r>
            <a:rPr lang="en-US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i, </a:t>
          </a:r>
          <a:r>
            <a:rPr lang="ru-RU" sz="1400" b="1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МПа</a:t>
          </a:r>
          <a:endParaRPr lang="ru-RU" sz="14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 xmlns:a="http://schemas.openxmlformats.org/drawingml/2006/main">
          <a:endParaRPr lang="ru-RU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0.97008</cdr:x>
      <cdr:y>0.93504</cdr:y>
    </cdr:from>
    <cdr:to>
      <cdr:x>0.99593</cdr:x>
      <cdr:y>0.99384</cdr:y>
    </cdr:to>
    <cdr:sp macro="" textlink="">
      <cdr:nvSpPr>
        <cdr:cNvPr id="4" name="TextBox 4">
          <a:extLst xmlns:a="http://schemas.openxmlformats.org/drawingml/2006/main">
            <a:ext uri="{FF2B5EF4-FFF2-40B4-BE49-F238E27FC236}">
              <a16:creationId xmlns:a16="http://schemas.microsoft.com/office/drawing/2014/main" id="{0003525C-DAD1-4942-9EDA-E7B1C13239C4}"/>
            </a:ext>
          </a:extLst>
        </cdr:cNvPr>
        <cdr:cNvSpPr txBox="1"/>
      </cdr:nvSpPr>
      <cdr:spPr>
        <a:xfrm xmlns:a="http://schemas.openxmlformats.org/drawingml/2006/main">
          <a:off x="8086436" y="4553528"/>
          <a:ext cx="215473" cy="2863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0" tIns="0" rIns="0" bIns="0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i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</a:t>
          </a:r>
          <a:endParaRPr lang="ru-RU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zoomScale="40" zoomScaleNormal="40" workbookViewId="0">
      <selection activeCell="AJ12" sqref="AJ12"/>
    </sheetView>
  </sheetViews>
  <sheetFormatPr defaultRowHeight="14.5" x14ac:dyDescent="0.35"/>
  <cols>
    <col min="3" max="3" width="14.26953125" customWidth="1"/>
  </cols>
  <sheetData>
    <row r="1" spans="1:15" x14ac:dyDescent="0.35">
      <c r="A1" t="s">
        <v>0</v>
      </c>
      <c r="B1" t="s">
        <v>1</v>
      </c>
    </row>
    <row r="2" spans="1:15" x14ac:dyDescent="0.35">
      <c r="A2" t="s">
        <v>2</v>
      </c>
      <c r="B2" t="s">
        <v>3</v>
      </c>
      <c r="C2">
        <v>1</v>
      </c>
    </row>
    <row r="3" spans="1:15" x14ac:dyDescent="0.35">
      <c r="A3" t="s">
        <v>4</v>
      </c>
      <c r="B3" t="s">
        <v>5</v>
      </c>
      <c r="C3" s="1">
        <v>0.59907407407407409</v>
      </c>
    </row>
    <row r="4" spans="1:15" x14ac:dyDescent="0.35">
      <c r="A4" t="s">
        <v>6</v>
      </c>
      <c r="B4">
        <v>5</v>
      </c>
    </row>
    <row r="5" spans="1:15" x14ac:dyDescent="0.35">
      <c r="A5" t="s">
        <v>7</v>
      </c>
      <c r="B5" t="s">
        <v>8</v>
      </c>
      <c r="C5">
        <v>0</v>
      </c>
    </row>
    <row r="6" spans="1:15" x14ac:dyDescent="0.35">
      <c r="A6" t="s">
        <v>9</v>
      </c>
    </row>
    <row r="7" spans="1:15" x14ac:dyDescent="0.3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 spans="1:15" x14ac:dyDescent="0.35">
      <c r="A8">
        <v>9.1999999999999993</v>
      </c>
      <c r="D8">
        <v>15</v>
      </c>
      <c r="E8">
        <v>10</v>
      </c>
      <c r="F8">
        <v>14.9</v>
      </c>
    </row>
    <row r="9" spans="1:15" x14ac:dyDescent="0.35">
      <c r="A9" t="s">
        <v>16</v>
      </c>
    </row>
    <row r="10" spans="1:15" x14ac:dyDescent="0.35">
      <c r="G10" t="s">
        <v>21</v>
      </c>
      <c r="H10" t="s">
        <v>22</v>
      </c>
      <c r="I10" t="s">
        <v>23</v>
      </c>
      <c r="J10" t="s">
        <v>24</v>
      </c>
    </row>
    <row r="11" spans="1:15" x14ac:dyDescent="0.35">
      <c r="A11" t="s">
        <v>17</v>
      </c>
      <c r="B11">
        <v>43</v>
      </c>
      <c r="G11">
        <v>14.9</v>
      </c>
      <c r="H11">
        <v>9.1999999999999993</v>
      </c>
      <c r="I11">
        <f>I14</f>
        <v>989.99175999999989</v>
      </c>
      <c r="J11">
        <v>4.46</v>
      </c>
    </row>
    <row r="13" spans="1:15" x14ac:dyDescent="0.35">
      <c r="A13" t="s">
        <v>18</v>
      </c>
      <c r="B13" t="s">
        <v>19</v>
      </c>
      <c r="C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 t="s">
        <v>30</v>
      </c>
    </row>
    <row r="14" spans="1:15" x14ac:dyDescent="0.35">
      <c r="A14">
        <v>0</v>
      </c>
      <c r="B14">
        <v>0</v>
      </c>
      <c r="C14" s="2">
        <v>1321</v>
      </c>
      <c r="G14">
        <f>$G$11</f>
        <v>14.9</v>
      </c>
      <c r="H14">
        <f>$H$11</f>
        <v>9.1999999999999993</v>
      </c>
      <c r="I14">
        <f>(3.14*POWER(H14,2)*0.25*G14)</f>
        <v>989.99175999999989</v>
      </c>
      <c r="J14">
        <f>0</f>
        <v>0</v>
      </c>
      <c r="K14">
        <f>G14-J14</f>
        <v>14.9</v>
      </c>
      <c r="L14">
        <f>I14/K14</f>
        <v>66.442399999999992</v>
      </c>
      <c r="M14">
        <f>C14/L14</f>
        <v>19.881882653245519</v>
      </c>
      <c r="N14">
        <f>J14/G14</f>
        <v>0</v>
      </c>
      <c r="O14">
        <f>LN(L14/(3.14*H14^2/4))</f>
        <v>0</v>
      </c>
    </row>
    <row r="15" spans="1:15" x14ac:dyDescent="0.35">
      <c r="A15">
        <v>0.1</v>
      </c>
      <c r="B15">
        <v>1.202</v>
      </c>
      <c r="C15" s="2">
        <v>24730</v>
      </c>
      <c r="G15">
        <f>$G$11</f>
        <v>14.9</v>
      </c>
      <c r="H15">
        <f t="shared" ref="H15:H56" si="0">$H$11</f>
        <v>9.1999999999999993</v>
      </c>
      <c r="I15">
        <f t="shared" ref="I15:I56" si="1">(3.14*POWER(H15,2)*0.25*G15)</f>
        <v>989.99175999999989</v>
      </c>
      <c r="J15">
        <f>B15-C15/(2*10^5/1.8467)</f>
        <v>0.97365554499999996</v>
      </c>
      <c r="K15">
        <f t="shared" ref="K15:K56" si="2">G15-J15</f>
        <v>13.926344455000001</v>
      </c>
      <c r="L15">
        <f t="shared" ref="L15:L56" si="3">I15/K15</f>
        <v>71.087697363722853</v>
      </c>
      <c r="M15">
        <f t="shared" ref="M15:M56" si="4">C15/L15</f>
        <v>347.88016657042687</v>
      </c>
      <c r="N15">
        <f t="shared" ref="N15:N56" si="5">J15/G15</f>
        <v>6.5346009731543614E-2</v>
      </c>
      <c r="O15">
        <f t="shared" ref="O15:O56" si="6">LN(L15/(3.14*H15^2/4))</f>
        <v>6.7578882067990717E-2</v>
      </c>
    </row>
    <row r="16" spans="1:15" x14ac:dyDescent="0.35">
      <c r="A16">
        <v>0.2</v>
      </c>
      <c r="B16">
        <v>1.601</v>
      </c>
      <c r="C16" s="2">
        <v>28019</v>
      </c>
      <c r="G16">
        <f t="shared" ref="G16:G56" si="7">$G$11</f>
        <v>14.9</v>
      </c>
      <c r="H16">
        <f t="shared" si="0"/>
        <v>9.1999999999999993</v>
      </c>
      <c r="I16">
        <f t="shared" si="1"/>
        <v>989.99175999999989</v>
      </c>
      <c r="J16">
        <f t="shared" ref="J16:J56" si="8">B16-C16/(2*10^5/1.8467)</f>
        <v>1.3422865635000001</v>
      </c>
      <c r="K16">
        <f t="shared" si="2"/>
        <v>13.5577134365</v>
      </c>
      <c r="L16">
        <f t="shared" si="3"/>
        <v>73.020555024769124</v>
      </c>
      <c r="M16">
        <f t="shared" si="4"/>
        <v>383.71387331273701</v>
      </c>
      <c r="N16">
        <f t="shared" si="5"/>
        <v>9.0086346543624171E-2</v>
      </c>
      <c r="O16">
        <f t="shared" si="6"/>
        <v>9.4405570284907217E-2</v>
      </c>
    </row>
    <row r="17" spans="1:15" x14ac:dyDescent="0.35">
      <c r="A17">
        <v>0.3</v>
      </c>
      <c r="B17">
        <v>1.8042</v>
      </c>
      <c r="C17" s="2">
        <v>29656</v>
      </c>
      <c r="G17">
        <f t="shared" si="7"/>
        <v>14.9</v>
      </c>
      <c r="H17">
        <f t="shared" si="0"/>
        <v>9.1999999999999993</v>
      </c>
      <c r="I17">
        <f t="shared" si="1"/>
        <v>989.99175999999989</v>
      </c>
      <c r="J17">
        <f t="shared" si="8"/>
        <v>1.5303713240000001</v>
      </c>
      <c r="K17">
        <f t="shared" si="2"/>
        <v>13.369628676</v>
      </c>
      <c r="L17">
        <f t="shared" si="3"/>
        <v>74.047812694839266</v>
      </c>
      <c r="M17">
        <f t="shared" si="4"/>
        <v>400.49798799886582</v>
      </c>
      <c r="N17">
        <f t="shared" si="5"/>
        <v>0.10270948483221477</v>
      </c>
      <c r="O17">
        <f t="shared" si="6"/>
        <v>0.1083755951476942</v>
      </c>
    </row>
    <row r="18" spans="1:15" x14ac:dyDescent="0.35">
      <c r="A18">
        <v>0.4</v>
      </c>
      <c r="B18">
        <v>2.0072999999999999</v>
      </c>
      <c r="C18" s="2">
        <v>31212</v>
      </c>
      <c r="G18">
        <f t="shared" si="7"/>
        <v>14.9</v>
      </c>
      <c r="H18">
        <f t="shared" si="0"/>
        <v>9.1999999999999993</v>
      </c>
      <c r="I18">
        <f t="shared" si="1"/>
        <v>989.99175999999989</v>
      </c>
      <c r="J18">
        <f t="shared" si="8"/>
        <v>1.7191039979999998</v>
      </c>
      <c r="K18">
        <f t="shared" si="2"/>
        <v>13.180896002000001</v>
      </c>
      <c r="L18">
        <f t="shared" si="3"/>
        <v>75.108077618530913</v>
      </c>
      <c r="M18">
        <f t="shared" si="4"/>
        <v>415.56116185696749</v>
      </c>
      <c r="N18">
        <f t="shared" si="5"/>
        <v>0.11537610724832213</v>
      </c>
      <c r="O18">
        <f t="shared" si="6"/>
        <v>0.12259270424538281</v>
      </c>
    </row>
    <row r="19" spans="1:15" x14ac:dyDescent="0.35">
      <c r="A19">
        <v>0.5</v>
      </c>
      <c r="B19">
        <v>2.4163999999999999</v>
      </c>
      <c r="C19" s="2">
        <v>34073</v>
      </c>
      <c r="G19">
        <f t="shared" si="7"/>
        <v>14.9</v>
      </c>
      <c r="H19">
        <f t="shared" si="0"/>
        <v>9.1999999999999993</v>
      </c>
      <c r="I19">
        <f t="shared" si="1"/>
        <v>989.99175999999989</v>
      </c>
      <c r="J19">
        <f t="shared" si="8"/>
        <v>2.1017869544999996</v>
      </c>
      <c r="K19">
        <f t="shared" si="2"/>
        <v>12.798213045500001</v>
      </c>
      <c r="L19">
        <f t="shared" si="3"/>
        <v>77.353905305404524</v>
      </c>
      <c r="M19">
        <f t="shared" si="4"/>
        <v>440.48196229362713</v>
      </c>
      <c r="N19">
        <f t="shared" si="5"/>
        <v>0.14105952714765099</v>
      </c>
      <c r="O19">
        <f t="shared" si="6"/>
        <v>0.152055657591954</v>
      </c>
    </row>
    <row r="20" spans="1:15" x14ac:dyDescent="0.35">
      <c r="A20">
        <v>0.6</v>
      </c>
      <c r="B20">
        <v>2.8187000000000002</v>
      </c>
      <c r="C20" s="2">
        <v>36747</v>
      </c>
      <c r="G20">
        <f t="shared" si="7"/>
        <v>14.9</v>
      </c>
      <c r="H20">
        <f t="shared" si="0"/>
        <v>9.1999999999999993</v>
      </c>
      <c r="I20">
        <f t="shared" si="1"/>
        <v>989.99175999999989</v>
      </c>
      <c r="J20">
        <f t="shared" si="8"/>
        <v>2.4793965755</v>
      </c>
      <c r="K20">
        <f t="shared" si="2"/>
        <v>12.420603424500001</v>
      </c>
      <c r="L20">
        <f t="shared" si="3"/>
        <v>79.705608992169601</v>
      </c>
      <c r="M20">
        <f t="shared" si="4"/>
        <v>461.03405349565901</v>
      </c>
      <c r="N20">
        <f t="shared" si="5"/>
        <v>0.16640245473154361</v>
      </c>
      <c r="O20">
        <f t="shared" si="6"/>
        <v>0.18200455272290716</v>
      </c>
    </row>
    <row r="21" spans="1:15" x14ac:dyDescent="0.35">
      <c r="A21">
        <v>0.7</v>
      </c>
      <c r="B21">
        <v>3.0217000000000001</v>
      </c>
      <c r="C21" s="2">
        <v>37989</v>
      </c>
      <c r="G21">
        <f t="shared" si="7"/>
        <v>14.9</v>
      </c>
      <c r="H21">
        <f t="shared" si="0"/>
        <v>9.1999999999999993</v>
      </c>
      <c r="I21">
        <f t="shared" si="1"/>
        <v>989.99175999999989</v>
      </c>
      <c r="J21">
        <f t="shared" si="8"/>
        <v>2.6709285684999999</v>
      </c>
      <c r="K21">
        <f t="shared" si="2"/>
        <v>12.2290714315</v>
      </c>
      <c r="L21">
        <f t="shared" si="3"/>
        <v>80.953960040657719</v>
      </c>
      <c r="M21">
        <f t="shared" si="4"/>
        <v>469.26672865565422</v>
      </c>
      <c r="N21">
        <f t="shared" si="5"/>
        <v>0.17925695090604027</v>
      </c>
      <c r="O21">
        <f t="shared" si="6"/>
        <v>0.19754519160497219</v>
      </c>
    </row>
    <row r="22" spans="1:15" x14ac:dyDescent="0.35">
      <c r="A22">
        <v>0.8</v>
      </c>
      <c r="B22">
        <v>3.2248999999999999</v>
      </c>
      <c r="C22" s="2">
        <v>39232</v>
      </c>
      <c r="G22">
        <f t="shared" si="7"/>
        <v>14.9</v>
      </c>
      <c r="H22">
        <f t="shared" si="0"/>
        <v>9.1999999999999993</v>
      </c>
      <c r="I22">
        <f t="shared" si="1"/>
        <v>989.99175999999989</v>
      </c>
      <c r="J22">
        <f t="shared" si="8"/>
        <v>2.8626513280000001</v>
      </c>
      <c r="K22">
        <f t="shared" si="2"/>
        <v>12.037348672</v>
      </c>
      <c r="L22">
        <f t="shared" si="3"/>
        <v>82.243340039058054</v>
      </c>
      <c r="M22">
        <f t="shared" si="4"/>
        <v>477.02342805348604</v>
      </c>
      <c r="N22">
        <f t="shared" si="5"/>
        <v>0.19212425020134227</v>
      </c>
      <c r="O22">
        <f t="shared" si="6"/>
        <v>0.21334700728729072</v>
      </c>
    </row>
    <row r="23" spans="1:15" x14ac:dyDescent="0.35">
      <c r="A23">
        <v>0.9</v>
      </c>
      <c r="B23">
        <v>3.6282000000000001</v>
      </c>
      <c r="C23" s="2">
        <v>41745</v>
      </c>
      <c r="G23">
        <f t="shared" si="7"/>
        <v>14.9</v>
      </c>
      <c r="H23">
        <f t="shared" si="0"/>
        <v>9.1999999999999993</v>
      </c>
      <c r="I23">
        <f t="shared" si="1"/>
        <v>989.99175999999989</v>
      </c>
      <c r="J23">
        <f t="shared" si="8"/>
        <v>3.2427475425000001</v>
      </c>
      <c r="K23">
        <f t="shared" si="2"/>
        <v>11.6572524575</v>
      </c>
      <c r="L23">
        <f t="shared" si="3"/>
        <v>84.92496526169532</v>
      </c>
      <c r="M23">
        <f t="shared" si="4"/>
        <v>491.55156992249869</v>
      </c>
      <c r="N23">
        <f t="shared" si="5"/>
        <v>0.21763406325503357</v>
      </c>
      <c r="O23">
        <f t="shared" si="6"/>
        <v>0.24543269808944235</v>
      </c>
    </row>
    <row r="24" spans="1:15" x14ac:dyDescent="0.35">
      <c r="A24">
        <v>1</v>
      </c>
      <c r="B24">
        <v>3.8378000000000001</v>
      </c>
      <c r="C24" s="2">
        <v>43043</v>
      </c>
      <c r="G24">
        <f t="shared" si="7"/>
        <v>14.9</v>
      </c>
      <c r="H24">
        <f t="shared" si="0"/>
        <v>9.1999999999999993</v>
      </c>
      <c r="I24">
        <f t="shared" si="1"/>
        <v>989.99175999999989</v>
      </c>
      <c r="J24">
        <f t="shared" si="8"/>
        <v>3.4403624595000002</v>
      </c>
      <c r="K24">
        <f t="shared" si="2"/>
        <v>11.459637540500001</v>
      </c>
      <c r="L24">
        <f t="shared" si="3"/>
        <v>86.389447877494135</v>
      </c>
      <c r="M24">
        <f t="shared" si="4"/>
        <v>498.24372139798578</v>
      </c>
      <c r="N24">
        <f t="shared" si="5"/>
        <v>0.23089680936241611</v>
      </c>
      <c r="O24">
        <f t="shared" si="6"/>
        <v>0.26253013039362416</v>
      </c>
    </row>
    <row r="25" spans="1:15" x14ac:dyDescent="0.35">
      <c r="A25">
        <v>1.1000000000000001</v>
      </c>
      <c r="B25">
        <v>4.0406000000000004</v>
      </c>
      <c r="C25" s="2">
        <v>44268</v>
      </c>
      <c r="G25">
        <f t="shared" si="7"/>
        <v>14.9</v>
      </c>
      <c r="H25">
        <f t="shared" si="0"/>
        <v>9.1999999999999993</v>
      </c>
      <c r="I25">
        <f t="shared" si="1"/>
        <v>989.99175999999989</v>
      </c>
      <c r="J25">
        <f t="shared" si="8"/>
        <v>3.6318514220000004</v>
      </c>
      <c r="K25">
        <f t="shared" si="2"/>
        <v>11.268148578</v>
      </c>
      <c r="L25">
        <f t="shared" si="3"/>
        <v>87.857535170672634</v>
      </c>
      <c r="M25">
        <f t="shared" si="4"/>
        <v>503.86116471404176</v>
      </c>
      <c r="N25">
        <f t="shared" si="5"/>
        <v>0.24374841758389265</v>
      </c>
      <c r="O25">
        <f t="shared" si="6"/>
        <v>0.27938117718822381</v>
      </c>
    </row>
    <row r="26" spans="1:15" x14ac:dyDescent="0.35">
      <c r="A26">
        <v>1.2</v>
      </c>
      <c r="B26">
        <v>4.2436999999999996</v>
      </c>
      <c r="C26" s="2">
        <v>45596</v>
      </c>
      <c r="G26">
        <f t="shared" si="7"/>
        <v>14.9</v>
      </c>
      <c r="H26">
        <f t="shared" si="0"/>
        <v>9.1999999999999993</v>
      </c>
      <c r="I26">
        <f t="shared" si="1"/>
        <v>989.99175999999989</v>
      </c>
      <c r="J26">
        <f t="shared" si="8"/>
        <v>3.8226893339999997</v>
      </c>
      <c r="K26">
        <f t="shared" si="2"/>
        <v>11.077310666000001</v>
      </c>
      <c r="L26">
        <f t="shared" si="3"/>
        <v>89.371128954486963</v>
      </c>
      <c r="M26">
        <f t="shared" si="4"/>
        <v>510.18713239283534</v>
      </c>
      <c r="N26">
        <f t="shared" si="5"/>
        <v>0.25655633114093956</v>
      </c>
      <c r="O26">
        <f t="shared" si="6"/>
        <v>0.29646228076855363</v>
      </c>
    </row>
    <row r="27" spans="1:15" x14ac:dyDescent="0.35">
      <c r="A27">
        <v>1.3</v>
      </c>
      <c r="B27">
        <v>4.4465000000000003</v>
      </c>
      <c r="C27" s="2">
        <v>46845</v>
      </c>
      <c r="G27">
        <f t="shared" si="7"/>
        <v>14.9</v>
      </c>
      <c r="H27">
        <f t="shared" si="0"/>
        <v>9.1999999999999993</v>
      </c>
      <c r="I27">
        <f t="shared" si="1"/>
        <v>989.99175999999989</v>
      </c>
      <c r="J27">
        <f t="shared" si="8"/>
        <v>4.0139566925000008</v>
      </c>
      <c r="K27">
        <f t="shared" si="2"/>
        <v>10.8860433075</v>
      </c>
      <c r="L27">
        <f t="shared" si="3"/>
        <v>90.941376222335947</v>
      </c>
      <c r="M27">
        <f t="shared" si="4"/>
        <v>515.11206390226675</v>
      </c>
      <c r="N27">
        <f t="shared" si="5"/>
        <v>0.26939306661073831</v>
      </c>
      <c r="O27">
        <f t="shared" si="6"/>
        <v>0.31387967467247008</v>
      </c>
    </row>
    <row r="28" spans="1:15" x14ac:dyDescent="0.35">
      <c r="A28">
        <v>1.4</v>
      </c>
      <c r="B28">
        <v>4.649</v>
      </c>
      <c r="C28" s="2">
        <v>48195</v>
      </c>
      <c r="G28">
        <f t="shared" si="7"/>
        <v>14.9</v>
      </c>
      <c r="H28">
        <f t="shared" si="0"/>
        <v>9.1999999999999993</v>
      </c>
      <c r="I28">
        <f t="shared" si="1"/>
        <v>989.99175999999989</v>
      </c>
      <c r="J28">
        <f t="shared" si="8"/>
        <v>4.2039914674999999</v>
      </c>
      <c r="K28">
        <f t="shared" si="2"/>
        <v>10.6960085325</v>
      </c>
      <c r="L28">
        <f t="shared" si="3"/>
        <v>92.557121377745105</v>
      </c>
      <c r="M28">
        <f t="shared" si="4"/>
        <v>520.70547660299474</v>
      </c>
      <c r="N28">
        <f t="shared" si="5"/>
        <v>0.28214707835570468</v>
      </c>
      <c r="O28">
        <f t="shared" si="6"/>
        <v>0.33149057542396682</v>
      </c>
    </row>
    <row r="29" spans="1:15" x14ac:dyDescent="0.35">
      <c r="A29">
        <v>1.5</v>
      </c>
      <c r="B29">
        <v>4.8526999999999996</v>
      </c>
      <c r="C29" s="2">
        <v>49501</v>
      </c>
      <c r="G29">
        <f t="shared" si="7"/>
        <v>14.9</v>
      </c>
      <c r="H29">
        <f t="shared" si="0"/>
        <v>9.1999999999999993</v>
      </c>
      <c r="I29">
        <f t="shared" si="1"/>
        <v>989.99175999999989</v>
      </c>
      <c r="J29">
        <f t="shared" si="8"/>
        <v>4.3956325164999992</v>
      </c>
      <c r="K29">
        <f t="shared" si="2"/>
        <v>10.504367483500001</v>
      </c>
      <c r="L29">
        <f t="shared" si="3"/>
        <v>94.245727936979961</v>
      </c>
      <c r="M29">
        <f t="shared" si="4"/>
        <v>525.23335628645395</v>
      </c>
      <c r="N29">
        <f t="shared" si="5"/>
        <v>0.29500889372483213</v>
      </c>
      <c r="O29">
        <f t="shared" si="6"/>
        <v>0.34957009146196877</v>
      </c>
    </row>
    <row r="30" spans="1:15" x14ac:dyDescent="0.35">
      <c r="A30">
        <v>1.6</v>
      </c>
      <c r="B30">
        <v>5.0547000000000004</v>
      </c>
      <c r="C30" s="2">
        <v>50846</v>
      </c>
      <c r="G30">
        <f t="shared" si="7"/>
        <v>14.9</v>
      </c>
      <c r="H30">
        <f t="shared" si="0"/>
        <v>9.1999999999999993</v>
      </c>
      <c r="I30">
        <f t="shared" si="1"/>
        <v>989.99175999999989</v>
      </c>
      <c r="J30">
        <f t="shared" si="8"/>
        <v>4.5852134590000002</v>
      </c>
      <c r="K30">
        <f t="shared" si="2"/>
        <v>10.314786541</v>
      </c>
      <c r="L30">
        <f t="shared" si="3"/>
        <v>95.977920247297916</v>
      </c>
      <c r="M30">
        <f t="shared" si="4"/>
        <v>529.76767853470415</v>
      </c>
      <c r="N30">
        <f t="shared" si="5"/>
        <v>0.3077324469127517</v>
      </c>
      <c r="O30">
        <f t="shared" si="6"/>
        <v>0.36778276068013199</v>
      </c>
    </row>
    <row r="31" spans="1:15" x14ac:dyDescent="0.35">
      <c r="A31">
        <v>1.7</v>
      </c>
      <c r="B31">
        <v>5.4611999999999998</v>
      </c>
      <c r="C31" s="2">
        <v>53721</v>
      </c>
      <c r="G31">
        <f t="shared" si="7"/>
        <v>14.9</v>
      </c>
      <c r="H31">
        <f t="shared" si="0"/>
        <v>9.1999999999999993</v>
      </c>
      <c r="I31">
        <f t="shared" si="1"/>
        <v>989.99175999999989</v>
      </c>
      <c r="J31">
        <f t="shared" si="8"/>
        <v>4.9651671464999998</v>
      </c>
      <c r="K31">
        <f t="shared" si="2"/>
        <v>9.9348328535000014</v>
      </c>
      <c r="L31">
        <f t="shared" si="3"/>
        <v>99.648557212638948</v>
      </c>
      <c r="M31">
        <f t="shared" si="4"/>
        <v>539.10464438903375</v>
      </c>
      <c r="N31">
        <f t="shared" si="5"/>
        <v>0.33323269439597314</v>
      </c>
      <c r="O31">
        <f t="shared" si="6"/>
        <v>0.40531416109519769</v>
      </c>
    </row>
    <row r="32" spans="1:15" x14ac:dyDescent="0.35">
      <c r="A32">
        <v>1.8</v>
      </c>
      <c r="B32">
        <v>5.6703000000000001</v>
      </c>
      <c r="C32" s="2">
        <v>55272</v>
      </c>
      <c r="G32">
        <f t="shared" si="7"/>
        <v>14.9</v>
      </c>
      <c r="H32">
        <f t="shared" si="0"/>
        <v>9.1999999999999993</v>
      </c>
      <c r="I32">
        <f t="shared" si="1"/>
        <v>989.99175999999989</v>
      </c>
      <c r="J32">
        <f t="shared" si="8"/>
        <v>5.1599459880000005</v>
      </c>
      <c r="K32">
        <f t="shared" si="2"/>
        <v>9.7400540119999999</v>
      </c>
      <c r="L32">
        <f t="shared" si="3"/>
        <v>101.64130083676172</v>
      </c>
      <c r="M32">
        <f t="shared" si="4"/>
        <v>543.79469315104609</v>
      </c>
      <c r="N32">
        <f t="shared" si="5"/>
        <v>0.34630509986577185</v>
      </c>
      <c r="O32">
        <f t="shared" si="6"/>
        <v>0.4251145499324685</v>
      </c>
    </row>
    <row r="33" spans="1:15" x14ac:dyDescent="0.35">
      <c r="A33">
        <v>1.9</v>
      </c>
      <c r="B33">
        <v>5.8734000000000002</v>
      </c>
      <c r="C33" s="2">
        <v>56871</v>
      </c>
      <c r="G33">
        <f t="shared" si="7"/>
        <v>14.9</v>
      </c>
      <c r="H33">
        <f t="shared" si="0"/>
        <v>9.1999999999999993</v>
      </c>
      <c r="I33">
        <f t="shared" si="1"/>
        <v>989.99175999999989</v>
      </c>
      <c r="J33">
        <f t="shared" si="8"/>
        <v>5.3482816215</v>
      </c>
      <c r="K33">
        <f t="shared" si="2"/>
        <v>9.5517183785000004</v>
      </c>
      <c r="L33">
        <f t="shared" si="3"/>
        <v>103.64540921017689</v>
      </c>
      <c r="M33">
        <f t="shared" si="4"/>
        <v>548.70737096203061</v>
      </c>
      <c r="N33">
        <f t="shared" si="5"/>
        <v>0.35894507526845637</v>
      </c>
      <c r="O33">
        <f t="shared" si="6"/>
        <v>0.44464013972365496</v>
      </c>
    </row>
    <row r="34" spans="1:15" x14ac:dyDescent="0.35">
      <c r="A34">
        <v>2</v>
      </c>
      <c r="B34">
        <v>6.0766</v>
      </c>
      <c r="C34" s="2">
        <v>58428</v>
      </c>
      <c r="G34">
        <f t="shared" si="7"/>
        <v>14.9</v>
      </c>
      <c r="H34">
        <f t="shared" si="0"/>
        <v>9.1999999999999993</v>
      </c>
      <c r="I34">
        <f t="shared" si="1"/>
        <v>989.99175999999989</v>
      </c>
      <c r="J34">
        <f t="shared" si="8"/>
        <v>5.5371050620000002</v>
      </c>
      <c r="K34">
        <f t="shared" si="2"/>
        <v>9.3628949380000002</v>
      </c>
      <c r="L34">
        <f t="shared" si="3"/>
        <v>105.73564763415696</v>
      </c>
      <c r="M34">
        <f t="shared" si="4"/>
        <v>552.58563509403757</v>
      </c>
      <c r="N34">
        <f t="shared" si="5"/>
        <v>0.37161778939597317</v>
      </c>
      <c r="O34">
        <f t="shared" si="6"/>
        <v>0.46460668203379984</v>
      </c>
    </row>
    <row r="35" spans="1:15" x14ac:dyDescent="0.35">
      <c r="A35">
        <v>2.1</v>
      </c>
      <c r="B35">
        <v>6.2811000000000003</v>
      </c>
      <c r="C35" s="2">
        <v>60197</v>
      </c>
      <c r="G35">
        <f t="shared" si="7"/>
        <v>14.9</v>
      </c>
      <c r="H35">
        <f t="shared" si="0"/>
        <v>9.1999999999999993</v>
      </c>
      <c r="I35">
        <f t="shared" si="1"/>
        <v>989.99175999999989</v>
      </c>
      <c r="J35">
        <f t="shared" si="8"/>
        <v>5.7252710005000003</v>
      </c>
      <c r="K35">
        <f t="shared" si="2"/>
        <v>9.174728999500001</v>
      </c>
      <c r="L35">
        <f t="shared" si="3"/>
        <v>107.90419641320761</v>
      </c>
      <c r="M35">
        <f t="shared" si="4"/>
        <v>557.87450350384893</v>
      </c>
      <c r="N35">
        <f t="shared" si="5"/>
        <v>0.38424637587248323</v>
      </c>
      <c r="O35">
        <f t="shared" si="6"/>
        <v>0.48490835628623746</v>
      </c>
    </row>
    <row r="36" spans="1:15" x14ac:dyDescent="0.35">
      <c r="A36">
        <v>2.2000000000000002</v>
      </c>
      <c r="B36">
        <v>6.4856999999999996</v>
      </c>
      <c r="C36" s="2">
        <v>62044</v>
      </c>
      <c r="G36">
        <f t="shared" si="7"/>
        <v>14.9</v>
      </c>
      <c r="H36">
        <f t="shared" si="0"/>
        <v>9.1999999999999993</v>
      </c>
      <c r="I36">
        <f t="shared" si="1"/>
        <v>989.99175999999989</v>
      </c>
      <c r="J36">
        <f t="shared" si="8"/>
        <v>5.9128167259999991</v>
      </c>
      <c r="K36">
        <f t="shared" si="2"/>
        <v>8.9871832740000013</v>
      </c>
      <c r="L36">
        <f t="shared" si="3"/>
        <v>110.15595541086323</v>
      </c>
      <c r="M36">
        <f t="shared" si="4"/>
        <v>563.23781831482734</v>
      </c>
      <c r="N36">
        <f t="shared" si="5"/>
        <v>0.39683333731543619</v>
      </c>
      <c r="O36">
        <f t="shared" si="6"/>
        <v>0.50556173124844384</v>
      </c>
    </row>
    <row r="37" spans="1:15" x14ac:dyDescent="0.35">
      <c r="A37">
        <v>2.2999999999999998</v>
      </c>
      <c r="B37">
        <v>6.6902999999999997</v>
      </c>
      <c r="C37" s="2">
        <v>64220</v>
      </c>
      <c r="G37">
        <f t="shared" si="7"/>
        <v>14.9</v>
      </c>
      <c r="H37">
        <f t="shared" si="0"/>
        <v>9.1999999999999993</v>
      </c>
      <c r="I37">
        <f t="shared" si="1"/>
        <v>989.99175999999989</v>
      </c>
      <c r="J37">
        <f t="shared" si="8"/>
        <v>6.0973246299999992</v>
      </c>
      <c r="K37">
        <f t="shared" si="2"/>
        <v>8.8026753700000011</v>
      </c>
      <c r="L37">
        <f t="shared" si="3"/>
        <v>112.46487214261541</v>
      </c>
      <c r="M37">
        <f t="shared" si="4"/>
        <v>571.02274493820039</v>
      </c>
      <c r="N37">
        <f t="shared" si="5"/>
        <v>0.40921641812080534</v>
      </c>
      <c r="O37">
        <f t="shared" si="6"/>
        <v>0.52630551835357919</v>
      </c>
    </row>
    <row r="38" spans="1:15" x14ac:dyDescent="0.35">
      <c r="A38">
        <v>2.4</v>
      </c>
      <c r="B38">
        <v>6.8945999999999996</v>
      </c>
      <c r="C38" s="2">
        <v>66276</v>
      </c>
      <c r="G38">
        <f t="shared" si="7"/>
        <v>14.9</v>
      </c>
      <c r="H38">
        <f t="shared" si="0"/>
        <v>9.1999999999999993</v>
      </c>
      <c r="I38">
        <f t="shared" si="1"/>
        <v>989.99175999999989</v>
      </c>
      <c r="J38">
        <f t="shared" si="8"/>
        <v>6.2826405539999994</v>
      </c>
      <c r="K38">
        <f t="shared" si="2"/>
        <v>8.6173594460000018</v>
      </c>
      <c r="L38">
        <f t="shared" si="3"/>
        <v>114.88342411659913</v>
      </c>
      <c r="M38">
        <f t="shared" si="4"/>
        <v>576.89784674884174</v>
      </c>
      <c r="N38">
        <f t="shared" si="5"/>
        <v>0.42165372845637578</v>
      </c>
      <c r="O38">
        <f t="shared" si="6"/>
        <v>0.54758250397435482</v>
      </c>
    </row>
    <row r="39" spans="1:15" x14ac:dyDescent="0.35">
      <c r="A39">
        <v>2.5</v>
      </c>
      <c r="B39">
        <v>7.3082000000000003</v>
      </c>
      <c r="C39" s="2">
        <v>71000</v>
      </c>
      <c r="G39">
        <f t="shared" si="7"/>
        <v>14.9</v>
      </c>
      <c r="H39">
        <f t="shared" si="0"/>
        <v>9.1999999999999993</v>
      </c>
      <c r="I39">
        <f t="shared" si="1"/>
        <v>989.99175999999989</v>
      </c>
      <c r="J39">
        <f t="shared" si="8"/>
        <v>6.6526215000000004</v>
      </c>
      <c r="K39">
        <f t="shared" si="2"/>
        <v>8.2473784999999999</v>
      </c>
      <c r="L39">
        <f t="shared" si="3"/>
        <v>120.03714392397535</v>
      </c>
      <c r="M39">
        <f t="shared" si="4"/>
        <v>591.48358315628809</v>
      </c>
      <c r="N39">
        <f t="shared" si="5"/>
        <v>0.44648466442953022</v>
      </c>
      <c r="O39">
        <f t="shared" si="6"/>
        <v>0.59146582067621722</v>
      </c>
    </row>
    <row r="40" spans="1:15" x14ac:dyDescent="0.35">
      <c r="A40">
        <v>2.6</v>
      </c>
      <c r="B40">
        <v>7.5134999999999996</v>
      </c>
      <c r="C40" s="2">
        <v>73384</v>
      </c>
      <c r="G40">
        <f t="shared" si="7"/>
        <v>14.9</v>
      </c>
      <c r="H40">
        <f t="shared" si="0"/>
        <v>9.1999999999999993</v>
      </c>
      <c r="I40">
        <f t="shared" si="1"/>
        <v>989.99175999999989</v>
      </c>
      <c r="J40">
        <f t="shared" si="8"/>
        <v>6.8359088359999998</v>
      </c>
      <c r="K40">
        <f t="shared" si="2"/>
        <v>8.0640911640000006</v>
      </c>
      <c r="L40">
        <f t="shared" si="3"/>
        <v>122.76544744676944</v>
      </c>
      <c r="M40">
        <f t="shared" si="4"/>
        <v>597.75776919494376</v>
      </c>
      <c r="N40">
        <f t="shared" si="5"/>
        <v>0.45878582791946304</v>
      </c>
      <c r="O40">
        <f t="shared" si="6"/>
        <v>0.61394019662677846</v>
      </c>
    </row>
    <row r="41" spans="1:15" x14ac:dyDescent="0.35">
      <c r="A41">
        <v>2.7</v>
      </c>
      <c r="B41">
        <v>7.7183000000000002</v>
      </c>
      <c r="C41" s="2">
        <v>76040</v>
      </c>
      <c r="G41">
        <f t="shared" si="7"/>
        <v>14.9</v>
      </c>
      <c r="H41">
        <f t="shared" si="0"/>
        <v>9.1999999999999993</v>
      </c>
      <c r="I41">
        <f t="shared" si="1"/>
        <v>989.99175999999989</v>
      </c>
      <c r="J41">
        <f t="shared" si="8"/>
        <v>7.0161846600000004</v>
      </c>
      <c r="K41">
        <f t="shared" si="2"/>
        <v>7.8838153399999999</v>
      </c>
      <c r="L41">
        <f t="shared" si="3"/>
        <v>125.57267227925711</v>
      </c>
      <c r="M41">
        <f t="shared" si="4"/>
        <v>605.54576580879825</v>
      </c>
      <c r="N41">
        <f t="shared" si="5"/>
        <v>0.47088487651006711</v>
      </c>
      <c r="O41">
        <f t="shared" si="6"/>
        <v>0.63654924605599283</v>
      </c>
    </row>
    <row r="42" spans="1:15" x14ac:dyDescent="0.35">
      <c r="A42">
        <v>2.8</v>
      </c>
      <c r="B42">
        <v>7.9234999999999998</v>
      </c>
      <c r="C42" s="2">
        <v>78662</v>
      </c>
      <c r="G42">
        <f t="shared" si="7"/>
        <v>14.9</v>
      </c>
      <c r="H42">
        <f t="shared" si="0"/>
        <v>9.1999999999999993</v>
      </c>
      <c r="I42">
        <f t="shared" si="1"/>
        <v>989.99175999999989</v>
      </c>
      <c r="J42">
        <f t="shared" si="8"/>
        <v>7.1971744229999999</v>
      </c>
      <c r="K42">
        <f t="shared" si="2"/>
        <v>7.7028255770000005</v>
      </c>
      <c r="L42">
        <f t="shared" si="3"/>
        <v>128.52319581999018</v>
      </c>
      <c r="M42">
        <f t="shared" si="4"/>
        <v>612.04516039403609</v>
      </c>
      <c r="N42">
        <f t="shared" si="5"/>
        <v>0.48303184046979863</v>
      </c>
      <c r="O42">
        <f t="shared" si="6"/>
        <v>0.65977399335246634</v>
      </c>
    </row>
    <row r="43" spans="1:15" x14ac:dyDescent="0.35">
      <c r="A43">
        <v>2.9</v>
      </c>
      <c r="B43">
        <v>8.1286000000000005</v>
      </c>
      <c r="C43" s="2">
        <v>81536</v>
      </c>
      <c r="G43">
        <f t="shared" si="7"/>
        <v>14.9</v>
      </c>
      <c r="H43">
        <f t="shared" si="0"/>
        <v>9.1999999999999993</v>
      </c>
      <c r="I43">
        <f t="shared" si="1"/>
        <v>989.99175999999989</v>
      </c>
      <c r="J43">
        <f t="shared" si="8"/>
        <v>7.3757373440000009</v>
      </c>
      <c r="K43">
        <f t="shared" si="2"/>
        <v>7.5242626559999994</v>
      </c>
      <c r="L43">
        <f t="shared" si="3"/>
        <v>131.57325910341001</v>
      </c>
      <c r="M43">
        <f t="shared" si="4"/>
        <v>619.70039015235443</v>
      </c>
      <c r="N43">
        <f t="shared" si="5"/>
        <v>0.49501592912751685</v>
      </c>
      <c r="O43">
        <f t="shared" si="6"/>
        <v>0.68322839303102867</v>
      </c>
    </row>
    <row r="44" spans="1:15" x14ac:dyDescent="0.35">
      <c r="A44">
        <v>3</v>
      </c>
      <c r="B44">
        <v>8.5379000000000005</v>
      </c>
      <c r="C44" s="2">
        <v>87579</v>
      </c>
      <c r="G44">
        <f t="shared" si="7"/>
        <v>14.9</v>
      </c>
      <c r="H44">
        <f t="shared" si="0"/>
        <v>9.1999999999999993</v>
      </c>
      <c r="I44">
        <f t="shared" si="1"/>
        <v>989.99175999999989</v>
      </c>
      <c r="J44">
        <f t="shared" si="8"/>
        <v>7.7292393035</v>
      </c>
      <c r="K44">
        <f t="shared" si="2"/>
        <v>7.1707606965000004</v>
      </c>
      <c r="L44">
        <f t="shared" si="3"/>
        <v>138.05951723967141</v>
      </c>
      <c r="M44">
        <f t="shared" si="4"/>
        <v>634.35684660524203</v>
      </c>
      <c r="N44">
        <f t="shared" si="5"/>
        <v>0.51874089285234903</v>
      </c>
      <c r="O44">
        <f t="shared" si="6"/>
        <v>0.73134946961602776</v>
      </c>
    </row>
    <row r="45" spans="1:15" x14ac:dyDescent="0.35">
      <c r="A45">
        <v>3.1</v>
      </c>
      <c r="B45">
        <v>8.7459000000000007</v>
      </c>
      <c r="C45" s="2">
        <v>90907</v>
      </c>
      <c r="G45">
        <f t="shared" si="7"/>
        <v>14.9</v>
      </c>
      <c r="H45">
        <f t="shared" si="0"/>
        <v>9.1999999999999993</v>
      </c>
      <c r="I45">
        <f t="shared" si="1"/>
        <v>989.99175999999989</v>
      </c>
      <c r="J45">
        <f t="shared" si="8"/>
        <v>7.9065102155000009</v>
      </c>
      <c r="K45">
        <f t="shared" si="2"/>
        <v>6.9934897844999995</v>
      </c>
      <c r="L45">
        <f t="shared" si="3"/>
        <v>141.55904855887044</v>
      </c>
      <c r="M45">
        <f t="shared" si="4"/>
        <v>642.18431054369739</v>
      </c>
      <c r="N45">
        <f t="shared" si="5"/>
        <v>0.53063826949664439</v>
      </c>
      <c r="O45">
        <f t="shared" si="6"/>
        <v>0.75638152742877851</v>
      </c>
    </row>
    <row r="46" spans="1:15" x14ac:dyDescent="0.35">
      <c r="A46">
        <v>3.2</v>
      </c>
      <c r="B46">
        <v>8.9575999999999993</v>
      </c>
      <c r="C46" s="2">
        <v>94392</v>
      </c>
      <c r="G46">
        <f t="shared" si="7"/>
        <v>14.9</v>
      </c>
      <c r="H46">
        <f t="shared" si="0"/>
        <v>9.1999999999999993</v>
      </c>
      <c r="I46">
        <f t="shared" si="1"/>
        <v>989.99175999999989</v>
      </c>
      <c r="J46">
        <f t="shared" si="8"/>
        <v>8.0860314679999998</v>
      </c>
      <c r="K46">
        <f t="shared" si="2"/>
        <v>6.8139685320000005</v>
      </c>
      <c r="L46">
        <f t="shared" si="3"/>
        <v>145.28857234235315</v>
      </c>
      <c r="M46">
        <f t="shared" si="4"/>
        <v>649.68633443226247</v>
      </c>
      <c r="N46">
        <f t="shared" si="5"/>
        <v>0.54268667570469797</v>
      </c>
      <c r="O46">
        <f t="shared" si="6"/>
        <v>0.78238651186242758</v>
      </c>
    </row>
    <row r="47" spans="1:15" x14ac:dyDescent="0.35">
      <c r="A47">
        <v>3.3</v>
      </c>
      <c r="B47">
        <v>9.1646999999999998</v>
      </c>
      <c r="C47" s="2">
        <v>98077</v>
      </c>
      <c r="G47">
        <f t="shared" si="7"/>
        <v>14.9</v>
      </c>
      <c r="H47">
        <f t="shared" si="0"/>
        <v>9.1999999999999993</v>
      </c>
      <c r="I47">
        <f t="shared" si="1"/>
        <v>989.99175999999989</v>
      </c>
      <c r="J47">
        <f t="shared" si="8"/>
        <v>8.2591060204999991</v>
      </c>
      <c r="K47">
        <f t="shared" si="2"/>
        <v>6.6408939795000013</v>
      </c>
      <c r="L47">
        <f t="shared" si="3"/>
        <v>149.07507378615571</v>
      </c>
      <c r="M47">
        <f t="shared" si="4"/>
        <v>657.90341409247856</v>
      </c>
      <c r="N47">
        <f t="shared" si="5"/>
        <v>0.5543024174832214</v>
      </c>
      <c r="O47">
        <f t="shared" si="6"/>
        <v>0.80811462305874437</v>
      </c>
    </row>
    <row r="48" spans="1:15" x14ac:dyDescent="0.35">
      <c r="A48">
        <v>3.4</v>
      </c>
      <c r="B48">
        <v>9.3714999999999993</v>
      </c>
      <c r="C48" s="2">
        <v>101709</v>
      </c>
      <c r="G48">
        <f t="shared" si="7"/>
        <v>14.9</v>
      </c>
      <c r="H48">
        <f t="shared" si="0"/>
        <v>9.1999999999999993</v>
      </c>
      <c r="I48">
        <f t="shared" si="1"/>
        <v>989.99175999999989</v>
      </c>
      <c r="J48">
        <f t="shared" si="8"/>
        <v>8.4323699484999999</v>
      </c>
      <c r="K48">
        <f t="shared" si="2"/>
        <v>6.4676300515000005</v>
      </c>
      <c r="L48">
        <f t="shared" si="3"/>
        <v>153.06870555627972</v>
      </c>
      <c r="M48">
        <f t="shared" si="4"/>
        <v>664.46632334395758</v>
      </c>
      <c r="N48">
        <f t="shared" si="5"/>
        <v>0.56593086902684564</v>
      </c>
      <c r="O48">
        <f t="shared" si="6"/>
        <v>0.8345514696101346</v>
      </c>
    </row>
    <row r="49" spans="1:15" x14ac:dyDescent="0.35">
      <c r="A49">
        <v>3.5</v>
      </c>
      <c r="B49">
        <v>9.5778999999999996</v>
      </c>
      <c r="C49" s="2">
        <v>105746</v>
      </c>
      <c r="G49">
        <f t="shared" si="7"/>
        <v>14.9</v>
      </c>
      <c r="H49">
        <f t="shared" si="0"/>
        <v>9.1999999999999993</v>
      </c>
      <c r="I49">
        <f t="shared" si="1"/>
        <v>989.99175999999989</v>
      </c>
      <c r="J49">
        <f t="shared" si="8"/>
        <v>8.6014943089999996</v>
      </c>
      <c r="K49">
        <f t="shared" si="2"/>
        <v>6.2985056910000008</v>
      </c>
      <c r="L49">
        <f t="shared" si="3"/>
        <v>157.17883075260363</v>
      </c>
      <c r="M49">
        <f t="shared" si="4"/>
        <v>672.77507723951783</v>
      </c>
      <c r="N49">
        <f t="shared" si="5"/>
        <v>0.57728149724832212</v>
      </c>
      <c r="O49">
        <f t="shared" si="6"/>
        <v>0.86104879959313696</v>
      </c>
    </row>
    <row r="50" spans="1:15" x14ac:dyDescent="0.35">
      <c r="A50">
        <v>3.6</v>
      </c>
      <c r="B50">
        <v>9.7849000000000004</v>
      </c>
      <c r="C50" s="2">
        <v>110016</v>
      </c>
      <c r="G50">
        <f t="shared" si="7"/>
        <v>14.9</v>
      </c>
      <c r="H50">
        <f t="shared" si="0"/>
        <v>9.1999999999999993</v>
      </c>
      <c r="I50">
        <f t="shared" si="1"/>
        <v>989.99175999999989</v>
      </c>
      <c r="J50">
        <f t="shared" si="8"/>
        <v>8.7690672640000003</v>
      </c>
      <c r="K50">
        <f t="shared" si="2"/>
        <v>6.1309327360000001</v>
      </c>
      <c r="L50">
        <f t="shared" si="3"/>
        <v>161.47490155729542</v>
      </c>
      <c r="M50">
        <f t="shared" si="4"/>
        <v>681.31950500656296</v>
      </c>
      <c r="N50">
        <f t="shared" si="5"/>
        <v>0.58852800429530205</v>
      </c>
      <c r="O50">
        <f t="shared" si="6"/>
        <v>0.8880143153613671</v>
      </c>
    </row>
    <row r="51" spans="1:15" x14ac:dyDescent="0.35">
      <c r="A51">
        <v>3.7</v>
      </c>
      <c r="B51">
        <v>9.9908000000000001</v>
      </c>
      <c r="C51" s="2">
        <v>114484</v>
      </c>
      <c r="G51">
        <f t="shared" si="7"/>
        <v>14.9</v>
      </c>
      <c r="H51">
        <f t="shared" si="0"/>
        <v>9.1999999999999993</v>
      </c>
      <c r="I51">
        <f t="shared" si="1"/>
        <v>989.99175999999989</v>
      </c>
      <c r="J51">
        <f t="shared" si="8"/>
        <v>8.9337119860000005</v>
      </c>
      <c r="K51">
        <f t="shared" si="2"/>
        <v>5.9662880139999999</v>
      </c>
      <c r="L51">
        <f t="shared" si="3"/>
        <v>165.93093690364373</v>
      </c>
      <c r="M51">
        <f t="shared" si="4"/>
        <v>689.94969917201752</v>
      </c>
      <c r="N51">
        <f t="shared" si="5"/>
        <v>0.59957798563758391</v>
      </c>
      <c r="O51">
        <f t="shared" si="6"/>
        <v>0.91523625212735193</v>
      </c>
    </row>
    <row r="52" spans="1:15" x14ac:dyDescent="0.35">
      <c r="A52">
        <v>3.8</v>
      </c>
      <c r="B52">
        <v>10.1974</v>
      </c>
      <c r="C52" s="2">
        <v>119017</v>
      </c>
      <c r="G52">
        <f t="shared" si="7"/>
        <v>14.9</v>
      </c>
      <c r="H52">
        <f t="shared" si="0"/>
        <v>9.1999999999999993</v>
      </c>
      <c r="I52">
        <f t="shared" si="1"/>
        <v>989.99175999999989</v>
      </c>
      <c r="J52">
        <f t="shared" si="8"/>
        <v>9.0984565305</v>
      </c>
      <c r="K52">
        <f t="shared" si="2"/>
        <v>5.8015434695000003</v>
      </c>
      <c r="L52">
        <f t="shared" si="3"/>
        <v>170.64282379415167</v>
      </c>
      <c r="M52">
        <f t="shared" si="4"/>
        <v>697.46267293121878</v>
      </c>
      <c r="N52">
        <f t="shared" si="5"/>
        <v>0.6106346664765101</v>
      </c>
      <c r="O52">
        <f t="shared" si="6"/>
        <v>0.94323721537043592</v>
      </c>
    </row>
    <row r="53" spans="1:15" x14ac:dyDescent="0.35">
      <c r="A53">
        <v>3.9</v>
      </c>
      <c r="B53">
        <v>10.4046</v>
      </c>
      <c r="C53" s="2">
        <v>124034</v>
      </c>
      <c r="G53">
        <f t="shared" si="7"/>
        <v>14.9</v>
      </c>
      <c r="H53">
        <f t="shared" si="0"/>
        <v>9.1999999999999993</v>
      </c>
      <c r="I53">
        <f t="shared" si="1"/>
        <v>989.99175999999989</v>
      </c>
      <c r="J53">
        <f t="shared" si="8"/>
        <v>9.2593320610000003</v>
      </c>
      <c r="K53">
        <f t="shared" si="2"/>
        <v>5.6406679390000001</v>
      </c>
      <c r="L53">
        <f t="shared" si="3"/>
        <v>175.50966848360684</v>
      </c>
      <c r="M53">
        <f t="shared" si="4"/>
        <v>706.70750547047589</v>
      </c>
      <c r="N53">
        <f t="shared" si="5"/>
        <v>0.62143168194630871</v>
      </c>
      <c r="O53">
        <f t="shared" si="6"/>
        <v>0.97135872555288538</v>
      </c>
    </row>
    <row r="54" spans="1:15" x14ac:dyDescent="0.35">
      <c r="A54">
        <v>4</v>
      </c>
      <c r="B54">
        <v>10.6158</v>
      </c>
      <c r="C54" s="2">
        <v>129384</v>
      </c>
      <c r="G54">
        <f t="shared" si="7"/>
        <v>14.9</v>
      </c>
      <c r="H54">
        <f t="shared" si="0"/>
        <v>9.1999999999999993</v>
      </c>
      <c r="I54">
        <f t="shared" si="1"/>
        <v>989.99175999999989</v>
      </c>
      <c r="J54">
        <f t="shared" si="8"/>
        <v>9.421132836</v>
      </c>
      <c r="K54">
        <f t="shared" si="2"/>
        <v>5.4788671640000004</v>
      </c>
      <c r="L54">
        <f t="shared" si="3"/>
        <v>180.69278381212453</v>
      </c>
      <c r="M54">
        <f t="shared" si="4"/>
        <v>716.04409025280791</v>
      </c>
      <c r="N54">
        <f t="shared" si="5"/>
        <v>0.63229079436241609</v>
      </c>
      <c r="O54">
        <f t="shared" si="6"/>
        <v>1.0004628552592161</v>
      </c>
    </row>
    <row r="55" spans="1:15" x14ac:dyDescent="0.35">
      <c r="A55">
        <v>4.0999999999999996</v>
      </c>
      <c r="B55">
        <v>11.026400000000001</v>
      </c>
      <c r="C55" s="2">
        <v>141348</v>
      </c>
      <c r="G55">
        <f t="shared" si="7"/>
        <v>14.9</v>
      </c>
      <c r="H55">
        <f t="shared" si="0"/>
        <v>9.1999999999999993</v>
      </c>
      <c r="I55">
        <f t="shared" si="1"/>
        <v>989.99175999999989</v>
      </c>
      <c r="J55">
        <f t="shared" si="8"/>
        <v>9.7212632420000009</v>
      </c>
      <c r="K55">
        <f t="shared" si="2"/>
        <v>5.1787367579999994</v>
      </c>
      <c r="L55">
        <f t="shared" si="3"/>
        <v>191.16471955649845</v>
      </c>
      <c r="M55">
        <f t="shared" si="4"/>
        <v>739.40421814196111</v>
      </c>
      <c r="N55">
        <f t="shared" si="5"/>
        <v>0.65243377463087249</v>
      </c>
      <c r="O55">
        <f t="shared" si="6"/>
        <v>1.0568000555328982</v>
      </c>
    </row>
    <row r="56" spans="1:15" x14ac:dyDescent="0.35">
      <c r="A56">
        <v>4.2</v>
      </c>
      <c r="B56">
        <v>11.2333</v>
      </c>
      <c r="C56" s="2">
        <v>147729</v>
      </c>
      <c r="G56">
        <f t="shared" si="7"/>
        <v>14.9</v>
      </c>
      <c r="H56">
        <f t="shared" si="0"/>
        <v>9.1999999999999993</v>
      </c>
      <c r="I56">
        <f t="shared" si="1"/>
        <v>989.99175999999989</v>
      </c>
      <c r="J56">
        <f t="shared" si="8"/>
        <v>9.8692442785000001</v>
      </c>
      <c r="K56">
        <f t="shared" si="2"/>
        <v>5.0307557215000003</v>
      </c>
      <c r="L56">
        <f t="shared" si="3"/>
        <v>196.78788134535341</v>
      </c>
      <c r="M56">
        <f t="shared" si="4"/>
        <v>750.70171491273186</v>
      </c>
      <c r="N56">
        <f t="shared" si="5"/>
        <v>0.66236538781879195</v>
      </c>
      <c r="O56">
        <f t="shared" si="6"/>
        <v>1.0857909972821487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UTS-R-250</dc:creator>
  <cp:lastModifiedBy>Зульфия</cp:lastModifiedBy>
  <dcterms:created xsi:type="dcterms:W3CDTF">2025-12-02T10:10:29Z</dcterms:created>
  <dcterms:modified xsi:type="dcterms:W3CDTF">2025-12-04T20:13:45Z</dcterms:modified>
</cp:coreProperties>
</file>