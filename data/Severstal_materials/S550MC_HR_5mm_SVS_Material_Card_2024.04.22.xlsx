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1. Work files\Карточки материалов\Рабочие материалы\S550\"/>
    </mc:Choice>
  </mc:AlternateContent>
  <bookViews>
    <workbookView xWindow="0" yWindow="0" windowWidth="28800" windowHeight="12300" tabRatio="684"/>
  </bookViews>
  <sheets>
    <sheet name="1Base Properties" sheetId="16" r:id="rId1"/>
    <sheet name="2Forming" sheetId="19" r:id="rId2"/>
    <sheet name="3Thermal Properties" sheetId="20" r:id="rId3"/>
    <sheet name="4AF" sheetId="28" r:id="rId4"/>
  </sheets>
  <externalReferences>
    <externalReference r:id="rId5"/>
    <externalReference r:id="rId6"/>
  </externalReferences>
  <definedNames>
    <definedName name="_xlnm._FilterDatabase" localSheetId="3" hidden="1">'4AF'!$J$23:$L$74</definedName>
    <definedName name="_xlnm.Print_Area" localSheetId="0">'1Base Properties'!$A$2:$G$30</definedName>
    <definedName name="_xlnm.Print_Area" localSheetId="1">'2Forming'!$A$1:$G$28</definedName>
    <definedName name="_xlnm.Print_Area" localSheetId="2">'3Thermal Properties'!$A$1:$G$43</definedName>
    <definedName name="_xlnm.Print_Area" localSheetId="3">'4AF'!$A$1:$R$81</definedName>
  </definedNames>
  <calcPr calcId="162913"/>
  <customWorkbookViews>
    <customWorkbookView name="Bill Curtiss/bcurtiss - Personal View" guid="{1382A1C9-C293-463A-B53E-E2547F1BFC5D}" mergeInterval="0" personalView="1" maximized="1" windowWidth="1020" windowHeight="579" activeSheetId="1"/>
  </customWorkbookViews>
</workbook>
</file>

<file path=xl/calcChain.xml><?xml version="1.0" encoding="utf-8"?>
<calcChain xmlns="http://schemas.openxmlformats.org/spreadsheetml/2006/main">
  <c r="R74" i="28" l="1"/>
  <c r="P74" i="28"/>
  <c r="H74" i="28"/>
  <c r="P73" i="28"/>
  <c r="H73" i="28"/>
  <c r="P72" i="28"/>
  <c r="H72" i="28"/>
  <c r="P71" i="28"/>
  <c r="H71" i="28"/>
  <c r="P70" i="28"/>
  <c r="H70" i="28"/>
  <c r="P69" i="28"/>
  <c r="H69" i="28"/>
  <c r="P68" i="28"/>
  <c r="H68" i="28"/>
  <c r="P67" i="28"/>
  <c r="H67" i="28"/>
  <c r="P66" i="28"/>
  <c r="H66" i="28"/>
  <c r="P65" i="28"/>
  <c r="H65" i="28"/>
  <c r="P64" i="28"/>
  <c r="H64" i="28"/>
  <c r="P63" i="28"/>
  <c r="H63" i="28"/>
  <c r="P62" i="28"/>
  <c r="H62" i="28"/>
  <c r="P61" i="28"/>
  <c r="H61" i="28"/>
  <c r="P60" i="28"/>
  <c r="H60" i="28"/>
  <c r="P59" i="28"/>
  <c r="H59" i="28"/>
  <c r="P58" i="28"/>
  <c r="H58" i="28"/>
  <c r="P57" i="28"/>
  <c r="H57" i="28"/>
  <c r="P56" i="28"/>
  <c r="H56" i="28"/>
  <c r="P55" i="28"/>
  <c r="H55" i="28"/>
  <c r="P54" i="28"/>
  <c r="H54" i="28"/>
  <c r="P53" i="28"/>
  <c r="H53" i="28"/>
  <c r="P52" i="28"/>
  <c r="H52" i="28"/>
  <c r="P51" i="28"/>
  <c r="H51" i="28"/>
  <c r="P50" i="28"/>
  <c r="H50" i="28"/>
  <c r="P49" i="28"/>
  <c r="H49" i="28"/>
  <c r="P48" i="28"/>
  <c r="H48" i="28"/>
  <c r="P47" i="28"/>
  <c r="H47" i="28"/>
  <c r="P46" i="28"/>
  <c r="H46" i="28"/>
  <c r="P45" i="28"/>
  <c r="H45" i="28"/>
  <c r="P44" i="28"/>
  <c r="H44" i="28"/>
  <c r="P43" i="28"/>
  <c r="H43" i="28"/>
  <c r="P42" i="28"/>
  <c r="H42" i="28"/>
  <c r="P41" i="28"/>
  <c r="H41" i="28"/>
  <c r="P40" i="28"/>
  <c r="H40" i="28"/>
  <c r="P39" i="28"/>
  <c r="H39" i="28"/>
  <c r="P38" i="28"/>
  <c r="H38" i="28"/>
  <c r="P37" i="28"/>
  <c r="H37" i="28"/>
  <c r="P36" i="28"/>
  <c r="H36" i="28"/>
  <c r="P35" i="28"/>
  <c r="H35" i="28"/>
  <c r="P34" i="28"/>
  <c r="H34" i="28"/>
  <c r="P33" i="28"/>
  <c r="H33" i="28"/>
  <c r="P32" i="28"/>
  <c r="H32" i="28"/>
  <c r="P31" i="28"/>
  <c r="H31" i="28"/>
  <c r="P30" i="28"/>
  <c r="H30" i="28"/>
  <c r="P29" i="28"/>
  <c r="H29" i="28"/>
  <c r="P28" i="28"/>
  <c r="H28" i="28"/>
  <c r="P27" i="28"/>
  <c r="H27" i="28"/>
  <c r="R26" i="28"/>
  <c r="P26" i="28"/>
  <c r="H26" i="28"/>
  <c r="R25" i="28"/>
  <c r="P25" i="28"/>
  <c r="H25" i="28"/>
  <c r="R23" i="28"/>
  <c r="P23" i="28"/>
  <c r="L23" i="28"/>
  <c r="H23" i="28"/>
  <c r="D23" i="28"/>
  <c r="R27" i="28" l="1"/>
  <c r="R28" i="28"/>
  <c r="R29" i="28"/>
  <c r="R30" i="28"/>
  <c r="R31" i="28"/>
  <c r="R32" i="28"/>
  <c r="R33" i="28"/>
  <c r="R34" i="28"/>
  <c r="R35" i="28"/>
  <c r="R36" i="28"/>
  <c r="R37" i="28"/>
  <c r="R38" i="28"/>
  <c r="R39" i="28"/>
  <c r="R40" i="28"/>
  <c r="R41" i="28"/>
  <c r="R42" i="28"/>
  <c r="R43" i="28"/>
  <c r="R44" i="28"/>
  <c r="R45" i="28"/>
  <c r="R46" i="28"/>
  <c r="R47" i="28"/>
  <c r="R48" i="28"/>
  <c r="R49" i="28"/>
  <c r="R50" i="28"/>
  <c r="R51" i="28"/>
  <c r="R52" i="28"/>
  <c r="R53" i="28"/>
  <c r="R54" i="28"/>
  <c r="R55" i="28"/>
  <c r="R56" i="28"/>
  <c r="R57" i="28"/>
  <c r="R58" i="28"/>
  <c r="R59" i="28"/>
  <c r="R60" i="28"/>
  <c r="R61" i="28"/>
  <c r="R62" i="28"/>
  <c r="R63" i="28"/>
  <c r="R64" i="28"/>
  <c r="R65" i="28"/>
  <c r="R66" i="28"/>
  <c r="R67" i="28"/>
  <c r="R68" i="28"/>
  <c r="R69" i="28"/>
  <c r="R70" i="28"/>
  <c r="R71" i="28"/>
  <c r="R72" i="28"/>
  <c r="R73" i="28"/>
  <c r="F27" i="16" l="1"/>
  <c r="D27" i="16" l="1"/>
  <c r="B27" i="16"/>
  <c r="A27" i="16"/>
  <c r="F14" i="19"/>
  <c r="F13" i="19"/>
  <c r="E14" i="19"/>
  <c r="E13" i="19"/>
  <c r="D14" i="19"/>
  <c r="D13" i="19"/>
  <c r="G6" i="20"/>
  <c r="F6" i="20"/>
  <c r="E6" i="20"/>
  <c r="D6" i="20"/>
  <c r="C6" i="20"/>
  <c r="D6" i="19"/>
  <c r="E6" i="19"/>
  <c r="F6" i="19"/>
  <c r="G6" i="19"/>
  <c r="C6" i="19"/>
</calcChain>
</file>

<file path=xl/sharedStrings.xml><?xml version="1.0" encoding="utf-8"?>
<sst xmlns="http://schemas.openxmlformats.org/spreadsheetml/2006/main" count="191" uniqueCount="93">
  <si>
    <t>MATERIAL DATA CARD / ДАННЫЕ О СВОЙСТВАХ МАТЕРИАЛА</t>
  </si>
  <si>
    <t>Material Standard</t>
  </si>
  <si>
    <t>Material</t>
  </si>
  <si>
    <t>Grade</t>
  </si>
  <si>
    <t>Thickness, mm</t>
  </si>
  <si>
    <t>Date of issue</t>
  </si>
  <si>
    <t>Стандарт</t>
  </si>
  <si>
    <t>Материал</t>
  </si>
  <si>
    <t>Марка</t>
  </si>
  <si>
    <t>Толщина, мм</t>
  </si>
  <si>
    <t>Дата представления</t>
  </si>
  <si>
    <t>Chemical Composition / Химический состав</t>
  </si>
  <si>
    <t>C</t>
  </si>
  <si>
    <t>Si</t>
  </si>
  <si>
    <t>Mn</t>
  </si>
  <si>
    <t>P</t>
  </si>
  <si>
    <t>S</t>
  </si>
  <si>
    <t>Al</t>
  </si>
  <si>
    <t>V</t>
  </si>
  <si>
    <t>Cr</t>
  </si>
  <si>
    <t>Mo</t>
  </si>
  <si>
    <t>Ti</t>
  </si>
  <si>
    <t>Nb</t>
  </si>
  <si>
    <t>Cu</t>
  </si>
  <si>
    <t>Ni</t>
  </si>
  <si>
    <t>N</t>
  </si>
  <si>
    <t xml:space="preserve">Mechanical Properties / Механические свойства при t=20 ˚С </t>
  </si>
  <si>
    <t>Test Direction</t>
  </si>
  <si>
    <t>Young’s Modulus (E), (MPa)</t>
  </si>
  <si>
    <t>Poisson’s Ratio, (ν)</t>
  </si>
  <si>
    <t>Yield Strength, (MPa)</t>
  </si>
  <si>
    <t>Tensile strength, (MPa)</t>
  </si>
  <si>
    <t>Elongation, (%)</t>
  </si>
  <si>
    <t>BH-Effect, (MPa)</t>
  </si>
  <si>
    <t>Направление испытания</t>
  </si>
  <si>
    <t>Модуль Юнга, МПа</t>
  </si>
  <si>
    <t>Коэффициент Пуассона</t>
  </si>
  <si>
    <t>Предел текучести, МПа</t>
  </si>
  <si>
    <t>Предел прочности, МПа</t>
  </si>
  <si>
    <t>Относительное удлинение, %</t>
  </si>
  <si>
    <t>Эффект термического упрочнения, (МПа)</t>
  </si>
  <si>
    <t>-</t>
  </si>
  <si>
    <t>Test Method / Методика испытаний</t>
  </si>
  <si>
    <t>EN 10002</t>
  </si>
  <si>
    <t>EN ISO 10325</t>
  </si>
  <si>
    <t>Thermal Properties / Теплофизические свойства при t=20 ˚С</t>
  </si>
  <si>
    <t>Density, (kg/m³)</t>
  </si>
  <si>
    <t>Specific Heat, J/(kg*C)</t>
  </si>
  <si>
    <t>Thermal Conductivity, (W/(m*C))</t>
  </si>
  <si>
    <t>Плотность, (кг/м³)</t>
  </si>
  <si>
    <t>Теплоемкость, Дж/(кг·С)</t>
  </si>
  <si>
    <t>Теплопроводность, (Вт/(м*C))</t>
  </si>
  <si>
    <t>Calculated data / Расчетные данные</t>
  </si>
  <si>
    <t>The data provided in this card is created using average coil data; Severstal does not accept responsibility or liability for errors or information which is found to be misleading / Данные являются справочными, Северсталь не несет ответственность за возможные последствия использования данных.</t>
  </si>
  <si>
    <t>Mechanical Properties / Механические свойства при t=20 ˚С</t>
  </si>
  <si>
    <t>Rp 0,2%, (MPa)</t>
  </si>
  <si>
    <t>r-value</t>
  </si>
  <si>
    <t>n-value</t>
  </si>
  <si>
    <t>r bar</t>
  </si>
  <si>
    <t>delta r</t>
  </si>
  <si>
    <t>K-Value</t>
  </si>
  <si>
    <t>Uniform Elongation</t>
  </si>
  <si>
    <t>Коэффициент анизотропии, r</t>
  </si>
  <si>
    <t>Коэффициент деформационного упрочнения, n</t>
  </si>
  <si>
    <t>r среднее</t>
  </si>
  <si>
    <t>дельта r</t>
  </si>
  <si>
    <t>Равномерное удлинение</t>
  </si>
  <si>
    <t>ISO 10113</t>
  </si>
  <si>
    <t>ISO 10275</t>
  </si>
  <si>
    <t>Available also in Database 
Доступно в базе материалов</t>
  </si>
  <si>
    <t>Thermal Properties / Теплофизические свойства</t>
  </si>
  <si>
    <t>Temperature, (˚C)</t>
  </si>
  <si>
    <t>Температура, (˚C)</t>
  </si>
  <si>
    <t>Curve Name:</t>
  </si>
  <si>
    <t>Longitudinal True Stress Strain Graph File</t>
  </si>
  <si>
    <t>Transverse True Stress Strain Graph File</t>
  </si>
  <si>
    <t>Longitudinal Eng'g Stress Strain Graph File</t>
  </si>
  <si>
    <t>Transverse Eng'g Stress Strain Graph File</t>
  </si>
  <si>
    <t>X Axis: Strain (mm/mm)</t>
  </si>
  <si>
    <t>Y Axis: Stress (MPa)</t>
  </si>
  <si>
    <t>%</t>
  </si>
  <si>
    <r>
      <t>Thermal Expansion Coefficient,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</si>
  <si>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r>
      <t>Коэффициент теплового расширения, 10</t>
    </r>
    <r>
      <rPr>
        <b/>
        <vertAlign val="superscript"/>
        <sz val="12"/>
        <color theme="0"/>
        <rFont val="Calibri"/>
        <family val="2"/>
        <charset val="204"/>
        <scheme val="minor"/>
      </rPr>
      <t>-6</t>
    </r>
    <r>
      <rPr>
        <b/>
        <sz val="12"/>
        <color theme="0"/>
        <rFont val="Calibri"/>
        <family val="2"/>
        <charset val="204"/>
        <scheme val="minor"/>
      </rPr>
      <t>*K</t>
    </r>
    <r>
      <rPr>
        <b/>
        <vertAlign val="superscript"/>
        <sz val="12"/>
        <color theme="0"/>
        <rFont val="Calibri"/>
        <family val="2"/>
        <charset val="204"/>
        <scheme val="minor"/>
      </rPr>
      <t>-1</t>
    </r>
  </si>
  <si>
    <t>            Hardening curve</t>
  </si>
  <si>
    <t xml:space="preserve">                               Yield Surface</t>
  </si>
  <si>
    <t xml:space="preserve">                         FLC     </t>
  </si>
  <si>
    <t>           Кривая упрочнения</t>
  </si>
  <si>
    <t> Поверхность текучести</t>
  </si>
  <si>
    <t xml:space="preserve">                         Кривая предела формообразования</t>
  </si>
  <si>
    <t>EN 10149</t>
  </si>
  <si>
    <t>S550MC</t>
  </si>
  <si>
    <t>Hot rolled steel / Горячекатаная сталь</t>
  </si>
  <si>
    <t>https://chermk.severstal.com/clients/inzhiniringovyy-portal/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</si>
</sst>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.000"/>
    <numFmt numFmtId="165" formatCode="0.0"/>
    <numFmt numFmtId="166" formatCode="0.0000"/>
  </numFmts>
  <fonts count="23" x14ac:knownFonts="1">
    <font>
      <sz val="10"/>
      <name val="Arial"/>
    </font>
    <font>
      <sz val="10"/>
      <name val="Arial"/>
      <family val="2"/>
      <charset val="204"/>
    </font>
    <font>
      <u/>
      <sz val="10"/>
      <color indexed="12"/>
      <name val="Arial"/>
      <family val="2"/>
      <charset val="204"/>
    </font>
    <font>
      <sz val="10"/>
      <name val="Arial Cyr"/>
      <charset val="204"/>
    </font>
    <font>
      <sz val="10"/>
      <color indexed="8"/>
      <name val="MS Sans Serif"/>
      <family val="2"/>
    </font>
    <font>
      <i/>
      <sz val="12"/>
      <name val="Calibri"/>
      <family val="2"/>
      <charset val="204"/>
    </font>
    <font>
      <sz val="10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Arial"/>
      <family val="2"/>
      <charset val="204"/>
    </font>
    <font>
      <sz val="10"/>
      <color theme="1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2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3"/>
      <color theme="1"/>
      <name val="Calibri"/>
      <family val="2"/>
      <charset val="204"/>
      <scheme val="minor"/>
    </font>
    <font>
      <i/>
      <sz val="10"/>
      <color theme="1"/>
      <name val="Calibri"/>
      <family val="2"/>
      <charset val="204"/>
      <scheme val="minor"/>
    </font>
    <font>
      <i/>
      <sz val="10"/>
      <name val="Calibri"/>
      <family val="2"/>
      <charset val="204"/>
      <scheme val="minor"/>
    </font>
    <font>
      <sz val="12"/>
      <color rgb="FFFF0000"/>
      <name val="Calibri"/>
      <family val="2"/>
      <charset val="204"/>
    </font>
    <font>
      <b/>
      <sz val="14"/>
      <color theme="1"/>
      <name val="Calibri"/>
      <family val="2"/>
      <charset val="204"/>
      <scheme val="minor"/>
    </font>
    <font>
      <i/>
      <sz val="12"/>
      <name val="Calibri"/>
      <family val="2"/>
      <charset val="204"/>
      <scheme val="minor"/>
    </font>
    <font>
      <b/>
      <vertAlign val="superscript"/>
      <sz val="12"/>
      <color theme="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7">
    <xf numFmtId="0" fontId="0" fillId="0" borderId="0"/>
    <xf numFmtId="0" fontId="4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7" fillId="0" borderId="0"/>
    <xf numFmtId="0" fontId="3" fillId="0" borderId="0"/>
    <xf numFmtId="0" fontId="7" fillId="2" borderId="12" applyNumberFormat="0" applyFont="0" applyAlignment="0" applyProtection="0"/>
    <xf numFmtId="9" fontId="1" fillId="0" borderId="0" applyFont="0" applyFill="0" applyBorder="0" applyAlignment="0" applyProtection="0"/>
  </cellStyleXfs>
  <cellXfs count="116">
    <xf numFmtId="0" fontId="0" fillId="0" borderId="0" xfId="0"/>
    <xf numFmtId="11" fontId="3" fillId="0" borderId="0" xfId="4" applyNumberFormat="1" applyFont="1" applyAlignment="1">
      <alignment horizontal="left"/>
    </xf>
    <xf numFmtId="0" fontId="3" fillId="0" borderId="0" xfId="4" applyFont="1" applyAlignment="1">
      <alignment horizontal="left"/>
    </xf>
    <xf numFmtId="0" fontId="0" fillId="0" borderId="0" xfId="0" applyAlignment="1">
      <alignment horizontal="left"/>
    </xf>
    <xf numFmtId="0" fontId="9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0" fillId="3" borderId="0" xfId="0" applyFill="1"/>
    <xf numFmtId="0" fontId="9" fillId="4" borderId="0" xfId="0" applyFont="1" applyFill="1" applyBorder="1" applyAlignment="1">
      <alignment horizontal="left" vertical="center" wrapText="1"/>
    </xf>
    <xf numFmtId="0" fontId="10" fillId="5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4" borderId="1" xfId="0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4" fontId="12" fillId="5" borderId="4" xfId="0" applyNumberFormat="1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165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 wrapText="1"/>
    </xf>
    <xf numFmtId="2" fontId="12" fillId="0" borderId="0" xfId="0" applyNumberFormat="1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 vertical="center"/>
    </xf>
    <xf numFmtId="164" fontId="12" fillId="5" borderId="4" xfId="0" applyNumberFormat="1" applyFont="1" applyFill="1" applyBorder="1" applyAlignment="1">
      <alignment horizontal="center" vertical="center"/>
    </xf>
    <xf numFmtId="164" fontId="12" fillId="0" borderId="0" xfId="0" applyNumberFormat="1" applyFont="1" applyFill="1" applyBorder="1" applyAlignment="1">
      <alignment horizontal="center" vertical="center"/>
    </xf>
    <xf numFmtId="2" fontId="12" fillId="5" borderId="4" xfId="0" applyNumberFormat="1" applyFont="1" applyFill="1" applyBorder="1" applyAlignment="1">
      <alignment horizontal="center" vertical="center"/>
    </xf>
    <xf numFmtId="0" fontId="13" fillId="0" borderId="0" xfId="0" applyFont="1" applyFill="1"/>
    <xf numFmtId="0" fontId="14" fillId="0" borderId="0" xfId="0" applyFont="1" applyFill="1" applyBorder="1" applyAlignment="1">
      <alignment vertical="center" wrapText="1"/>
    </xf>
    <xf numFmtId="0" fontId="12" fillId="0" borderId="0" xfId="0" applyFont="1" applyFill="1" applyBorder="1" applyAlignment="1">
      <alignment horizontal="center" vertical="center"/>
    </xf>
    <xf numFmtId="0" fontId="15" fillId="0" borderId="0" xfId="0" applyFont="1"/>
    <xf numFmtId="14" fontId="15" fillId="0" borderId="0" xfId="0" applyNumberFormat="1" applyFont="1"/>
    <xf numFmtId="1" fontId="12" fillId="0" borderId="0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6" fillId="0" borderId="0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>
      <alignment horizontal="center" vertical="center" wrapText="1"/>
    </xf>
    <xf numFmtId="2" fontId="17" fillId="0" borderId="0" xfId="0" applyNumberFormat="1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wrapText="1"/>
    </xf>
    <xf numFmtId="0" fontId="13" fillId="0" borderId="0" xfId="0" applyFont="1" applyAlignment="1">
      <alignment wrapText="1"/>
    </xf>
    <xf numFmtId="165" fontId="3" fillId="0" borderId="0" xfId="6" applyNumberFormat="1" applyFont="1" applyAlignment="1">
      <alignment horizontal="left"/>
    </xf>
    <xf numFmtId="1" fontId="3" fillId="0" borderId="0" xfId="6" applyNumberFormat="1" applyFont="1" applyAlignment="1">
      <alignment horizontal="left"/>
    </xf>
    <xf numFmtId="0" fontId="19" fillId="0" borderId="0" xfId="0" applyFont="1"/>
    <xf numFmtId="0" fontId="5" fillId="0" borderId="0" xfId="0" applyFont="1" applyAlignment="1">
      <alignment vertical="center" wrapText="1"/>
    </xf>
    <xf numFmtId="0" fontId="12" fillId="5" borderId="4" xfId="0" applyFont="1" applyFill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wrapText="1"/>
    </xf>
    <xf numFmtId="0" fontId="18" fillId="0" borderId="0" xfId="0" applyFont="1" applyFill="1" applyBorder="1" applyAlignment="1">
      <alignment horizont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left" vertical="center" wrapText="1"/>
    </xf>
    <xf numFmtId="2" fontId="18" fillId="0" borderId="4" xfId="0" applyNumberFormat="1" applyFont="1" applyFill="1" applyBorder="1" applyAlignment="1">
      <alignment horizontal="center" vertical="center"/>
    </xf>
    <xf numFmtId="1" fontId="12" fillId="5" borderId="4" xfId="0" applyNumberFormat="1" applyFont="1" applyFill="1" applyBorder="1" applyAlignment="1">
      <alignment horizontal="center" vertical="center" wrapText="1"/>
    </xf>
    <xf numFmtId="1" fontId="12" fillId="0" borderId="4" xfId="0" applyNumberFormat="1" applyFont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65" fontId="12" fillId="5" borderId="3" xfId="0" applyNumberFormat="1" applyFont="1" applyFill="1" applyBorder="1" applyAlignment="1">
      <alignment horizontal="center" vertical="center" wrapText="1"/>
    </xf>
    <xf numFmtId="166" fontId="12" fillId="5" borderId="4" xfId="0" applyNumberFormat="1" applyFont="1" applyFill="1" applyBorder="1" applyAlignment="1">
      <alignment horizontal="center" vertical="center"/>
    </xf>
    <xf numFmtId="0" fontId="6" fillId="3" borderId="0" xfId="0" applyFont="1" applyFill="1" applyBorder="1" applyAlignment="1">
      <alignment vertical="center" wrapText="1"/>
    </xf>
    <xf numFmtId="0" fontId="1" fillId="3" borderId="0" xfId="0" applyFont="1" applyFill="1"/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165" fontId="3" fillId="0" borderId="0" xfId="4" applyNumberFormat="1" applyFont="1" applyAlignment="1">
      <alignment horizontal="left"/>
    </xf>
    <xf numFmtId="1" fontId="3" fillId="3" borderId="0" xfId="6" applyNumberFormat="1" applyFont="1" applyFill="1" applyAlignment="1">
      <alignment horizontal="left"/>
    </xf>
    <xf numFmtId="11" fontId="3" fillId="3" borderId="0" xfId="4" applyNumberFormat="1" applyFont="1" applyFill="1" applyAlignment="1">
      <alignment horizontal="left"/>
    </xf>
    <xf numFmtId="0" fontId="3" fillId="3" borderId="0" xfId="4" applyFont="1" applyFill="1" applyAlignment="1">
      <alignment horizontal="left"/>
    </xf>
    <xf numFmtId="165" fontId="3" fillId="3" borderId="0" xfId="6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20" fillId="3" borderId="0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21" fillId="0" borderId="0" xfId="0" applyFont="1" applyAlignment="1">
      <alignment horizontal="left" vertical="center" wrapText="1"/>
    </xf>
    <xf numFmtId="0" fontId="14" fillId="4" borderId="4" xfId="0" applyFont="1" applyFill="1" applyBorder="1" applyAlignment="1">
      <alignment horizontal="center" vertical="center" wrapText="1"/>
    </xf>
    <xf numFmtId="1" fontId="13" fillId="5" borderId="4" xfId="0" applyNumberFormat="1" applyFont="1" applyFill="1" applyBorder="1" applyAlignment="1">
      <alignment horizontal="center" vertical="center" wrapText="1"/>
    </xf>
    <xf numFmtId="2" fontId="13" fillId="5" borderId="4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/>
    </xf>
    <xf numFmtId="2" fontId="13" fillId="3" borderId="3" xfId="0" applyNumberFormat="1" applyFont="1" applyFill="1" applyBorder="1" applyAlignment="1">
      <alignment horizontal="center" vertical="center"/>
    </xf>
    <xf numFmtId="2" fontId="13" fillId="3" borderId="7" xfId="0" applyNumberFormat="1" applyFont="1" applyFill="1" applyBorder="1" applyAlignment="1">
      <alignment horizontal="center" vertical="center"/>
    </xf>
    <xf numFmtId="0" fontId="20" fillId="5" borderId="0" xfId="0" applyFont="1" applyFill="1" applyBorder="1" applyAlignment="1">
      <alignment horizontal="center" vertical="center" wrapText="1"/>
    </xf>
    <xf numFmtId="0" fontId="18" fillId="0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wrapText="1"/>
    </xf>
    <xf numFmtId="0" fontId="8" fillId="4" borderId="0" xfId="0" applyFont="1" applyFill="1" applyBorder="1" applyAlignment="1">
      <alignment horizontal="center" vertical="center" wrapText="1"/>
    </xf>
    <xf numFmtId="14" fontId="2" fillId="5" borderId="0" xfId="2" applyNumberFormat="1" applyFill="1" applyBorder="1" applyAlignment="1" applyProtection="1">
      <alignment horizontal="center" vertical="center" wrapText="1"/>
    </xf>
    <xf numFmtId="0" fontId="16" fillId="5" borderId="0" xfId="0" applyFont="1" applyFill="1" applyBorder="1" applyAlignment="1">
      <alignment horizontal="center" vertical="center" wrapText="1"/>
    </xf>
    <xf numFmtId="0" fontId="16" fillId="5" borderId="0" xfId="0" applyFont="1" applyFill="1" applyBorder="1" applyAlignment="1">
      <alignment horizontal="right" vertical="center" wrapText="1"/>
    </xf>
    <xf numFmtId="0" fontId="16" fillId="5" borderId="0" xfId="0" applyFont="1" applyFill="1" applyBorder="1" applyAlignment="1">
      <alignment horizontal="center" vertical="center"/>
    </xf>
    <xf numFmtId="0" fontId="18" fillId="0" borderId="4" xfId="0" applyFont="1" applyBorder="1" applyAlignment="1">
      <alignment horizontal="left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7" fillId="0" borderId="6" xfId="0" applyFont="1" applyFill="1" applyBorder="1" applyAlignment="1">
      <alignment horizontal="center" vertical="center" wrapText="1"/>
    </xf>
    <xf numFmtId="0" fontId="17" fillId="0" borderId="7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5" borderId="4" xfId="0" applyFont="1" applyFill="1" applyBorder="1" applyAlignment="1">
      <alignment horizontal="center" vertical="center" wrapText="1"/>
    </xf>
    <xf numFmtId="0" fontId="18" fillId="0" borderId="4" xfId="0" applyFont="1" applyBorder="1" applyAlignment="1">
      <alignment horizontal="left" vertical="center"/>
    </xf>
    <xf numFmtId="2" fontId="12" fillId="5" borderId="4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12" fillId="5" borderId="7" xfId="0" applyNumberFormat="1" applyFont="1" applyFill="1" applyBorder="1" applyAlignment="1">
      <alignment horizontal="center" vertical="center" wrapText="1"/>
    </xf>
    <xf numFmtId="2" fontId="12" fillId="0" borderId="3" xfId="0" applyNumberFormat="1" applyFont="1" applyBorder="1" applyAlignment="1">
      <alignment horizontal="center" vertical="center" wrapText="1"/>
    </xf>
    <xf numFmtId="2" fontId="12" fillId="0" borderId="7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0" fontId="12" fillId="5" borderId="3" xfId="0" applyFont="1" applyFill="1" applyBorder="1" applyAlignment="1">
      <alignment horizontal="center" vertical="center" wrapText="1"/>
    </xf>
    <xf numFmtId="0" fontId="12" fillId="5" borderId="7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6" fillId="0" borderId="9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2" fontId="12" fillId="5" borderId="4" xfId="0" quotePrefix="1" applyNumberFormat="1" applyFont="1" applyFill="1" applyBorder="1" applyAlignment="1">
      <alignment horizontal="center" vertical="center"/>
    </xf>
    <xf numFmtId="0" fontId="12" fillId="5" borderId="4" xfId="0" quotePrefix="1" applyFont="1" applyFill="1" applyBorder="1" applyAlignment="1">
      <alignment horizontal="center" vertical="center"/>
    </xf>
    <xf numFmtId="1" fontId="12" fillId="5" borderId="4" xfId="0" quotePrefix="1" applyNumberFormat="1" applyFont="1" applyFill="1" applyBorder="1" applyAlignment="1">
      <alignment horizontal="center" vertical="center"/>
    </xf>
    <xf numFmtId="165" fontId="12" fillId="5" borderId="4" xfId="0" quotePrefix="1" applyNumberFormat="1" applyFont="1" applyFill="1" applyBorder="1" applyAlignment="1">
      <alignment horizontal="center" vertical="center"/>
    </xf>
  </cellXfs>
  <cellStyles count="7">
    <cellStyle name="Standard_Mikrolegierer v 25.2.02" xfId="1"/>
    <cellStyle name="Гиперссылка" xfId="2" builtinId="8"/>
    <cellStyle name="Обычный" xfId="0" builtinId="0"/>
    <cellStyle name="Обычный 2" xfId="3"/>
    <cellStyle name="Обычный_Coil-Top Edge 1" xfId="4"/>
    <cellStyle name="Примечание 2" xfId="5"/>
    <cellStyle name="Процентный" xfId="6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6780532359549085E-2"/>
          <c:y val="0.23156939261183096"/>
          <c:w val="0.95321946764045096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'4AF'!$C$24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'4AF'!$D$25:$D$74</c:f>
              <c:numCache>
                <c:formatCode>0</c:formatCode>
                <c:ptCount val="50"/>
                <c:pt idx="0" formatCode="0.00E+00">
                  <c:v>0</c:v>
                </c:pt>
                <c:pt idx="1">
                  <c:v>0.19631018540461556</c:v>
                </c:pt>
                <c:pt idx="2">
                  <c:v>9.5500000000000002E-2</c:v>
                </c:pt>
                <c:pt idx="3">
                  <c:v>0.16490000000000002</c:v>
                </c:pt>
                <c:pt idx="4">
                  <c:v>0.24970000000000001</c:v>
                </c:pt>
                <c:pt idx="5">
                  <c:v>0.34989999999999999</c:v>
                </c:pt>
                <c:pt idx="6">
                  <c:v>0.46340000000000003</c:v>
                </c:pt>
                <c:pt idx="7">
                  <c:v>0.81320000000000003</c:v>
                </c:pt>
                <c:pt idx="8">
                  <c:v>1.2994999999999999</c:v>
                </c:pt>
                <c:pt idx="9">
                  <c:v>1.7904</c:v>
                </c:pt>
                <c:pt idx="10">
                  <c:v>2.3057000000000003</c:v>
                </c:pt>
                <c:pt idx="11">
                  <c:v>2.7625000000000002</c:v>
                </c:pt>
                <c:pt idx="12">
                  <c:v>3.1930000000000001</c:v>
                </c:pt>
                <c:pt idx="13">
                  <c:v>3.4217999999999997</c:v>
                </c:pt>
                <c:pt idx="14">
                  <c:v>3.7917000000000001</c:v>
                </c:pt>
                <c:pt idx="15">
                  <c:v>4.1966999999999999</c:v>
                </c:pt>
                <c:pt idx="16">
                  <c:v>4.6095999999999995</c:v>
                </c:pt>
                <c:pt idx="17">
                  <c:v>5.0340999999999996</c:v>
                </c:pt>
                <c:pt idx="18">
                  <c:v>5.4436</c:v>
                </c:pt>
                <c:pt idx="19">
                  <c:v>5.8655999999999997</c:v>
                </c:pt>
                <c:pt idx="20">
                  <c:v>6.3087</c:v>
                </c:pt>
                <c:pt idx="21">
                  <c:v>6.7214999999999998</c:v>
                </c:pt>
                <c:pt idx="22">
                  <c:v>7.1389999999999993</c:v>
                </c:pt>
                <c:pt idx="23">
                  <c:v>7.5871999999999993</c:v>
                </c:pt>
                <c:pt idx="24">
                  <c:v>8.0667000000000009</c:v>
                </c:pt>
                <c:pt idx="25">
                  <c:v>8.5251000000000001</c:v>
                </c:pt>
                <c:pt idx="26">
                  <c:v>8.9534000000000002</c:v>
                </c:pt>
                <c:pt idx="27">
                  <c:v>9.3963999999999999</c:v>
                </c:pt>
                <c:pt idx="28">
                  <c:v>9.855500000000001</c:v>
                </c:pt>
                <c:pt idx="29">
                  <c:v>10.3301</c:v>
                </c:pt>
                <c:pt idx="30">
                  <c:v>10.821300000000001</c:v>
                </c:pt>
                <c:pt idx="31">
                  <c:v>11.328900000000001</c:v>
                </c:pt>
                <c:pt idx="32">
                  <c:v>11.8543</c:v>
                </c:pt>
                <c:pt idx="33">
                  <c:v>12.338100000000001</c:v>
                </c:pt>
                <c:pt idx="34">
                  <c:v>12.8169</c:v>
                </c:pt>
                <c:pt idx="35">
                  <c:v>13.321</c:v>
                </c:pt>
                <c:pt idx="36">
                  <c:v>13.808699999999998</c:v>
                </c:pt>
                <c:pt idx="37">
                  <c:v>14.309099999999999</c:v>
                </c:pt>
                <c:pt idx="38">
                  <c:v>14.836399999999999</c:v>
                </c:pt>
                <c:pt idx="39">
                  <c:v>15.360499999999998</c:v>
                </c:pt>
                <c:pt idx="40">
                  <c:v>15.909599999999999</c:v>
                </c:pt>
                <c:pt idx="41">
                  <c:v>16.4862</c:v>
                </c:pt>
                <c:pt idx="42">
                  <c:v>17.038399999999999</c:v>
                </c:pt>
                <c:pt idx="43">
                  <c:v>17.599299999999999</c:v>
                </c:pt>
                <c:pt idx="44">
                  <c:v>18.187999999999999</c:v>
                </c:pt>
                <c:pt idx="45">
                  <c:v>18.766099999999998</c:v>
                </c:pt>
                <c:pt idx="46">
                  <c:v>19.3719</c:v>
                </c:pt>
                <c:pt idx="47">
                  <c:v>19.946100000000001</c:v>
                </c:pt>
                <c:pt idx="48">
                  <c:v>20.5411</c:v>
                </c:pt>
                <c:pt idx="49">
                  <c:v>20.891480106347533</c:v>
                </c:pt>
              </c:numCache>
            </c:numRef>
          </c:xVal>
          <c:yVal>
            <c:numRef>
              <c:f>'4AF'!$C$25:$C$74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455.2</c:v>
                </c:pt>
                <c:pt idx="2">
                  <c:v>238.7</c:v>
                </c:pt>
                <c:pt idx="3">
                  <c:v>390</c:v>
                </c:pt>
                <c:pt idx="4">
                  <c:v>540.29999999999995</c:v>
                </c:pt>
                <c:pt idx="5">
                  <c:v>613.5</c:v>
                </c:pt>
                <c:pt idx="6">
                  <c:v>630.6</c:v>
                </c:pt>
                <c:pt idx="7">
                  <c:v>601.79999999999995</c:v>
                </c:pt>
                <c:pt idx="8">
                  <c:v>603.70000000000005</c:v>
                </c:pt>
                <c:pt idx="9">
                  <c:v>608.70000000000005</c:v>
                </c:pt>
                <c:pt idx="10">
                  <c:v>614.1</c:v>
                </c:pt>
                <c:pt idx="11">
                  <c:v>619.6</c:v>
                </c:pt>
                <c:pt idx="12">
                  <c:v>623.79999999999995</c:v>
                </c:pt>
                <c:pt idx="13">
                  <c:v>635.5</c:v>
                </c:pt>
                <c:pt idx="14">
                  <c:v>644.79999999999995</c:v>
                </c:pt>
                <c:pt idx="15">
                  <c:v>654.1</c:v>
                </c:pt>
                <c:pt idx="16">
                  <c:v>662.8</c:v>
                </c:pt>
                <c:pt idx="17">
                  <c:v>671.2</c:v>
                </c:pt>
                <c:pt idx="18">
                  <c:v>678.8</c:v>
                </c:pt>
                <c:pt idx="19">
                  <c:v>686.1</c:v>
                </c:pt>
                <c:pt idx="20">
                  <c:v>693.2</c:v>
                </c:pt>
                <c:pt idx="21">
                  <c:v>699.5</c:v>
                </c:pt>
                <c:pt idx="22">
                  <c:v>705.4</c:v>
                </c:pt>
                <c:pt idx="23">
                  <c:v>711.4</c:v>
                </c:pt>
                <c:pt idx="24">
                  <c:v>717.5</c:v>
                </c:pt>
                <c:pt idx="25">
                  <c:v>722.8</c:v>
                </c:pt>
                <c:pt idx="26">
                  <c:v>727.6</c:v>
                </c:pt>
                <c:pt idx="27">
                  <c:v>732.2</c:v>
                </c:pt>
                <c:pt idx="28">
                  <c:v>736.7</c:v>
                </c:pt>
                <c:pt idx="29">
                  <c:v>741.2</c:v>
                </c:pt>
                <c:pt idx="30">
                  <c:v>745.6</c:v>
                </c:pt>
                <c:pt idx="31">
                  <c:v>749.8</c:v>
                </c:pt>
                <c:pt idx="32">
                  <c:v>753.9</c:v>
                </c:pt>
                <c:pt idx="33">
                  <c:v>757.3</c:v>
                </c:pt>
                <c:pt idx="34">
                  <c:v>760.6</c:v>
                </c:pt>
                <c:pt idx="35">
                  <c:v>763.6</c:v>
                </c:pt>
                <c:pt idx="36">
                  <c:v>766.1</c:v>
                </c:pt>
                <c:pt idx="37">
                  <c:v>768.1</c:v>
                </c:pt>
                <c:pt idx="38">
                  <c:v>769.4</c:v>
                </c:pt>
                <c:pt idx="39">
                  <c:v>769.4</c:v>
                </c:pt>
                <c:pt idx="40">
                  <c:v>767.8</c:v>
                </c:pt>
                <c:pt idx="41">
                  <c:v>764.2</c:v>
                </c:pt>
                <c:pt idx="42">
                  <c:v>758.5</c:v>
                </c:pt>
                <c:pt idx="43">
                  <c:v>750.3</c:v>
                </c:pt>
                <c:pt idx="44">
                  <c:v>738.6</c:v>
                </c:pt>
                <c:pt idx="45">
                  <c:v>722.7</c:v>
                </c:pt>
                <c:pt idx="46">
                  <c:v>700.4</c:v>
                </c:pt>
                <c:pt idx="47">
                  <c:v>671.5</c:v>
                </c:pt>
                <c:pt idx="48">
                  <c:v>628.6</c:v>
                </c:pt>
                <c:pt idx="49">
                  <c:v>590.70000000000005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8E7-4F66-AA8C-D3868D4297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1142304"/>
        <c:axId val="1"/>
      </c:scatterChart>
      <c:valAx>
        <c:axId val="184114230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crossAx val="1841142304"/>
        <c:crosses val="autoZero"/>
        <c:crossBetween val="midCat"/>
        <c:majorUnit val="50"/>
        <c:minorUnit val="10"/>
      </c:valAx>
    </c:plotArea>
    <c:plotVisOnly val="0"/>
    <c:dispBlanksAs val="span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True Stress-Strain Diagram /</a:t>
            </a:r>
            <a:r>
              <a:rPr lang="en-US" sz="1200" baseline="0"/>
              <a:t> </a:t>
            </a:r>
            <a:r>
              <a:rPr lang="ru-RU" sz="1200" baseline="0"/>
              <a:t>Истинная диаграмма деформирования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'4AF'!$G$24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'4AF'!$H$25:$H$74</c:f>
              <c:numCache>
                <c:formatCode>0</c:formatCode>
                <c:ptCount val="50"/>
                <c:pt idx="0">
                  <c:v>0</c:v>
                </c:pt>
                <c:pt idx="1">
                  <c:v>0.19980026626730579</c:v>
                </c:pt>
                <c:pt idx="2">
                  <c:v>0.12090000000000001</c:v>
                </c:pt>
                <c:pt idx="3">
                  <c:v>0.21029999999999999</c:v>
                </c:pt>
                <c:pt idx="4">
                  <c:v>0.29109999999999997</c:v>
                </c:pt>
                <c:pt idx="5">
                  <c:v>0.48880000000000001</c:v>
                </c:pt>
                <c:pt idx="6">
                  <c:v>0.68759999999999999</c:v>
                </c:pt>
                <c:pt idx="7">
                  <c:v>0.88210000000000011</c:v>
                </c:pt>
                <c:pt idx="8">
                  <c:v>1.0569</c:v>
                </c:pt>
                <c:pt idx="9">
                  <c:v>1.2235</c:v>
                </c:pt>
                <c:pt idx="10">
                  <c:v>1.4051</c:v>
                </c:pt>
                <c:pt idx="11">
                  <c:v>1.5956999999999999</c:v>
                </c:pt>
                <c:pt idx="12">
                  <c:v>1.7933000000000001</c:v>
                </c:pt>
                <c:pt idx="13">
                  <c:v>1.9964</c:v>
                </c:pt>
                <c:pt idx="14">
                  <c:v>2.2000999999999999</c:v>
                </c:pt>
                <c:pt idx="15">
                  <c:v>2.4077999999999999</c:v>
                </c:pt>
                <c:pt idx="16">
                  <c:v>2.6139999999999999</c:v>
                </c:pt>
                <c:pt idx="17">
                  <c:v>2.8223000000000003</c:v>
                </c:pt>
                <c:pt idx="18">
                  <c:v>3.0325000000000002</c:v>
                </c:pt>
                <c:pt idx="19">
                  <c:v>3.2520000000000002</c:v>
                </c:pt>
                <c:pt idx="20">
                  <c:v>3.4715000000000003</c:v>
                </c:pt>
                <c:pt idx="21">
                  <c:v>3.6462000000000003</c:v>
                </c:pt>
                <c:pt idx="22">
                  <c:v>3.8105000000000002</c:v>
                </c:pt>
                <c:pt idx="23">
                  <c:v>4.0061999999999998</c:v>
                </c:pt>
                <c:pt idx="24">
                  <c:v>4.1626000000000003</c:v>
                </c:pt>
                <c:pt idx="25">
                  <c:v>4.3576999999999995</c:v>
                </c:pt>
                <c:pt idx="26">
                  <c:v>4.8427999999999995</c:v>
                </c:pt>
                <c:pt idx="27">
                  <c:v>5.3185000000000002</c:v>
                </c:pt>
                <c:pt idx="28">
                  <c:v>5.8117999999999999</c:v>
                </c:pt>
                <c:pt idx="29">
                  <c:v>6.3190999999999997</c:v>
                </c:pt>
                <c:pt idx="30">
                  <c:v>6.9386000000000001</c:v>
                </c:pt>
                <c:pt idx="31">
                  <c:v>7.5882000000000005</c:v>
                </c:pt>
                <c:pt idx="32">
                  <c:v>8.2575000000000003</c:v>
                </c:pt>
                <c:pt idx="33">
                  <c:v>8.8994999999999997</c:v>
                </c:pt>
                <c:pt idx="34">
                  <c:v>9.5645999999999987</c:v>
                </c:pt>
                <c:pt idx="35">
                  <c:v>10.2164</c:v>
                </c:pt>
                <c:pt idx="36">
                  <c:v>10.8935</c:v>
                </c:pt>
                <c:pt idx="37">
                  <c:v>11.595499999999999</c:v>
                </c:pt>
                <c:pt idx="38">
                  <c:v>12.287699999999999</c:v>
                </c:pt>
                <c:pt idx="39">
                  <c:v>12.968999999999999</c:v>
                </c:pt>
                <c:pt idx="40">
                  <c:v>13.675699999999999</c:v>
                </c:pt>
                <c:pt idx="41">
                  <c:v>14.365400000000001</c:v>
                </c:pt>
                <c:pt idx="42">
                  <c:v>15.090799999999998</c:v>
                </c:pt>
                <c:pt idx="43">
                  <c:v>15.798200000000001</c:v>
                </c:pt>
                <c:pt idx="44">
                  <c:v>16.4832</c:v>
                </c:pt>
                <c:pt idx="45">
                  <c:v>17.184999999999999</c:v>
                </c:pt>
                <c:pt idx="46">
                  <c:v>17.869</c:v>
                </c:pt>
                <c:pt idx="47">
                  <c:v>18.589400000000001</c:v>
                </c:pt>
                <c:pt idx="48">
                  <c:v>19.298500000000001</c:v>
                </c:pt>
                <c:pt idx="49">
                  <c:v>20.092248194309271</c:v>
                </c:pt>
              </c:numCache>
            </c:numRef>
          </c:xVal>
          <c:yVal>
            <c:numRef>
              <c:f>'4AF'!$G$25:$G$74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498.3</c:v>
                </c:pt>
                <c:pt idx="2">
                  <c:v>319.5</c:v>
                </c:pt>
                <c:pt idx="3">
                  <c:v>520.4</c:v>
                </c:pt>
                <c:pt idx="4">
                  <c:v>665.7</c:v>
                </c:pt>
                <c:pt idx="5">
                  <c:v>629.79999999999995</c:v>
                </c:pt>
                <c:pt idx="6">
                  <c:v>632.4</c:v>
                </c:pt>
                <c:pt idx="7">
                  <c:v>630</c:v>
                </c:pt>
                <c:pt idx="8">
                  <c:v>628.29999999999995</c:v>
                </c:pt>
                <c:pt idx="9">
                  <c:v>629.70000000000005</c:v>
                </c:pt>
                <c:pt idx="10">
                  <c:v>631.4</c:v>
                </c:pt>
                <c:pt idx="11">
                  <c:v>633.20000000000005</c:v>
                </c:pt>
                <c:pt idx="12">
                  <c:v>634.79999999999995</c:v>
                </c:pt>
                <c:pt idx="13">
                  <c:v>637</c:v>
                </c:pt>
                <c:pt idx="14">
                  <c:v>638.70000000000005</c:v>
                </c:pt>
                <c:pt idx="15">
                  <c:v>640.5</c:v>
                </c:pt>
                <c:pt idx="16">
                  <c:v>642.70000000000005</c:v>
                </c:pt>
                <c:pt idx="17">
                  <c:v>644.79999999999995</c:v>
                </c:pt>
                <c:pt idx="18">
                  <c:v>645.79999999999995</c:v>
                </c:pt>
                <c:pt idx="19">
                  <c:v>642.6</c:v>
                </c:pt>
                <c:pt idx="20">
                  <c:v>640.6</c:v>
                </c:pt>
                <c:pt idx="21">
                  <c:v>647.4</c:v>
                </c:pt>
                <c:pt idx="22">
                  <c:v>652.9</c:v>
                </c:pt>
                <c:pt idx="23">
                  <c:v>662.9</c:v>
                </c:pt>
                <c:pt idx="24">
                  <c:v>666.8</c:v>
                </c:pt>
                <c:pt idx="25">
                  <c:v>670.9</c:v>
                </c:pt>
                <c:pt idx="26">
                  <c:v>680.2</c:v>
                </c:pt>
                <c:pt idx="27">
                  <c:v>688.7</c:v>
                </c:pt>
                <c:pt idx="28">
                  <c:v>696.7</c:v>
                </c:pt>
                <c:pt idx="29">
                  <c:v>704.3</c:v>
                </c:pt>
                <c:pt idx="30">
                  <c:v>712.8</c:v>
                </c:pt>
                <c:pt idx="31">
                  <c:v>721</c:v>
                </c:pt>
                <c:pt idx="32">
                  <c:v>728.6</c:v>
                </c:pt>
                <c:pt idx="33">
                  <c:v>735.3</c:v>
                </c:pt>
                <c:pt idx="34">
                  <c:v>741.7</c:v>
                </c:pt>
                <c:pt idx="35">
                  <c:v>747.3</c:v>
                </c:pt>
                <c:pt idx="36">
                  <c:v>752.8</c:v>
                </c:pt>
                <c:pt idx="37">
                  <c:v>757.8</c:v>
                </c:pt>
                <c:pt idx="38">
                  <c:v>762.1</c:v>
                </c:pt>
                <c:pt idx="39">
                  <c:v>765.4</c:v>
                </c:pt>
                <c:pt idx="40">
                  <c:v>767.6</c:v>
                </c:pt>
                <c:pt idx="41">
                  <c:v>767.7</c:v>
                </c:pt>
                <c:pt idx="42">
                  <c:v>765.1</c:v>
                </c:pt>
                <c:pt idx="43">
                  <c:v>759.5</c:v>
                </c:pt>
                <c:pt idx="44">
                  <c:v>751</c:v>
                </c:pt>
                <c:pt idx="45">
                  <c:v>738.3</c:v>
                </c:pt>
                <c:pt idx="46">
                  <c:v>721.2</c:v>
                </c:pt>
                <c:pt idx="47">
                  <c:v>696.1</c:v>
                </c:pt>
                <c:pt idx="48">
                  <c:v>660.8</c:v>
                </c:pt>
                <c:pt idx="49">
                  <c:v>596.6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8-4832-8B18-59B38D877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241584"/>
        <c:axId val="1"/>
      </c:scatterChart>
      <c:valAx>
        <c:axId val="1889241584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241584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Longitudinal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продольном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'4AF'!$K$24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'4AF'!$L$25:$L$74</c:f>
              <c:numCache>
                <c:formatCode>0</c:formatCode>
                <c:ptCount val="50"/>
                <c:pt idx="0">
                  <c:v>0</c:v>
                </c:pt>
                <c:pt idx="1">
                  <c:v>0.19650300000000001</c:v>
                </c:pt>
                <c:pt idx="2">
                  <c:v>0.25</c:v>
                </c:pt>
                <c:pt idx="3">
                  <c:v>0.35049999999999998</c:v>
                </c:pt>
                <c:pt idx="4">
                  <c:v>0.25</c:v>
                </c:pt>
                <c:pt idx="5">
                  <c:v>0.35049999999999998</c:v>
                </c:pt>
                <c:pt idx="6">
                  <c:v>0.46449999999999997</c:v>
                </c:pt>
                <c:pt idx="7">
                  <c:v>0.8165</c:v>
                </c:pt>
                <c:pt idx="8">
                  <c:v>1.3080000000000001</c:v>
                </c:pt>
                <c:pt idx="9">
                  <c:v>1.8065000000000002</c:v>
                </c:pt>
                <c:pt idx="10">
                  <c:v>2.3325</c:v>
                </c:pt>
                <c:pt idx="11">
                  <c:v>2.8010000000000002</c:v>
                </c:pt>
                <c:pt idx="12">
                  <c:v>3.2445000000000004</c:v>
                </c:pt>
                <c:pt idx="13">
                  <c:v>3.4809999999999999</c:v>
                </c:pt>
                <c:pt idx="14">
                  <c:v>3.8645</c:v>
                </c:pt>
                <c:pt idx="15">
                  <c:v>4.2860000000000005</c:v>
                </c:pt>
                <c:pt idx="16">
                  <c:v>4.7175000000000002</c:v>
                </c:pt>
                <c:pt idx="17">
                  <c:v>5.1630000000000003</c:v>
                </c:pt>
                <c:pt idx="18">
                  <c:v>5.5945</c:v>
                </c:pt>
                <c:pt idx="19">
                  <c:v>6.0409999999999995</c:v>
                </c:pt>
                <c:pt idx="20">
                  <c:v>6.5119999999999996</c:v>
                </c:pt>
                <c:pt idx="21">
                  <c:v>6.9525000000000006</c:v>
                </c:pt>
                <c:pt idx="22">
                  <c:v>7.3999999999999995</c:v>
                </c:pt>
                <c:pt idx="23">
                  <c:v>7.8825000000000003</c:v>
                </c:pt>
                <c:pt idx="24">
                  <c:v>8.4009999999999998</c:v>
                </c:pt>
                <c:pt idx="25">
                  <c:v>8.8989999999999991</c:v>
                </c:pt>
                <c:pt idx="26">
                  <c:v>9.3665000000000003</c:v>
                </c:pt>
                <c:pt idx="27">
                  <c:v>9.8520000000000003</c:v>
                </c:pt>
                <c:pt idx="28">
                  <c:v>10.3575</c:v>
                </c:pt>
                <c:pt idx="29">
                  <c:v>10.8825</c:v>
                </c:pt>
                <c:pt idx="30">
                  <c:v>11.4285</c:v>
                </c:pt>
                <c:pt idx="31">
                  <c:v>11.9955</c:v>
                </c:pt>
                <c:pt idx="32">
                  <c:v>12.5855</c:v>
                </c:pt>
                <c:pt idx="33">
                  <c:v>13.131499999999999</c:v>
                </c:pt>
                <c:pt idx="34">
                  <c:v>13.6745</c:v>
                </c:pt>
                <c:pt idx="35">
                  <c:v>14.249000000000001</c:v>
                </c:pt>
                <c:pt idx="36">
                  <c:v>14.807500000000001</c:v>
                </c:pt>
                <c:pt idx="37">
                  <c:v>15.3835</c:v>
                </c:pt>
                <c:pt idx="38">
                  <c:v>15.993499999999999</c:v>
                </c:pt>
                <c:pt idx="39">
                  <c:v>16.603000000000002</c:v>
                </c:pt>
                <c:pt idx="40">
                  <c:v>17.244999999999997</c:v>
                </c:pt>
                <c:pt idx="41">
                  <c:v>17.923000000000002</c:v>
                </c:pt>
                <c:pt idx="42">
                  <c:v>19.946999999999999</c:v>
                </c:pt>
                <c:pt idx="43">
                  <c:v>19.242999999999999</c:v>
                </c:pt>
                <c:pt idx="44">
                  <c:v>19.946999999999999</c:v>
                </c:pt>
                <c:pt idx="45">
                  <c:v>20.642499999999998</c:v>
                </c:pt>
                <c:pt idx="46">
                  <c:v>21.375499999999999</c:v>
                </c:pt>
                <c:pt idx="47">
                  <c:v>22.0745</c:v>
                </c:pt>
                <c:pt idx="48">
                  <c:v>22.803000000000001</c:v>
                </c:pt>
                <c:pt idx="49">
                  <c:v>23.234000000000002</c:v>
                </c:pt>
              </c:numCache>
            </c:numRef>
          </c:xVal>
          <c:yVal>
            <c:numRef>
              <c:f>'4AF'!$K$25:$K$74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454.3</c:v>
                </c:pt>
                <c:pt idx="2">
                  <c:v>539</c:v>
                </c:pt>
                <c:pt idx="3">
                  <c:v>611.4</c:v>
                </c:pt>
                <c:pt idx="4">
                  <c:v>539</c:v>
                </c:pt>
                <c:pt idx="5">
                  <c:v>611.4</c:v>
                </c:pt>
                <c:pt idx="6">
                  <c:v>627.6</c:v>
                </c:pt>
                <c:pt idx="7">
                  <c:v>596.9</c:v>
                </c:pt>
                <c:pt idx="8">
                  <c:v>595.9</c:v>
                </c:pt>
                <c:pt idx="9">
                  <c:v>597.9</c:v>
                </c:pt>
                <c:pt idx="10">
                  <c:v>600.1</c:v>
                </c:pt>
                <c:pt idx="11">
                  <c:v>602.70000000000005</c:v>
                </c:pt>
                <c:pt idx="12">
                  <c:v>604.20000000000005</c:v>
                </c:pt>
                <c:pt idx="13">
                  <c:v>614.1</c:v>
                </c:pt>
                <c:pt idx="14">
                  <c:v>620.79999999999995</c:v>
                </c:pt>
                <c:pt idx="15">
                  <c:v>627.20000000000005</c:v>
                </c:pt>
                <c:pt idx="16">
                  <c:v>632.9</c:v>
                </c:pt>
                <c:pt idx="17">
                  <c:v>638.29999999999995</c:v>
                </c:pt>
                <c:pt idx="18">
                  <c:v>642.79999999999995</c:v>
                </c:pt>
                <c:pt idx="19">
                  <c:v>647</c:v>
                </c:pt>
                <c:pt idx="20">
                  <c:v>650.79999999999995</c:v>
                </c:pt>
                <c:pt idx="21">
                  <c:v>654</c:v>
                </c:pt>
                <c:pt idx="22">
                  <c:v>656.8</c:v>
                </c:pt>
                <c:pt idx="23">
                  <c:v>659.4</c:v>
                </c:pt>
                <c:pt idx="24">
                  <c:v>661.9</c:v>
                </c:pt>
                <c:pt idx="25">
                  <c:v>663.8</c:v>
                </c:pt>
                <c:pt idx="26">
                  <c:v>665.3</c:v>
                </c:pt>
                <c:pt idx="27">
                  <c:v>666.5</c:v>
                </c:pt>
                <c:pt idx="28">
                  <c:v>667.6</c:v>
                </c:pt>
                <c:pt idx="29">
                  <c:v>668.4</c:v>
                </c:pt>
                <c:pt idx="30">
                  <c:v>669.1</c:v>
                </c:pt>
                <c:pt idx="31">
                  <c:v>669.5</c:v>
                </c:pt>
                <c:pt idx="32">
                  <c:v>669.6</c:v>
                </c:pt>
                <c:pt idx="33">
                  <c:v>669.4</c:v>
                </c:pt>
                <c:pt idx="34">
                  <c:v>669.1</c:v>
                </c:pt>
                <c:pt idx="35">
                  <c:v>668.3</c:v>
                </c:pt>
                <c:pt idx="36">
                  <c:v>667.3</c:v>
                </c:pt>
                <c:pt idx="37">
                  <c:v>665.7</c:v>
                </c:pt>
                <c:pt idx="38">
                  <c:v>663.3</c:v>
                </c:pt>
                <c:pt idx="39">
                  <c:v>659.8</c:v>
                </c:pt>
                <c:pt idx="40">
                  <c:v>654.9</c:v>
                </c:pt>
                <c:pt idx="41">
                  <c:v>648</c:v>
                </c:pt>
                <c:pt idx="42">
                  <c:v>615.70000000000005</c:v>
                </c:pt>
                <c:pt idx="43">
                  <c:v>629.20000000000005</c:v>
                </c:pt>
                <c:pt idx="44">
                  <c:v>615.70000000000005</c:v>
                </c:pt>
                <c:pt idx="45">
                  <c:v>599.1</c:v>
                </c:pt>
                <c:pt idx="46">
                  <c:v>577.1</c:v>
                </c:pt>
                <c:pt idx="47">
                  <c:v>550.1</c:v>
                </c:pt>
                <c:pt idx="48">
                  <c:v>511.9</c:v>
                </c:pt>
                <c:pt idx="49">
                  <c:v>479.3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D2-4BCF-99AA-ADCA6DCA7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79472"/>
        <c:axId val="1"/>
      </c:scatterChart>
      <c:valAx>
        <c:axId val="1889779472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79472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200"/>
              <a:t>Transversal Engineering Stress-Strain Diagram /</a:t>
            </a:r>
            <a:r>
              <a:rPr lang="en-US" sz="1200" baseline="0"/>
              <a:t> </a:t>
            </a:r>
            <a:r>
              <a:rPr lang="ru-RU" sz="1200" baseline="0"/>
              <a:t>Диаграмма условных деформаций в поперечном направлении</a:t>
            </a:r>
            <a:endParaRPr lang="en-US" sz="1200"/>
          </a:p>
        </c:rich>
      </c:tx>
      <c:layout/>
      <c:overlay val="0"/>
    </c:title>
    <c:autoTitleDeleted val="0"/>
    <c:plotArea>
      <c:layout>
        <c:manualLayout>
          <c:xMode val="edge"/>
          <c:yMode val="edge"/>
          <c:x val="4.7179159408177893E-2"/>
          <c:y val="0.23156939261183096"/>
          <c:w val="0.95282084059182215"/>
          <c:h val="0.68747163431637315"/>
        </c:manualLayout>
      </c:layout>
      <c:scatterChart>
        <c:scatterStyle val="lineMarker"/>
        <c:varyColors val="0"/>
        <c:ser>
          <c:idx val="1"/>
          <c:order val="0"/>
          <c:tx>
            <c:strRef>
              <c:f>'4AF'!$O$24</c:f>
              <c:strCache>
                <c:ptCount val="1"/>
                <c:pt idx="0">
                  <c:v>Y Axis: Stress (MPa)</c:v>
                </c:pt>
              </c:strCache>
            </c:strRef>
          </c:tx>
          <c:marker>
            <c:symbol val="none"/>
          </c:marker>
          <c:xVal>
            <c:numRef>
              <c:f>'4AF'!$P$25:$P$74</c:f>
              <c:numCache>
                <c:formatCode>0</c:formatCode>
                <c:ptCount val="50"/>
                <c:pt idx="0">
                  <c:v>0</c:v>
                </c:pt>
                <c:pt idx="1">
                  <c:v>0.2</c:v>
                </c:pt>
                <c:pt idx="2">
                  <c:v>0.121</c:v>
                </c:pt>
                <c:pt idx="3">
                  <c:v>0.21050000000000002</c:v>
                </c:pt>
                <c:pt idx="4">
                  <c:v>0.29149999999999998</c:v>
                </c:pt>
                <c:pt idx="5">
                  <c:v>0.49</c:v>
                </c:pt>
                <c:pt idx="6">
                  <c:v>0.69</c:v>
                </c:pt>
                <c:pt idx="7">
                  <c:v>0.88600000000000001</c:v>
                </c:pt>
                <c:pt idx="8">
                  <c:v>1.0625</c:v>
                </c:pt>
                <c:pt idx="9">
                  <c:v>1.2309999999999999</c:v>
                </c:pt>
                <c:pt idx="10">
                  <c:v>1.415</c:v>
                </c:pt>
                <c:pt idx="11">
                  <c:v>1.6084999999999998</c:v>
                </c:pt>
                <c:pt idx="12">
                  <c:v>1.8094999999999999</c:v>
                </c:pt>
                <c:pt idx="13">
                  <c:v>2.0164999999999997</c:v>
                </c:pt>
                <c:pt idx="14">
                  <c:v>2.2244999999999999</c:v>
                </c:pt>
                <c:pt idx="15">
                  <c:v>2.4369999999999998</c:v>
                </c:pt>
                <c:pt idx="16">
                  <c:v>2.6485000000000003</c:v>
                </c:pt>
                <c:pt idx="17">
                  <c:v>2.8625000000000003</c:v>
                </c:pt>
                <c:pt idx="18">
                  <c:v>3.0790000000000002</c:v>
                </c:pt>
                <c:pt idx="19">
                  <c:v>3.3055000000000003</c:v>
                </c:pt>
                <c:pt idx="20">
                  <c:v>3.5325000000000002</c:v>
                </c:pt>
                <c:pt idx="21">
                  <c:v>3.7135000000000002</c:v>
                </c:pt>
                <c:pt idx="22">
                  <c:v>3.8839999999999999</c:v>
                </c:pt>
                <c:pt idx="23">
                  <c:v>4.0875000000000004</c:v>
                </c:pt>
                <c:pt idx="24">
                  <c:v>4.2504999999999997</c:v>
                </c:pt>
                <c:pt idx="25">
                  <c:v>4.4540000000000006</c:v>
                </c:pt>
                <c:pt idx="26">
                  <c:v>4.9619999999999997</c:v>
                </c:pt>
                <c:pt idx="27">
                  <c:v>5.4625000000000004</c:v>
                </c:pt>
                <c:pt idx="28">
                  <c:v>5.984</c:v>
                </c:pt>
                <c:pt idx="29">
                  <c:v>6.5229999999999997</c:v>
                </c:pt>
                <c:pt idx="30">
                  <c:v>7.1849999999999996</c:v>
                </c:pt>
                <c:pt idx="31">
                  <c:v>7.8835000000000006</c:v>
                </c:pt>
                <c:pt idx="32">
                  <c:v>8.6080000000000005</c:v>
                </c:pt>
                <c:pt idx="33">
                  <c:v>9.307500000000001</c:v>
                </c:pt>
                <c:pt idx="34">
                  <c:v>10.037000000000001</c:v>
                </c:pt>
                <c:pt idx="35">
                  <c:v>10.756499999999999</c:v>
                </c:pt>
                <c:pt idx="36">
                  <c:v>11.509</c:v>
                </c:pt>
                <c:pt idx="37">
                  <c:v>12.294499999999999</c:v>
                </c:pt>
                <c:pt idx="38">
                  <c:v>13.0745</c:v>
                </c:pt>
                <c:pt idx="39">
                  <c:v>13.847499999999998</c:v>
                </c:pt>
                <c:pt idx="40">
                  <c:v>14.655000000000001</c:v>
                </c:pt>
                <c:pt idx="41">
                  <c:v>15.448500000000001</c:v>
                </c:pt>
                <c:pt idx="42">
                  <c:v>16.289000000000001</c:v>
                </c:pt>
                <c:pt idx="43">
                  <c:v>17.1145</c:v>
                </c:pt>
                <c:pt idx="44">
                  <c:v>17.919499999999999</c:v>
                </c:pt>
                <c:pt idx="45">
                  <c:v>18.75</c:v>
                </c:pt>
                <c:pt idx="46">
                  <c:v>19.564999999999998</c:v>
                </c:pt>
                <c:pt idx="47">
                  <c:v>20.429500000000001</c:v>
                </c:pt>
                <c:pt idx="48">
                  <c:v>21.086500000000001</c:v>
                </c:pt>
                <c:pt idx="49">
                  <c:v>21.253</c:v>
                </c:pt>
              </c:numCache>
            </c:numRef>
          </c:xVal>
          <c:yVal>
            <c:numRef>
              <c:f>'4AF'!$O$25:$O$74</c:f>
              <c:numCache>
                <c:formatCode>0.0</c:formatCode>
                <c:ptCount val="50"/>
                <c:pt idx="0" formatCode="General">
                  <c:v>0</c:v>
                </c:pt>
                <c:pt idx="1">
                  <c:v>497.3</c:v>
                </c:pt>
                <c:pt idx="2">
                  <c:v>319.10000000000002</c:v>
                </c:pt>
                <c:pt idx="3">
                  <c:v>519.29999999999995</c:v>
                </c:pt>
                <c:pt idx="4">
                  <c:v>663.7</c:v>
                </c:pt>
                <c:pt idx="5">
                  <c:v>626.70000000000005</c:v>
                </c:pt>
                <c:pt idx="6">
                  <c:v>628</c:v>
                </c:pt>
                <c:pt idx="7">
                  <c:v>624.5</c:v>
                </c:pt>
                <c:pt idx="8">
                  <c:v>621.6</c:v>
                </c:pt>
                <c:pt idx="9">
                  <c:v>622</c:v>
                </c:pt>
                <c:pt idx="10">
                  <c:v>622.6</c:v>
                </c:pt>
                <c:pt idx="11">
                  <c:v>623.20000000000005</c:v>
                </c:pt>
                <c:pt idx="12">
                  <c:v>623.5</c:v>
                </c:pt>
                <c:pt idx="13">
                  <c:v>624.4</c:v>
                </c:pt>
                <c:pt idx="14">
                  <c:v>624.79999999999995</c:v>
                </c:pt>
                <c:pt idx="15">
                  <c:v>625.29999999999995</c:v>
                </c:pt>
                <c:pt idx="16">
                  <c:v>626.1</c:v>
                </c:pt>
                <c:pt idx="17">
                  <c:v>626.9</c:v>
                </c:pt>
                <c:pt idx="18">
                  <c:v>626.5</c:v>
                </c:pt>
                <c:pt idx="19">
                  <c:v>622.1</c:v>
                </c:pt>
                <c:pt idx="20">
                  <c:v>618.70000000000005</c:v>
                </c:pt>
                <c:pt idx="21">
                  <c:v>624.29999999999995</c:v>
                </c:pt>
                <c:pt idx="22">
                  <c:v>628.5</c:v>
                </c:pt>
                <c:pt idx="23">
                  <c:v>636.9</c:v>
                </c:pt>
                <c:pt idx="24">
                  <c:v>639.6</c:v>
                </c:pt>
                <c:pt idx="25">
                  <c:v>642.29999999999995</c:v>
                </c:pt>
                <c:pt idx="26">
                  <c:v>648</c:v>
                </c:pt>
                <c:pt idx="27">
                  <c:v>653</c:v>
                </c:pt>
                <c:pt idx="28">
                  <c:v>657.4</c:v>
                </c:pt>
                <c:pt idx="29">
                  <c:v>661.2</c:v>
                </c:pt>
                <c:pt idx="30">
                  <c:v>665.1</c:v>
                </c:pt>
                <c:pt idx="31">
                  <c:v>668.3</c:v>
                </c:pt>
                <c:pt idx="32">
                  <c:v>670.9</c:v>
                </c:pt>
                <c:pt idx="33">
                  <c:v>672.7</c:v>
                </c:pt>
                <c:pt idx="34">
                  <c:v>674</c:v>
                </c:pt>
                <c:pt idx="35">
                  <c:v>674.8</c:v>
                </c:pt>
                <c:pt idx="36">
                  <c:v>675.1</c:v>
                </c:pt>
                <c:pt idx="37">
                  <c:v>674.8</c:v>
                </c:pt>
                <c:pt idx="38">
                  <c:v>674</c:v>
                </c:pt>
                <c:pt idx="39">
                  <c:v>672.3</c:v>
                </c:pt>
                <c:pt idx="40">
                  <c:v>669.5</c:v>
                </c:pt>
                <c:pt idx="41">
                  <c:v>664.9</c:v>
                </c:pt>
                <c:pt idx="42">
                  <c:v>657.9</c:v>
                </c:pt>
                <c:pt idx="43">
                  <c:v>648.5</c:v>
                </c:pt>
                <c:pt idx="44">
                  <c:v>636.79999999999995</c:v>
                </c:pt>
                <c:pt idx="45">
                  <c:v>621.70000000000005</c:v>
                </c:pt>
                <c:pt idx="46">
                  <c:v>603.20000000000005</c:v>
                </c:pt>
                <c:pt idx="47">
                  <c:v>578</c:v>
                </c:pt>
                <c:pt idx="48">
                  <c:v>544.79999999999995</c:v>
                </c:pt>
                <c:pt idx="49">
                  <c:v>487.9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8B-453B-922D-D25A7D32D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9781200"/>
        <c:axId val="1"/>
      </c:scatterChart>
      <c:valAx>
        <c:axId val="1889781200"/>
        <c:scaling>
          <c:orientation val="minMax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/>
                  <a:t>%</a:t>
                </a:r>
                <a:endParaRPr lang="ru-RU" sz="1100"/>
              </a:p>
            </c:rich>
          </c:tx>
          <c:layout>
            <c:manualLayout>
              <c:xMode val="edge"/>
              <c:yMode val="edge"/>
              <c:x val="0.47191343729092683"/>
              <c:y val="0.93164027883611322"/>
            </c:manualLayout>
          </c:layout>
          <c:overlay val="0"/>
        </c:title>
        <c:numFmt formatCode="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ru-RU"/>
          </a:p>
        </c:txPr>
        <c:crossAx val="1"/>
        <c:crosses val="autoZero"/>
        <c:crossBetween val="midCat"/>
        <c:majorUnit val="5"/>
        <c:minorUnit val="5"/>
      </c:valAx>
      <c:valAx>
        <c:axId val="1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MPa</a:t>
                </a:r>
                <a:endParaRPr lang="ru-RU"/>
              </a:p>
            </c:rich>
          </c:tx>
          <c:layout>
            <c:manualLayout>
              <c:xMode val="edge"/>
              <c:yMode val="edge"/>
              <c:x val="6.5434100149246053E-3"/>
              <c:y val="0.37559817119634237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889781200"/>
        <c:crosses val="autoZero"/>
        <c:crossBetween val="midCat"/>
        <c:majorUnit val="50"/>
        <c:minorUnit val="10"/>
      </c:valAx>
    </c:plotArea>
    <c:plotVisOnly val="0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89647</xdr:rowOff>
    </xdr:from>
    <xdr:to>
      <xdr:col>2</xdr:col>
      <xdr:colOff>0</xdr:colOff>
      <xdr:row>5</xdr:row>
      <xdr:rowOff>89647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39588"/>
          <a:ext cx="2622176" cy="80682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11206</xdr:rowOff>
    </xdr:from>
    <xdr:to>
      <xdr:col>2</xdr:col>
      <xdr:colOff>0</xdr:colOff>
      <xdr:row>5</xdr:row>
      <xdr:rowOff>11206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11206</xdr:rowOff>
    </xdr:from>
    <xdr:to>
      <xdr:col>2</xdr:col>
      <xdr:colOff>0</xdr:colOff>
      <xdr:row>5</xdr:row>
      <xdr:rowOff>11206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9941"/>
          <a:ext cx="2622176" cy="80682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</xdr:row>
      <xdr:rowOff>0</xdr:rowOff>
    </xdr:from>
    <xdr:to>
      <xdr:col>3</xdr:col>
      <xdr:colOff>438150</xdr:colOff>
      <xdr:row>21</xdr:row>
      <xdr:rowOff>152400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1B29F80-D6FB-4A72-8FD9-1F3C3309E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1</xdr:row>
      <xdr:rowOff>0</xdr:rowOff>
    </xdr:from>
    <xdr:to>
      <xdr:col>7</xdr:col>
      <xdr:colOff>428625</xdr:colOff>
      <xdr:row>21</xdr:row>
      <xdr:rowOff>152400</xdr:rowOff>
    </xdr:to>
    <xdr:graphicFrame macro="">
      <xdr:nvGraphicFramePr>
        <xdr:cNvPr id="3" name="Диаграмма 1">
          <a:extLst>
            <a:ext uri="{FF2B5EF4-FFF2-40B4-BE49-F238E27FC236}">
              <a16:creationId xmlns:a16="http://schemas.microsoft.com/office/drawing/2014/main" id="{C18232A4-4F1A-4393-B949-0568B2AB8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11</xdr:col>
      <xdr:colOff>428625</xdr:colOff>
      <xdr:row>21</xdr:row>
      <xdr:rowOff>152400</xdr:rowOff>
    </xdr:to>
    <xdr:graphicFrame macro="">
      <xdr:nvGraphicFramePr>
        <xdr:cNvPr id="5" name="Диаграмма 1">
          <a:extLst>
            <a:ext uri="{FF2B5EF4-FFF2-40B4-BE49-F238E27FC236}">
              <a16:creationId xmlns:a16="http://schemas.microsoft.com/office/drawing/2014/main" id="{6F2BAB0F-6588-43E0-B893-805ED2EC58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15</xdr:col>
      <xdr:colOff>428625</xdr:colOff>
      <xdr:row>21</xdr:row>
      <xdr:rowOff>152400</xdr:rowOff>
    </xdr:to>
    <xdr:graphicFrame macro="">
      <xdr:nvGraphicFramePr>
        <xdr:cNvPr id="6" name="Диаграмма 1">
          <a:extLst>
            <a:ext uri="{FF2B5EF4-FFF2-40B4-BE49-F238E27FC236}">
              <a16:creationId xmlns:a16="http://schemas.microsoft.com/office/drawing/2014/main" id="{B190BA8B-FDD2-485E-9D13-A5909D81B4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7;&#1086;&#1079;&#1076;&#1072;&#1085;&#1080;&#1077;%20&#1082;&#1072;&#1088;&#1090;&#1086;&#1095;&#1082;&#1080;_&#1074;&#1089;&#1105;55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ewq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Base Properties"/>
      <sheetName val="2Forming"/>
      <sheetName val="3Thermal Properties"/>
      <sheetName val="Jemat"/>
      <sheetName val="4E-Data"/>
      <sheetName val="4AF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4">
          <cell r="B24" t="str">
            <v>Y Axis: Stress (MPa)</v>
          </cell>
          <cell r="F24" t="str">
            <v>Y Axis: Stress (MPa)</v>
          </cell>
          <cell r="K24" t="str">
            <v>Y Axis: Stress (MPa)</v>
          </cell>
          <cell r="O24" t="str">
            <v>Y Axis: Stress (MPa)</v>
          </cell>
        </row>
        <row r="25">
          <cell r="B25">
            <v>19.630405347457657</v>
          </cell>
          <cell r="F25">
            <v>19.183857313339697</v>
          </cell>
          <cell r="K25">
            <v>19.630404738400792</v>
          </cell>
          <cell r="O25">
            <v>19.183665494333727</v>
          </cell>
        </row>
        <row r="26">
          <cell r="B26">
            <v>19.623890046169628</v>
          </cell>
          <cell r="F26">
            <v>19.178688460659984</v>
          </cell>
          <cell r="K26">
            <v>19.623889437314908</v>
          </cell>
          <cell r="O26">
            <v>19.178976162563501</v>
          </cell>
        </row>
        <row r="27">
          <cell r="B27">
            <v>24.073038959477302</v>
          </cell>
          <cell r="F27">
            <v>19.219232628267015</v>
          </cell>
          <cell r="K27">
            <v>24.072556762092798</v>
          </cell>
          <cell r="O27">
            <v>19.219617037905429</v>
          </cell>
        </row>
        <row r="28">
          <cell r="B28">
            <v>28.573009505668612</v>
          </cell>
          <cell r="F28">
            <v>24.47931346370423</v>
          </cell>
          <cell r="K28">
            <v>28.571865745310962</v>
          </cell>
          <cell r="O28">
            <v>24.479191090269637</v>
          </cell>
        </row>
        <row r="29">
          <cell r="B29">
            <v>33.092805823446206</v>
          </cell>
          <cell r="F29">
            <v>29.408316249422199</v>
          </cell>
          <cell r="K29">
            <v>33.090819348469893</v>
          </cell>
          <cell r="O29">
            <v>29.407581086361862</v>
          </cell>
        </row>
        <row r="30">
          <cell r="B30">
            <v>37.206728687373548</v>
          </cell>
          <cell r="F30">
            <v>31.694385710045658</v>
          </cell>
          <cell r="K30">
            <v>37.203751233958542</v>
          </cell>
          <cell r="O30">
            <v>31.693434935521687</v>
          </cell>
        </row>
        <row r="31">
          <cell r="B31">
            <v>38.631126978318065</v>
          </cell>
          <cell r="F31">
            <v>34.227214215972978</v>
          </cell>
          <cell r="K31">
            <v>38.628035538005925</v>
          </cell>
          <cell r="O31">
            <v>34.225674091441967</v>
          </cell>
        </row>
        <row r="32">
          <cell r="B32">
            <v>41.412335587701378</v>
          </cell>
          <cell r="F32">
            <v>39.625670424479885</v>
          </cell>
          <cell r="K32">
            <v>41.408193484698913</v>
          </cell>
          <cell r="O32">
            <v>39.623094958968345</v>
          </cell>
        </row>
        <row r="33">
          <cell r="B33">
            <v>45.526984230515595</v>
          </cell>
          <cell r="F33">
            <v>44.335440680597785</v>
          </cell>
          <cell r="K33">
            <v>45.521520236920033</v>
          </cell>
          <cell r="O33">
            <v>44.331672528331381</v>
          </cell>
        </row>
        <row r="34">
          <cell r="B34">
            <v>50.174448489049951</v>
          </cell>
          <cell r="F34">
            <v>46.163529274107418</v>
          </cell>
          <cell r="K34">
            <v>50.167423494570585</v>
          </cell>
          <cell r="O34">
            <v>46.159144196951935</v>
          </cell>
        </row>
        <row r="35">
          <cell r="B35">
            <v>52.506429355498824</v>
          </cell>
          <cell r="F35">
            <v>48.263664212683175</v>
          </cell>
          <cell r="K35">
            <v>52.498815399802574</v>
          </cell>
          <cell r="O35">
            <v>48.258597108245411</v>
          </cell>
        </row>
        <row r="36">
          <cell r="B36">
            <v>54.260508232645712</v>
          </cell>
          <cell r="F36">
            <v>54.608915867144695</v>
          </cell>
          <cell r="K36">
            <v>54.251826258637713</v>
          </cell>
          <cell r="O36">
            <v>54.602090660414227</v>
          </cell>
        </row>
        <row r="37">
          <cell r="B37">
            <v>58.609068799772253</v>
          </cell>
          <cell r="F37">
            <v>57.755344726348376</v>
          </cell>
          <cell r="K37">
            <v>58.598519249753203</v>
          </cell>
          <cell r="O37">
            <v>57.746971473231731</v>
          </cell>
        </row>
        <row r="38">
          <cell r="B38">
            <v>62.975180846213334</v>
          </cell>
          <cell r="F38">
            <v>60.057358811580897</v>
          </cell>
          <cell r="K38">
            <v>62.962586377097729</v>
          </cell>
          <cell r="O38">
            <v>60.048651817116067</v>
          </cell>
        </row>
        <row r="39">
          <cell r="B39">
            <v>66.067377725842263</v>
          </cell>
          <cell r="F39">
            <v>64.371404928312145</v>
          </cell>
          <cell r="K39">
            <v>66.053504442250755</v>
          </cell>
          <cell r="O39">
            <v>64.360785463071522</v>
          </cell>
        </row>
        <row r="40">
          <cell r="B40">
            <v>66.983540741383436</v>
          </cell>
          <cell r="F40">
            <v>68.965765225595646</v>
          </cell>
          <cell r="K40">
            <v>66.968805528134268</v>
          </cell>
          <cell r="O40">
            <v>68.953008987885894</v>
          </cell>
        </row>
        <row r="41">
          <cell r="B41">
            <v>71.4039070027234</v>
          </cell>
          <cell r="F41">
            <v>73.437920499065669</v>
          </cell>
          <cell r="K41">
            <v>71.386771964462</v>
          </cell>
          <cell r="O41">
            <v>73.423602969910135</v>
          </cell>
        </row>
        <row r="42">
          <cell r="B42">
            <v>77.030884045776901</v>
          </cell>
          <cell r="F42">
            <v>73.825017627440602</v>
          </cell>
          <cell r="K42">
            <v>77.010858835143139</v>
          </cell>
          <cell r="O42">
            <v>73.809886674482229</v>
          </cell>
        </row>
        <row r="43">
          <cell r="B43">
            <v>79.591476492336014</v>
          </cell>
          <cell r="F43">
            <v>80.371830979142132</v>
          </cell>
          <cell r="K43">
            <v>79.569990128331682</v>
          </cell>
          <cell r="O43">
            <v>80.353751465416167</v>
          </cell>
        </row>
        <row r="44">
          <cell r="B44">
            <v>81.0802504535541</v>
          </cell>
          <cell r="F44">
            <v>85.919051959822966</v>
          </cell>
          <cell r="K44">
            <v>81.057551826258646</v>
          </cell>
          <cell r="O44">
            <v>85.898007033997644</v>
          </cell>
        </row>
        <row r="45">
          <cell r="B45">
            <v>85.094230060624497</v>
          </cell>
          <cell r="F45">
            <v>86.859688767206137</v>
          </cell>
          <cell r="K45">
            <v>85.068706811451136</v>
          </cell>
          <cell r="O45">
            <v>86.838413442751076</v>
          </cell>
        </row>
        <row r="46">
          <cell r="B46">
            <v>90.355560833689935</v>
          </cell>
          <cell r="F46">
            <v>90.392060003418536</v>
          </cell>
          <cell r="K46">
            <v>90.326653504442262</v>
          </cell>
          <cell r="O46">
            <v>90.368112543962482</v>
          </cell>
        </row>
        <row r="47">
          <cell r="B47">
            <v>92.813839502143537</v>
          </cell>
          <cell r="F47">
            <v>94.838373231194907</v>
          </cell>
          <cell r="K47">
            <v>92.783218163869691</v>
          </cell>
          <cell r="O47">
            <v>94.811352090660421</v>
          </cell>
        </row>
        <row r="48">
          <cell r="B48">
            <v>94.754222241416983</v>
          </cell>
          <cell r="F48">
            <v>99.881937820233503</v>
          </cell>
          <cell r="K48">
            <v>94.722013820335647</v>
          </cell>
          <cell r="O48">
            <v>99.852481438061744</v>
          </cell>
        </row>
        <row r="49">
          <cell r="B49">
            <v>99.771347139182623</v>
          </cell>
          <cell r="F49">
            <v>100.2645619259486</v>
          </cell>
          <cell r="K49">
            <v>99.735439289239878</v>
          </cell>
          <cell r="O49">
            <v>100.23348964439234</v>
          </cell>
        </row>
        <row r="50">
          <cell r="B50">
            <v>104.23308145309772</v>
          </cell>
          <cell r="F50">
            <v>106.11941572041033</v>
          </cell>
          <cell r="K50">
            <v>104.19348469891412</v>
          </cell>
          <cell r="O50">
            <v>106.08440797186401</v>
          </cell>
        </row>
        <row r="51">
          <cell r="B51">
            <v>106.07636497515698</v>
          </cell>
          <cell r="F51">
            <v>109.74042764528039</v>
          </cell>
          <cell r="K51">
            <v>106.03553800592302</v>
          </cell>
          <cell r="O51">
            <v>109.7020320437671</v>
          </cell>
        </row>
        <row r="52">
          <cell r="B52">
            <v>107.64620353313131</v>
          </cell>
          <cell r="F52">
            <v>112.91423981483197</v>
          </cell>
          <cell r="K52">
            <v>107.60315893385983</v>
          </cell>
          <cell r="O52">
            <v>112.87416959749903</v>
          </cell>
        </row>
        <row r="53">
          <cell r="B53">
            <v>112.81241911269595</v>
          </cell>
          <cell r="F53">
            <v>115.98858169335482</v>
          </cell>
          <cell r="K53">
            <v>112.76505429417571</v>
          </cell>
          <cell r="O53">
            <v>115.94568190699492</v>
          </cell>
        </row>
        <row r="54">
          <cell r="B54">
            <v>117.31912355631984</v>
          </cell>
          <cell r="F54">
            <v>121.07555105130521</v>
          </cell>
          <cell r="K54">
            <v>117.26752221125371</v>
          </cell>
          <cell r="O54">
            <v>121.02774521297383</v>
          </cell>
        </row>
        <row r="55">
          <cell r="B55">
            <v>119.01483484282231</v>
          </cell>
          <cell r="F55">
            <v>125.71095752381301</v>
          </cell>
          <cell r="K55">
            <v>118.96248766041462</v>
          </cell>
          <cell r="O55">
            <v>125.65943728018757</v>
          </cell>
        </row>
        <row r="56">
          <cell r="B56">
            <v>121.33911096610071</v>
          </cell>
          <cell r="F56">
            <v>127.60275719953106</v>
          </cell>
          <cell r="K56">
            <v>121.28331688055282</v>
          </cell>
          <cell r="O56">
            <v>127.54982415005861</v>
          </cell>
        </row>
        <row r="57">
          <cell r="B57">
            <v>126.8950402990849</v>
          </cell>
          <cell r="F57">
            <v>132.35923144253229</v>
          </cell>
          <cell r="K57">
            <v>126.83415597235934</v>
          </cell>
          <cell r="O57">
            <v>132.30168034388436</v>
          </cell>
        </row>
        <row r="58">
          <cell r="B58">
            <v>130.97858994182133</v>
          </cell>
          <cell r="F58">
            <v>136.64088488686792</v>
          </cell>
          <cell r="K58">
            <v>130.91312931885489</v>
          </cell>
          <cell r="O58">
            <v>136.578741695975</v>
          </cell>
        </row>
        <row r="59">
          <cell r="B59">
            <v>131.99390487949952</v>
          </cell>
          <cell r="F59">
            <v>138.39110216726064</v>
          </cell>
          <cell r="K59">
            <v>131.92793682132282</v>
          </cell>
          <cell r="O59">
            <v>138.32747166862055</v>
          </cell>
        </row>
        <row r="60">
          <cell r="B60">
            <v>135.15613236140376</v>
          </cell>
          <cell r="F60">
            <v>141.74248582940797</v>
          </cell>
          <cell r="K60">
            <v>135.08588351431393</v>
          </cell>
          <cell r="O60">
            <v>141.67448221961703</v>
          </cell>
        </row>
        <row r="61">
          <cell r="B61">
            <v>140.55365110703261</v>
          </cell>
          <cell r="F61">
            <v>147.93246761298553</v>
          </cell>
          <cell r="K61">
            <v>140.47778874629813</v>
          </cell>
          <cell r="O61">
            <v>147.85853849159827</v>
          </cell>
        </row>
        <row r="62">
          <cell r="B62">
            <v>144.33350070085686</v>
          </cell>
          <cell r="F62">
            <v>150.76461927096133</v>
          </cell>
          <cell r="K62">
            <v>144.25271470878579</v>
          </cell>
          <cell r="O62">
            <v>150.6877686596327</v>
          </cell>
        </row>
        <row r="63">
          <cell r="B63">
            <v>144.70416017929318</v>
          </cell>
          <cell r="F63">
            <v>152.61644302839292</v>
          </cell>
          <cell r="K63">
            <v>144.62388943731492</v>
          </cell>
          <cell r="O63">
            <v>152.53712387651427</v>
          </cell>
        </row>
        <row r="64">
          <cell r="B64">
            <v>149.09531427376703</v>
          </cell>
          <cell r="F64">
            <v>156.80209503671745</v>
          </cell>
          <cell r="K64">
            <v>149.00888450148076</v>
          </cell>
          <cell r="O64">
            <v>156.71746776084407</v>
          </cell>
        </row>
        <row r="65">
          <cell r="B65">
            <v>156.32177720239787</v>
          </cell>
          <cell r="F65">
            <v>162.13451144405235</v>
          </cell>
          <cell r="K65">
            <v>156.22803553800594</v>
          </cell>
          <cell r="O65">
            <v>162.04376709652206</v>
          </cell>
        </row>
        <row r="66">
          <cell r="B66">
            <v>157.22557683553211</v>
          </cell>
          <cell r="F66">
            <v>163.10516021213269</v>
          </cell>
          <cell r="K66">
            <v>157.13129318854888</v>
          </cell>
          <cell r="O66">
            <v>163.01387260648693</v>
          </cell>
        </row>
        <row r="67">
          <cell r="B67">
            <v>161.06624050822214</v>
          </cell>
          <cell r="F67">
            <v>167.49451120423211</v>
          </cell>
          <cell r="K67">
            <v>160.96643632773942</v>
          </cell>
          <cell r="O67">
            <v>167.39742086752636</v>
          </cell>
        </row>
        <row r="68">
          <cell r="B68">
            <v>165.90868541628629</v>
          </cell>
          <cell r="F68">
            <v>171.81267782750882</v>
          </cell>
          <cell r="K68">
            <v>165.8025666337611</v>
          </cell>
          <cell r="O68">
            <v>171.70965220789373</v>
          </cell>
        </row>
        <row r="69">
          <cell r="B69">
            <v>169.77634701675225</v>
          </cell>
          <cell r="F69">
            <v>175.17430228683085</v>
          </cell>
          <cell r="K69">
            <v>169.6643632773939</v>
          </cell>
          <cell r="O69">
            <v>175.06838608831578</v>
          </cell>
        </row>
        <row r="70">
          <cell r="B70">
            <v>169.89996319040077</v>
          </cell>
          <cell r="F70">
            <v>176.3920227428263</v>
          </cell>
          <cell r="K70">
            <v>169.78874629812438</v>
          </cell>
          <cell r="O70">
            <v>176.28272762797968</v>
          </cell>
        </row>
        <row r="71">
          <cell r="B71">
            <v>174.96687835217273</v>
          </cell>
          <cell r="F71">
            <v>181.930546125337</v>
          </cell>
          <cell r="K71">
            <v>174.84797630799605</v>
          </cell>
          <cell r="O71">
            <v>181.81418522860491</v>
          </cell>
        </row>
        <row r="72">
          <cell r="B72">
            <v>179.22301110481246</v>
          </cell>
          <cell r="F72">
            <v>187.32069725320926</v>
          </cell>
          <cell r="K72">
            <v>179.09674234945706</v>
          </cell>
          <cell r="O72">
            <v>187.19714732317311</v>
          </cell>
        </row>
        <row r="73">
          <cell r="B73">
            <v>182.6034021621185</v>
          </cell>
          <cell r="F73">
            <v>191.07747999662561</v>
          </cell>
          <cell r="K73">
            <v>182.47384007897335</v>
          </cell>
          <cell r="O73">
            <v>190.94763579523251</v>
          </cell>
        </row>
        <row r="74">
          <cell r="B74">
            <v>184.68563205378186</v>
          </cell>
          <cell r="F74">
            <v>196.36244529029307</v>
          </cell>
          <cell r="K74">
            <v>184.55182625863773</v>
          </cell>
          <cell r="O74">
            <v>196.22508792497067</v>
          </cell>
        </row>
        <row r="75">
          <cell r="B75">
            <v>188.96694005400886</v>
          </cell>
          <cell r="F75">
            <v>199.03138650001469</v>
          </cell>
          <cell r="K75">
            <v>188.82625863770977</v>
          </cell>
          <cell r="O75">
            <v>198.89116842516609</v>
          </cell>
        </row>
        <row r="76">
          <cell r="B76">
            <v>194.12369991251333</v>
          </cell>
          <cell r="F76">
            <v>200.83033413401625</v>
          </cell>
          <cell r="K76">
            <v>193.97433366238894</v>
          </cell>
          <cell r="O76">
            <v>200.68483782727631</v>
          </cell>
        </row>
        <row r="77">
          <cell r="B77">
            <v>195.12445688326559</v>
          </cell>
          <cell r="F77">
            <v>206.56350540613423</v>
          </cell>
          <cell r="K77">
            <v>194.97334649555779</v>
          </cell>
          <cell r="O77">
            <v>206.40973036342322</v>
          </cell>
        </row>
        <row r="78">
          <cell r="B78">
            <v>198.60396600378775</v>
          </cell>
          <cell r="F78">
            <v>210.04318334814573</v>
          </cell>
          <cell r="K78">
            <v>198.44718657453109</v>
          </cell>
          <cell r="O78">
            <v>209.884720593982</v>
          </cell>
        </row>
        <row r="79">
          <cell r="B79">
            <v>203.69003445340675</v>
          </cell>
          <cell r="F79">
            <v>210.86752073009089</v>
          </cell>
          <cell r="K79">
            <v>203.52517275419547</v>
          </cell>
          <cell r="O79">
            <v>210.70633059788983</v>
          </cell>
        </row>
        <row r="80">
          <cell r="B80">
            <v>206.61647966738497</v>
          </cell>
          <cell r="F80">
            <v>216.63827444648592</v>
          </cell>
          <cell r="K80">
            <v>206.44718657453109</v>
          </cell>
          <cell r="O80">
            <v>216.46834701055099</v>
          </cell>
        </row>
        <row r="81">
          <cell r="B81">
            <v>207.81301946746296</v>
          </cell>
          <cell r="F81">
            <v>220.86248890104244</v>
          </cell>
          <cell r="K81">
            <v>207.64067127344521</v>
          </cell>
          <cell r="O81">
            <v>220.68483782727631</v>
          </cell>
        </row>
        <row r="82">
          <cell r="B82">
            <v>212.57145692962683</v>
          </cell>
          <cell r="F82">
            <v>221.41856062283708</v>
          </cell>
          <cell r="K82">
            <v>212.39091806515302</v>
          </cell>
          <cell r="O82">
            <v>221.24267291910905</v>
          </cell>
        </row>
        <row r="83">
          <cell r="B83">
            <v>217.97318823207897</v>
          </cell>
          <cell r="F83">
            <v>225.94533660014946</v>
          </cell>
          <cell r="K83">
            <v>217.7847976307996</v>
          </cell>
          <cell r="O83">
            <v>225.7590855803048</v>
          </cell>
        </row>
        <row r="84">
          <cell r="B84">
            <v>218.08987616260907</v>
          </cell>
          <cell r="F84">
            <v>230.14546128821999</v>
          </cell>
          <cell r="K84">
            <v>217.90029615004934</v>
          </cell>
          <cell r="O84">
            <v>229.95115279406019</v>
          </cell>
        </row>
        <row r="85">
          <cell r="B85">
            <v>222.53154624081344</v>
          </cell>
          <cell r="F85">
            <v>232.99565977599352</v>
          </cell>
          <cell r="K85">
            <v>222.33366238894376</v>
          </cell>
          <cell r="O85">
            <v>232.7989449003517</v>
          </cell>
        </row>
        <row r="86">
          <cell r="B86">
            <v>227.66024815170681</v>
          </cell>
          <cell r="F86">
            <v>233.22953410655433</v>
          </cell>
          <cell r="K86">
            <v>227.4521224086871</v>
          </cell>
          <cell r="O86">
            <v>233.03145760062526</v>
          </cell>
        </row>
        <row r="87">
          <cell r="B87">
            <v>229.91798837464364</v>
          </cell>
          <cell r="F87">
            <v>238.46875333735639</v>
          </cell>
          <cell r="K87">
            <v>229.70779861796646</v>
          </cell>
          <cell r="O87">
            <v>238.25908558030483</v>
          </cell>
        </row>
        <row r="88">
          <cell r="B88">
            <v>231.37112226945709</v>
          </cell>
          <cell r="F88">
            <v>244.66998519908265</v>
          </cell>
          <cell r="K88">
            <v>231.15498519249755</v>
          </cell>
          <cell r="O88">
            <v>244.4499804611176</v>
          </cell>
        </row>
        <row r="89">
          <cell r="B89">
            <v>231.59968371794272</v>
          </cell>
          <cell r="F89">
            <v>247.46049031060079</v>
          </cell>
          <cell r="K89">
            <v>231.38795656465942</v>
          </cell>
          <cell r="O89">
            <v>247.23427119968736</v>
          </cell>
        </row>
        <row r="90">
          <cell r="B90">
            <v>232.16159415968411</v>
          </cell>
          <cell r="F90">
            <v>254.84621149803337</v>
          </cell>
          <cell r="K90">
            <v>231.94471865745311</v>
          </cell>
          <cell r="O90">
            <v>254.60433763188743</v>
          </cell>
        </row>
        <row r="91">
          <cell r="B91">
            <v>232.26663104856959</v>
          </cell>
          <cell r="F91">
            <v>256.4489440579797</v>
          </cell>
          <cell r="K91">
            <v>232.05429417571571</v>
          </cell>
          <cell r="O91">
            <v>256.20554904259478</v>
          </cell>
        </row>
        <row r="92">
          <cell r="B92">
            <v>233.09336290028924</v>
          </cell>
          <cell r="F92">
            <v>263.71299889148986</v>
          </cell>
          <cell r="K92">
            <v>232.87561697926949</v>
          </cell>
          <cell r="O92">
            <v>263.45349745994531</v>
          </cell>
        </row>
        <row r="93">
          <cell r="B93">
            <v>238.67194670075418</v>
          </cell>
          <cell r="F93">
            <v>268.32382760415589</v>
          </cell>
          <cell r="K93">
            <v>238.44422507403752</v>
          </cell>
          <cell r="O93">
            <v>268.05978898007032</v>
          </cell>
        </row>
        <row r="94">
          <cell r="B94">
            <v>241.5969698515232</v>
          </cell>
          <cell r="F94">
            <v>273.92018462289951</v>
          </cell>
          <cell r="K94">
            <v>241.36525172754196</v>
          </cell>
          <cell r="O94">
            <v>273.64107073075417</v>
          </cell>
        </row>
        <row r="95">
          <cell r="B95">
            <v>244.00767342557654</v>
          </cell>
          <cell r="F95">
            <v>280.16308722157095</v>
          </cell>
          <cell r="K95">
            <v>243.7699901283317</v>
          </cell>
          <cell r="O95">
            <v>279.87202032043768</v>
          </cell>
        </row>
        <row r="96">
          <cell r="B96">
            <v>247.9908370729664</v>
          </cell>
          <cell r="F96">
            <v>282.44498859906213</v>
          </cell>
          <cell r="K96">
            <v>247.74432379072061</v>
          </cell>
          <cell r="O96">
            <v>282.1473231731145</v>
          </cell>
        </row>
        <row r="97">
          <cell r="B97">
            <v>252.6016466523001</v>
          </cell>
          <cell r="F97">
            <v>291.42466170379055</v>
          </cell>
          <cell r="K97">
            <v>252.34550839091807</v>
          </cell>
          <cell r="O97">
            <v>291.1059007424775</v>
          </cell>
        </row>
        <row r="98">
          <cell r="B98">
            <v>252.82936423570584</v>
          </cell>
          <cell r="F98">
            <v>292.15036370164125</v>
          </cell>
          <cell r="K98">
            <v>252.5755182625864</v>
          </cell>
          <cell r="O98">
            <v>291.83372411098082</v>
          </cell>
        </row>
        <row r="99">
          <cell r="B99">
            <v>253.75752485084897</v>
          </cell>
          <cell r="F99">
            <v>301.32833347987497</v>
          </cell>
          <cell r="K99">
            <v>253.5014807502468</v>
          </cell>
          <cell r="O99">
            <v>300.98671355998437</v>
          </cell>
        </row>
        <row r="100">
          <cell r="B100">
            <v>261.3639843381244</v>
          </cell>
          <cell r="F100">
            <v>304.21163357756939</v>
          </cell>
          <cell r="K100">
            <v>261.08983218163871</v>
          </cell>
          <cell r="O100">
            <v>303.86674482219615</v>
          </cell>
        </row>
        <row r="101">
          <cell r="B101">
            <v>265.65411390396844</v>
          </cell>
          <cell r="F101">
            <v>310.71147266998827</v>
          </cell>
          <cell r="K101">
            <v>265.37413622902272</v>
          </cell>
          <cell r="O101">
            <v>310.34681516217273</v>
          </cell>
        </row>
        <row r="102">
          <cell r="B102">
            <v>271.1675486740869</v>
          </cell>
          <cell r="F102">
            <v>316.36333957112151</v>
          </cell>
          <cell r="K102">
            <v>270.87364264560711</v>
          </cell>
          <cell r="O102">
            <v>315.98573661586556</v>
          </cell>
        </row>
        <row r="103">
          <cell r="B103">
            <v>277.77057441967418</v>
          </cell>
          <cell r="F103">
            <v>319.45895821610003</v>
          </cell>
          <cell r="K103">
            <v>277.46396841066138</v>
          </cell>
          <cell r="O103">
            <v>319.07288003126223</v>
          </cell>
        </row>
        <row r="104">
          <cell r="B104">
            <v>278.69877115516289</v>
          </cell>
          <cell r="F104">
            <v>327.57125031750684</v>
          </cell>
          <cell r="K104">
            <v>278.38696939782824</v>
          </cell>
          <cell r="O104">
            <v>327.16393122313406</v>
          </cell>
        </row>
        <row r="105">
          <cell r="B105">
            <v>285.67706762755182</v>
          </cell>
          <cell r="F105">
            <v>328.57288658167255</v>
          </cell>
          <cell r="K105">
            <v>285.34748272458046</v>
          </cell>
          <cell r="O105">
            <v>328.16432200078157</v>
          </cell>
        </row>
        <row r="106">
          <cell r="B106">
            <v>289.85259509710761</v>
          </cell>
          <cell r="F106">
            <v>336.00369990230558</v>
          </cell>
          <cell r="K106">
            <v>289.51530108588355</v>
          </cell>
          <cell r="O106">
            <v>335.57248925361472</v>
          </cell>
        </row>
        <row r="107">
          <cell r="B107">
            <v>293.75389884162882</v>
          </cell>
          <cell r="F107">
            <v>340.82839458772963</v>
          </cell>
          <cell r="K107">
            <v>293.40473840078971</v>
          </cell>
          <cell r="O107">
            <v>340.38589292692461</v>
          </cell>
        </row>
        <row r="108">
          <cell r="B108">
            <v>301.79274739413626</v>
          </cell>
          <cell r="F108">
            <v>345.03280304806566</v>
          </cell>
          <cell r="K108">
            <v>301.42349457058242</v>
          </cell>
          <cell r="O108">
            <v>344.57796014067998</v>
          </cell>
        </row>
        <row r="109">
          <cell r="B109">
            <v>302.27403263076008</v>
          </cell>
          <cell r="F109">
            <v>352.5471996336459</v>
          </cell>
          <cell r="K109">
            <v>301.90720631786769</v>
          </cell>
          <cell r="O109">
            <v>352.07014458772954</v>
          </cell>
        </row>
        <row r="110">
          <cell r="B110">
            <v>308.48989554117475</v>
          </cell>
          <cell r="F110">
            <v>353.26348432004687</v>
          </cell>
          <cell r="K110">
            <v>308.10167818361305</v>
          </cell>
          <cell r="O110">
            <v>352.78722157092614</v>
          </cell>
        </row>
        <row r="111">
          <cell r="B111">
            <v>314.62095520144129</v>
          </cell>
          <cell r="F111">
            <v>361.39456809300509</v>
          </cell>
          <cell r="K111">
            <v>314.21717670286279</v>
          </cell>
          <cell r="O111">
            <v>360.89292692457991</v>
          </cell>
        </row>
        <row r="112">
          <cell r="B112">
            <v>316.73146262884501</v>
          </cell>
          <cell r="F112">
            <v>365.60269894490028</v>
          </cell>
          <cell r="K112">
            <v>316.32181638696937</v>
          </cell>
          <cell r="O112">
            <v>365.08792497069163</v>
          </cell>
        </row>
        <row r="113">
          <cell r="B113">
            <v>324.59995976455082</v>
          </cell>
          <cell r="F113">
            <v>369.16344924775302</v>
          </cell>
          <cell r="K113">
            <v>324.16880552813421</v>
          </cell>
          <cell r="O113">
            <v>368.63813989839781</v>
          </cell>
        </row>
        <row r="114">
          <cell r="B114">
            <v>327.12221666632769</v>
          </cell>
          <cell r="F114">
            <v>376.80372766705744</v>
          </cell>
          <cell r="K114">
            <v>326.68608094768013</v>
          </cell>
          <cell r="O114">
            <v>376.25439624853459</v>
          </cell>
        </row>
        <row r="115">
          <cell r="B115">
            <v>331.03071781965451</v>
          </cell>
          <cell r="F115">
            <v>378.12354941383353</v>
          </cell>
          <cell r="K115">
            <v>330.57946692991112</v>
          </cell>
          <cell r="O115">
            <v>377.57229386479094</v>
          </cell>
        </row>
        <row r="116">
          <cell r="B116">
            <v>338.79152288398819</v>
          </cell>
          <cell r="F116">
            <v>385.10594076787811</v>
          </cell>
          <cell r="K116">
            <v>338.3178677196446</v>
          </cell>
          <cell r="O116">
            <v>384.53106682297772</v>
          </cell>
        </row>
        <row r="117">
          <cell r="B117">
            <v>339.5428200437118</v>
          </cell>
          <cell r="F117">
            <v>390.64173464243845</v>
          </cell>
          <cell r="K117">
            <v>339.06811451135246</v>
          </cell>
          <cell r="O117">
            <v>390.05275498241502</v>
          </cell>
        </row>
        <row r="118">
          <cell r="B118">
            <v>345.87074705918064</v>
          </cell>
          <cell r="F118">
            <v>393.54180091832757</v>
          </cell>
          <cell r="K118">
            <v>345.3751233958539</v>
          </cell>
          <cell r="O118">
            <v>392.94060179757724</v>
          </cell>
        </row>
        <row r="119">
          <cell r="B119">
            <v>352.15209998647583</v>
          </cell>
          <cell r="F119">
            <v>401.01445379542793</v>
          </cell>
          <cell r="K119">
            <v>351.63869693978285</v>
          </cell>
          <cell r="O119">
            <v>400.38784681516216</v>
          </cell>
        </row>
        <row r="120">
          <cell r="B120">
            <v>352.40375949045404</v>
          </cell>
          <cell r="F120">
            <v>403.26304104142241</v>
          </cell>
          <cell r="K120">
            <v>351.88647581441262</v>
          </cell>
          <cell r="O120">
            <v>402.63091051191867</v>
          </cell>
        </row>
        <row r="121">
          <cell r="B121">
            <v>359.67970577911149</v>
          </cell>
          <cell r="F121">
            <v>409.54450321414618</v>
          </cell>
          <cell r="K121">
            <v>359.13919052319841</v>
          </cell>
          <cell r="O121">
            <v>408.88823759280967</v>
          </cell>
        </row>
        <row r="122">
          <cell r="B122">
            <v>364.64325964924979</v>
          </cell>
          <cell r="F122">
            <v>415.88561883548255</v>
          </cell>
          <cell r="K122">
            <v>364.08983218163871</v>
          </cell>
          <cell r="O122">
            <v>415.21297381789759</v>
          </cell>
        </row>
        <row r="123">
          <cell r="B123">
            <v>366.31845657976311</v>
          </cell>
          <cell r="F123">
            <v>417.56821582649479</v>
          </cell>
          <cell r="K123">
            <v>365.75518262586382</v>
          </cell>
          <cell r="O123">
            <v>416.8845252051583</v>
          </cell>
        </row>
        <row r="124">
          <cell r="B124">
            <v>373.90585456083909</v>
          </cell>
          <cell r="F124">
            <v>427.00457984075814</v>
          </cell>
          <cell r="K124">
            <v>373.31786771964465</v>
          </cell>
          <cell r="O124">
            <v>426.29054318093006</v>
          </cell>
        </row>
        <row r="125">
          <cell r="B125">
            <v>377.47693106453113</v>
          </cell>
          <cell r="F125">
            <v>428.82119192555689</v>
          </cell>
          <cell r="K125">
            <v>376.8795656465943</v>
          </cell>
          <cell r="O125">
            <v>428.09984368894106</v>
          </cell>
        </row>
        <row r="126">
          <cell r="B126">
            <v>380.00076006876606</v>
          </cell>
          <cell r="F126">
            <v>433.90894745017596</v>
          </cell>
          <cell r="K126">
            <v>379.38993089832184</v>
          </cell>
          <cell r="O126">
            <v>433.16822977725678</v>
          </cell>
        </row>
        <row r="127">
          <cell r="B127">
            <v>386.62410488174731</v>
          </cell>
          <cell r="F127">
            <v>441.40490042497072</v>
          </cell>
          <cell r="K127">
            <v>385.9891411648569</v>
          </cell>
          <cell r="O127">
            <v>440.63599062133642</v>
          </cell>
        </row>
        <row r="128">
          <cell r="B128">
            <v>390.04430151423497</v>
          </cell>
          <cell r="F128">
            <v>441.66913562426731</v>
          </cell>
          <cell r="K128">
            <v>389.40177690029617</v>
          </cell>
          <cell r="O128">
            <v>440.89976553341148</v>
          </cell>
        </row>
        <row r="129">
          <cell r="B129">
            <v>394.89430576575512</v>
          </cell>
          <cell r="F129">
            <v>449.38386690113322</v>
          </cell>
          <cell r="K129">
            <v>394.23198420533066</v>
          </cell>
          <cell r="O129">
            <v>448.58538491598284</v>
          </cell>
        </row>
        <row r="130">
          <cell r="B130">
            <v>400.33002245330698</v>
          </cell>
          <cell r="F130">
            <v>455.0047194216491</v>
          </cell>
          <cell r="K130">
            <v>399.64461994076999</v>
          </cell>
          <cell r="O130">
            <v>454.1871824931614</v>
          </cell>
        </row>
        <row r="131">
          <cell r="B131">
            <v>403.06029862583421</v>
          </cell>
          <cell r="F131">
            <v>457.2801988667448</v>
          </cell>
          <cell r="K131">
            <v>402.36821322803559</v>
          </cell>
          <cell r="O131">
            <v>456.45173896053149</v>
          </cell>
        </row>
        <row r="132">
          <cell r="B132">
            <v>410.70762335597232</v>
          </cell>
          <cell r="F132">
            <v>465.50202696365767</v>
          </cell>
          <cell r="K132">
            <v>409.99012833168803</v>
          </cell>
          <cell r="O132">
            <v>464.64243845252054</v>
          </cell>
        </row>
        <row r="133">
          <cell r="B133">
            <v>415.93046559005927</v>
          </cell>
          <cell r="F133">
            <v>467.86782294841737</v>
          </cell>
          <cell r="K133">
            <v>415.19348469891418</v>
          </cell>
          <cell r="O133">
            <v>466.99687377881986</v>
          </cell>
        </row>
        <row r="134">
          <cell r="B134">
            <v>417.86006219757155</v>
          </cell>
          <cell r="F134">
            <v>473.56235576397023</v>
          </cell>
          <cell r="K134">
            <v>417.11549851924974</v>
          </cell>
          <cell r="O134">
            <v>472.66901133255175</v>
          </cell>
        </row>
        <row r="135">
          <cell r="B135">
            <v>425.08237087336624</v>
          </cell>
          <cell r="F135">
            <v>481.12910980851893</v>
          </cell>
          <cell r="K135">
            <v>424.30799605133268</v>
          </cell>
          <cell r="O135">
            <v>480.20711215318488</v>
          </cell>
        </row>
        <row r="136">
          <cell r="B136">
            <v>428.98912237226068</v>
          </cell>
          <cell r="F136">
            <v>482.41377124853454</v>
          </cell>
          <cell r="K136">
            <v>428.20335636722609</v>
          </cell>
          <cell r="O136">
            <v>481.48690894880809</v>
          </cell>
        </row>
        <row r="137">
          <cell r="B137">
            <v>432.2714493507799</v>
          </cell>
          <cell r="F137">
            <v>489.85967048163349</v>
          </cell>
          <cell r="K137">
            <v>431.4689042448174</v>
          </cell>
          <cell r="O137">
            <v>488.89898397811646</v>
          </cell>
        </row>
        <row r="138">
          <cell r="B138">
            <v>439.33146517377094</v>
          </cell>
          <cell r="F138">
            <v>494.22399202813602</v>
          </cell>
          <cell r="K138">
            <v>438.50049358341556</v>
          </cell>
          <cell r="O138">
            <v>493.24736225087923</v>
          </cell>
        </row>
        <row r="139">
          <cell r="B139">
            <v>441.7174763507108</v>
          </cell>
          <cell r="F139">
            <v>498.31390386869873</v>
          </cell>
          <cell r="K139">
            <v>440.87759131293188</v>
          </cell>
          <cell r="O139">
            <v>497.31926533802266</v>
          </cell>
        </row>
        <row r="140">
          <cell r="B140">
            <v>446.54231216612044</v>
          </cell>
          <cell r="F140">
            <v>505.05070066432205</v>
          </cell>
          <cell r="K140">
            <v>445.68213228035535</v>
          </cell>
          <cell r="O140">
            <v>504.02500976944123</v>
          </cell>
        </row>
        <row r="141">
          <cell r="B141">
            <v>452.86247678726551</v>
          </cell>
          <cell r="F141">
            <v>507.60645970105514</v>
          </cell>
          <cell r="K141">
            <v>451.97433366238891</v>
          </cell>
          <cell r="O141">
            <v>506.56799531066821</v>
          </cell>
        </row>
        <row r="142">
          <cell r="B142">
            <v>455.21061595924976</v>
          </cell>
          <cell r="F142">
            <v>512.7679122215709</v>
          </cell>
          <cell r="K142">
            <v>454.3178677196446</v>
          </cell>
          <cell r="O142">
            <v>511.70867526377492</v>
          </cell>
        </row>
        <row r="143">
          <cell r="B143">
            <v>459.98757070686088</v>
          </cell>
          <cell r="F143">
            <v>520.359370559789</v>
          </cell>
          <cell r="K143">
            <v>459.06712734452128</v>
          </cell>
          <cell r="O143">
            <v>519.26631496678385</v>
          </cell>
        </row>
        <row r="144">
          <cell r="B144">
            <v>466.58564630865749</v>
          </cell>
          <cell r="F144">
            <v>520.77250880715121</v>
          </cell>
          <cell r="K144">
            <v>465.63573543928925</v>
          </cell>
          <cell r="O144">
            <v>519.678585384916</v>
          </cell>
        </row>
        <row r="145">
          <cell r="B145">
            <v>468.86211222076997</v>
          </cell>
          <cell r="F145">
            <v>527.1426752051583</v>
          </cell>
          <cell r="K145">
            <v>467.90523198420539</v>
          </cell>
          <cell r="O145">
            <v>526.01699882766707</v>
          </cell>
        </row>
        <row r="146">
          <cell r="B146">
            <v>473.58481388197441</v>
          </cell>
          <cell r="F146">
            <v>533.63371077569366</v>
          </cell>
          <cell r="K146">
            <v>472.60414610069103</v>
          </cell>
          <cell r="O146">
            <v>532.47557639703007</v>
          </cell>
        </row>
        <row r="147">
          <cell r="B147">
            <v>479.02541158630805</v>
          </cell>
          <cell r="F147">
            <v>534.19107305588125</v>
          </cell>
          <cell r="K147">
            <v>478.01678183613029</v>
          </cell>
          <cell r="O147">
            <v>533.0343884329817</v>
          </cell>
        </row>
        <row r="148">
          <cell r="B148">
            <v>482.47720114154987</v>
          </cell>
          <cell r="F148">
            <v>541.98059894490041</v>
          </cell>
          <cell r="K148">
            <v>481.45409674234946</v>
          </cell>
          <cell r="O148">
            <v>540.78546307151237</v>
          </cell>
        </row>
        <row r="149">
          <cell r="B149">
            <v>485.88304334094778</v>
          </cell>
          <cell r="F149">
            <v>547.29238497459949</v>
          </cell>
          <cell r="K149">
            <v>484.84304047384012</v>
          </cell>
          <cell r="O149">
            <v>546.07463853067611</v>
          </cell>
        </row>
        <row r="150">
          <cell r="B150">
            <v>491.59401700095748</v>
          </cell>
          <cell r="F150">
            <v>548.90342394978506</v>
          </cell>
          <cell r="K150">
            <v>490.52221125370187</v>
          </cell>
          <cell r="O150">
            <v>547.67389605314577</v>
          </cell>
        </row>
        <row r="151">
          <cell r="B151">
            <v>495.37075500618954</v>
          </cell>
          <cell r="F151">
            <v>557.41690574443146</v>
          </cell>
          <cell r="K151">
            <v>494.28331688055283</v>
          </cell>
          <cell r="O151">
            <v>556.14888628370454</v>
          </cell>
        </row>
        <row r="152">
          <cell r="B152">
            <v>498.50305569195456</v>
          </cell>
          <cell r="F152">
            <v>560.62257261137165</v>
          </cell>
          <cell r="K152">
            <v>497.39881539980257</v>
          </cell>
          <cell r="O152">
            <v>559.34447049628761</v>
          </cell>
        </row>
        <row r="153">
          <cell r="B153">
            <v>503.8819848948865</v>
          </cell>
          <cell r="F153">
            <v>564.11847095545136</v>
          </cell>
          <cell r="K153">
            <v>502.74827245804545</v>
          </cell>
          <cell r="O153">
            <v>562.81555295037117</v>
          </cell>
        </row>
        <row r="154">
          <cell r="B154">
            <v>508.17817552663377</v>
          </cell>
          <cell r="F154">
            <v>572.38336977334893</v>
          </cell>
          <cell r="K154">
            <v>507.02467917077985</v>
          </cell>
          <cell r="O154">
            <v>571.04142243063689</v>
          </cell>
        </row>
        <row r="155">
          <cell r="B155">
            <v>509.37111500929916</v>
          </cell>
          <cell r="F155">
            <v>573.83746580695595</v>
          </cell>
          <cell r="K155">
            <v>508.20730503455093</v>
          </cell>
          <cell r="O155">
            <v>572.48925361469333</v>
          </cell>
        </row>
        <row r="156">
          <cell r="B156">
            <v>514.96353130645605</v>
          </cell>
          <cell r="F156">
            <v>578.8841924189137</v>
          </cell>
          <cell r="K156">
            <v>513.76900296150052</v>
          </cell>
          <cell r="O156">
            <v>577.50683860883157</v>
          </cell>
        </row>
        <row r="157">
          <cell r="B157">
            <v>520.27235140557764</v>
          </cell>
          <cell r="F157">
            <v>585.56174314185228</v>
          </cell>
          <cell r="K157">
            <v>519.04738400789745</v>
          </cell>
          <cell r="O157">
            <v>584.14810472840952</v>
          </cell>
        </row>
        <row r="158">
          <cell r="B158">
            <v>520.75485487502465</v>
          </cell>
          <cell r="F158">
            <v>587.03266424384537</v>
          </cell>
          <cell r="K158">
            <v>519.52615992102665</v>
          </cell>
          <cell r="O158">
            <v>585.61547479484182</v>
          </cell>
        </row>
        <row r="159">
          <cell r="B159">
            <v>525.07984871080942</v>
          </cell>
          <cell r="F159">
            <v>591.84606306174283</v>
          </cell>
          <cell r="K159">
            <v>523.82527147087853</v>
          </cell>
          <cell r="O159">
            <v>590.39663931223129</v>
          </cell>
        </row>
        <row r="160">
          <cell r="B160">
            <v>530.24095541457064</v>
          </cell>
          <cell r="F160">
            <v>598.1278822489254</v>
          </cell>
          <cell r="K160">
            <v>528.95557749259626</v>
          </cell>
          <cell r="O160">
            <v>596.6422430636967</v>
          </cell>
        </row>
        <row r="161">
          <cell r="B161">
            <v>533.48846843345518</v>
          </cell>
          <cell r="F161">
            <v>599.99375790836268</v>
          </cell>
          <cell r="K161">
            <v>532.18460019743338</v>
          </cell>
          <cell r="O161">
            <v>598.49452911293474</v>
          </cell>
        </row>
        <row r="162">
          <cell r="B162">
            <v>535.23319960092795</v>
          </cell>
          <cell r="F162">
            <v>604.05265364888635</v>
          </cell>
          <cell r="K162">
            <v>533.91707798617972</v>
          </cell>
          <cell r="O162">
            <v>602.5312622118015</v>
          </cell>
        </row>
        <row r="163">
          <cell r="B163">
            <v>540.3079307788845</v>
          </cell>
          <cell r="F163">
            <v>611.19626697928868</v>
          </cell>
          <cell r="K163">
            <v>538.96051332675222</v>
          </cell>
          <cell r="O163">
            <v>609.63559984368885</v>
          </cell>
        </row>
        <row r="164">
          <cell r="B164">
            <v>544.88125264765063</v>
          </cell>
          <cell r="F164">
            <v>613.08389613130123</v>
          </cell>
          <cell r="K164">
            <v>543.50345508390922</v>
          </cell>
          <cell r="O164">
            <v>611.51230949589683</v>
          </cell>
        </row>
        <row r="165">
          <cell r="B165">
            <v>545.49979597810466</v>
          </cell>
          <cell r="F165">
            <v>616.66938594665874</v>
          </cell>
          <cell r="K165">
            <v>544.1204343534057</v>
          </cell>
          <cell r="O165">
            <v>615.07327080890968</v>
          </cell>
        </row>
        <row r="166">
          <cell r="B166">
            <v>548.35137269662391</v>
          </cell>
          <cell r="F166">
            <v>623.07440287221561</v>
          </cell>
          <cell r="K166">
            <v>546.94570582428435</v>
          </cell>
          <cell r="O166">
            <v>621.44001563110589</v>
          </cell>
        </row>
        <row r="167">
          <cell r="B167">
            <v>553.31722847149058</v>
          </cell>
          <cell r="F167">
            <v>625.83130089390397</v>
          </cell>
          <cell r="K167">
            <v>551.87956564659419</v>
          </cell>
          <cell r="O167">
            <v>624.18034388432989</v>
          </cell>
        </row>
        <row r="168">
          <cell r="B168">
            <v>556.88883948597231</v>
          </cell>
          <cell r="F168">
            <v>628.48758367526375</v>
          </cell>
          <cell r="K168">
            <v>555.42250740375118</v>
          </cell>
          <cell r="O168">
            <v>626.81711606096133</v>
          </cell>
        </row>
        <row r="169">
          <cell r="B169">
            <v>557.37203848373144</v>
          </cell>
          <cell r="F169">
            <v>633.69248993747556</v>
          </cell>
          <cell r="K169">
            <v>555.90720631786769</v>
          </cell>
          <cell r="O169">
            <v>631.98612739351313</v>
          </cell>
        </row>
        <row r="170">
          <cell r="B170">
            <v>560.7804063392399</v>
          </cell>
          <cell r="F170">
            <v>638.6641178194609</v>
          </cell>
          <cell r="K170">
            <v>559.28430404738401</v>
          </cell>
          <cell r="O170">
            <v>636.9284876905042</v>
          </cell>
        </row>
        <row r="171">
          <cell r="B171">
            <v>563.78336532780861</v>
          </cell>
          <cell r="F171">
            <v>639.65304201348181</v>
          </cell>
          <cell r="K171">
            <v>562.25962487660422</v>
          </cell>
          <cell r="O171">
            <v>637.90836264165694</v>
          </cell>
        </row>
        <row r="172">
          <cell r="B172">
            <v>567.54279833702867</v>
          </cell>
          <cell r="F172">
            <v>644.72546586557257</v>
          </cell>
          <cell r="K172">
            <v>565.98914116485685</v>
          </cell>
          <cell r="O172">
            <v>642.94450957405252</v>
          </cell>
        </row>
        <row r="173">
          <cell r="B173">
            <v>568.88210142250739</v>
          </cell>
          <cell r="F173">
            <v>648.07667809691281</v>
          </cell>
          <cell r="K173">
            <v>567.32477788746291</v>
          </cell>
          <cell r="O173">
            <v>646.36381398983974</v>
          </cell>
        </row>
        <row r="174">
          <cell r="B174">
            <v>570.79664779705831</v>
          </cell>
          <cell r="F174">
            <v>648.38327921062921</v>
          </cell>
          <cell r="K174">
            <v>569.21421520236925</v>
          </cell>
          <cell r="O174">
            <v>646.63735834310285</v>
          </cell>
        </row>
        <row r="175">
          <cell r="B175">
            <v>574.41590715440282</v>
          </cell>
          <cell r="F175">
            <v>648.67854046502532</v>
          </cell>
          <cell r="K175">
            <v>572.80059230009874</v>
          </cell>
          <cell r="O175">
            <v>646.90601797577176</v>
          </cell>
        </row>
        <row r="176">
          <cell r="B176">
            <v>577.63162747211265</v>
          </cell>
          <cell r="F176">
            <v>648.91783378761227</v>
          </cell>
          <cell r="K176">
            <v>575.98716683119449</v>
          </cell>
          <cell r="O176">
            <v>647.17370066432204</v>
          </cell>
        </row>
        <row r="177">
          <cell r="B177">
            <v>579.95374023117472</v>
          </cell>
          <cell r="F177">
            <v>651.90282906408754</v>
          </cell>
          <cell r="K177">
            <v>578.28825271470873</v>
          </cell>
          <cell r="O177">
            <v>650.12797967956237</v>
          </cell>
        </row>
        <row r="178">
          <cell r="B178">
            <v>580.37038131947691</v>
          </cell>
          <cell r="F178">
            <v>655.74424119284868</v>
          </cell>
          <cell r="K178">
            <v>578.69792694965452</v>
          </cell>
          <cell r="O178">
            <v>653.93610785463068</v>
          </cell>
        </row>
        <row r="179">
          <cell r="B179">
            <v>583.09645421384016</v>
          </cell>
          <cell r="F179">
            <v>659.93468581477134</v>
          </cell>
          <cell r="K179">
            <v>581.39585389930903</v>
          </cell>
          <cell r="O179">
            <v>658.09202813599063</v>
          </cell>
        </row>
        <row r="180">
          <cell r="B180">
            <v>585.39895792474817</v>
          </cell>
          <cell r="F180">
            <v>663.10455961801483</v>
          </cell>
          <cell r="K180">
            <v>583.67127344521225</v>
          </cell>
          <cell r="O180">
            <v>661.22997264556466</v>
          </cell>
        </row>
        <row r="181">
          <cell r="B181">
            <v>588.4174430686279</v>
          </cell>
          <cell r="F181">
            <v>663.19983653282532</v>
          </cell>
          <cell r="K181">
            <v>586.65745310957561</v>
          </cell>
          <cell r="O181">
            <v>661.33157483391949</v>
          </cell>
        </row>
        <row r="182">
          <cell r="B182">
            <v>590.20751049110572</v>
          </cell>
          <cell r="F182">
            <v>665.4026774032825</v>
          </cell>
          <cell r="K182">
            <v>588.43336623889445</v>
          </cell>
          <cell r="O182">
            <v>663.49843688940996</v>
          </cell>
        </row>
        <row r="183">
          <cell r="B183">
            <v>590.95497020215203</v>
          </cell>
          <cell r="F183">
            <v>665.66964447538089</v>
          </cell>
          <cell r="K183">
            <v>589.16683119447191</v>
          </cell>
          <cell r="O183">
            <v>663.73485736615851</v>
          </cell>
        </row>
        <row r="184">
          <cell r="B184">
            <v>593.48772200482733</v>
          </cell>
          <cell r="F184">
            <v>665.18728492575235</v>
          </cell>
          <cell r="K184">
            <v>591.67127344521236</v>
          </cell>
          <cell r="O184">
            <v>663.23075420085979</v>
          </cell>
        </row>
        <row r="185">
          <cell r="B185">
            <v>595.63148793702862</v>
          </cell>
          <cell r="F185">
            <v>664.69509148593204</v>
          </cell>
          <cell r="K185">
            <v>593.78775913129323</v>
          </cell>
          <cell r="O185">
            <v>662.71688159437281</v>
          </cell>
        </row>
        <row r="186">
          <cell r="B186">
            <v>597.73579986993093</v>
          </cell>
          <cell r="F186">
            <v>663.9455198563893</v>
          </cell>
          <cell r="K186">
            <v>595.86179664363283</v>
          </cell>
          <cell r="O186">
            <v>661.94314185228609</v>
          </cell>
        </row>
        <row r="187">
          <cell r="B187">
            <v>599.76004417465947</v>
          </cell>
          <cell r="F187">
            <v>662.68105515826505</v>
          </cell>
          <cell r="K187">
            <v>597.85883514313923</v>
          </cell>
          <cell r="O187">
            <v>660.6594372801876</v>
          </cell>
        </row>
        <row r="188">
          <cell r="B188">
            <v>599.93826067572547</v>
          </cell>
          <cell r="F188">
            <v>662.38841704279014</v>
          </cell>
          <cell r="K188">
            <v>598.04244817374126</v>
          </cell>
          <cell r="O188">
            <v>660.36440015631104</v>
          </cell>
        </row>
        <row r="189">
          <cell r="B189">
            <v>601.79138893360312</v>
          </cell>
          <cell r="F189">
            <v>661.26398182883941</v>
          </cell>
          <cell r="K189">
            <v>599.85982230997035</v>
          </cell>
          <cell r="O189">
            <v>659.22039859320046</v>
          </cell>
        </row>
        <row r="190">
          <cell r="B190">
            <v>603.76739432276418</v>
          </cell>
          <cell r="F190">
            <v>658.99124314185235</v>
          </cell>
          <cell r="K190">
            <v>601.8084896347483</v>
          </cell>
          <cell r="O190">
            <v>656.9284876905042</v>
          </cell>
        </row>
        <row r="191">
          <cell r="B191">
            <v>605.39590058010867</v>
          </cell>
          <cell r="F191">
            <v>655.87122838511129</v>
          </cell>
          <cell r="K191">
            <v>603.41066140177691</v>
          </cell>
          <cell r="O191">
            <v>653.79542790152402</v>
          </cell>
        </row>
        <row r="192">
          <cell r="B192">
            <v>606.8571330762785</v>
          </cell>
          <cell r="F192">
            <v>650.83983810082066</v>
          </cell>
          <cell r="K192">
            <v>604.84600197433372</v>
          </cell>
          <cell r="O192">
            <v>648.75732708089106</v>
          </cell>
        </row>
        <row r="193">
          <cell r="B193">
            <v>608.11937881427446</v>
          </cell>
          <cell r="F193">
            <v>643.68632786244621</v>
          </cell>
          <cell r="K193">
            <v>606.08292201382028</v>
          </cell>
          <cell r="O193">
            <v>641.57874169597494</v>
          </cell>
        </row>
        <row r="194">
          <cell r="B194">
            <v>608.66816849001987</v>
          </cell>
          <cell r="F194">
            <v>639.93779296111757</v>
          </cell>
          <cell r="K194">
            <v>606.62685093780851</v>
          </cell>
          <cell r="O194">
            <v>637.78526768268853</v>
          </cell>
        </row>
        <row r="195">
          <cell r="B195">
            <v>609.87901882667325</v>
          </cell>
          <cell r="F195">
            <v>636.25252713950772</v>
          </cell>
          <cell r="K195">
            <v>607.81243830207302</v>
          </cell>
          <cell r="O195">
            <v>633.95760062524437</v>
          </cell>
        </row>
        <row r="196">
          <cell r="B196">
            <v>611.34155383027644</v>
          </cell>
          <cell r="F196">
            <v>632.48221511821032</v>
          </cell>
          <cell r="K196">
            <v>609.24876604146107</v>
          </cell>
          <cell r="O196">
            <v>630.14751856193834</v>
          </cell>
        </row>
        <row r="197">
          <cell r="B197">
            <v>612.7090925131688</v>
          </cell>
          <cell r="F197">
            <v>628.78559440211018</v>
          </cell>
          <cell r="K197">
            <v>610.59032576505433</v>
          </cell>
          <cell r="O197">
            <v>626.41461508401721</v>
          </cell>
        </row>
        <row r="198">
          <cell r="B198">
            <v>613.5170209177295</v>
          </cell>
          <cell r="F198">
            <v>625.22314796795615</v>
          </cell>
          <cell r="K198">
            <v>611.37413622902272</v>
          </cell>
          <cell r="O198">
            <v>622.84388432981632</v>
          </cell>
        </row>
        <row r="199">
          <cell r="B199">
            <v>614.88274657489637</v>
          </cell>
          <cell r="F199">
            <v>619.60306547479479</v>
          </cell>
          <cell r="K199">
            <v>612.71372161895363</v>
          </cell>
          <cell r="O199">
            <v>617.22059398202418</v>
          </cell>
        </row>
        <row r="200">
          <cell r="B200">
            <v>615.84238065032582</v>
          </cell>
          <cell r="F200">
            <v>616.74838944900353</v>
          </cell>
          <cell r="K200">
            <v>613.64856860809482</v>
          </cell>
          <cell r="O200">
            <v>614.34935521688158</v>
          </cell>
        </row>
        <row r="201">
          <cell r="B201">
            <v>616.27145028793677</v>
          </cell>
          <cell r="F201">
            <v>615.29575937866366</v>
          </cell>
          <cell r="K201">
            <v>614.07305034550836</v>
          </cell>
          <cell r="O201">
            <v>612.88100820633065</v>
          </cell>
        </row>
        <row r="202">
          <cell r="B202">
            <v>616.86548691916084</v>
          </cell>
          <cell r="F202">
            <v>614.48264378663544</v>
          </cell>
          <cell r="K202">
            <v>614.64659427443235</v>
          </cell>
          <cell r="O202">
            <v>612.04669792887842</v>
          </cell>
        </row>
        <row r="203">
          <cell r="B203">
            <v>617.87380157353402</v>
          </cell>
          <cell r="F203">
            <v>616.06180687768665</v>
          </cell>
          <cell r="K203">
            <v>615.62981243830211</v>
          </cell>
          <cell r="O203">
            <v>613.59515435717083</v>
          </cell>
        </row>
        <row r="204">
          <cell r="B204">
            <v>618.71473991490609</v>
          </cell>
          <cell r="F204">
            <v>618.77586865474791</v>
          </cell>
          <cell r="K204">
            <v>616.44619940769985</v>
          </cell>
          <cell r="O204">
            <v>616.27686596326691</v>
          </cell>
        </row>
        <row r="205">
          <cell r="B205">
            <v>619.54979039825275</v>
          </cell>
          <cell r="F205">
            <v>620.94123943434943</v>
          </cell>
          <cell r="K205">
            <v>617.25666337611062</v>
          </cell>
          <cell r="O205">
            <v>618.40269636576795</v>
          </cell>
        </row>
        <row r="206">
          <cell r="B206">
            <v>620.47221221185589</v>
          </cell>
          <cell r="F206">
            <v>622.99644653184839</v>
          </cell>
          <cell r="K206">
            <v>618.1510365251728</v>
          </cell>
          <cell r="O206">
            <v>620.40933958577568</v>
          </cell>
        </row>
        <row r="207">
          <cell r="B207">
            <v>621.22711958322816</v>
          </cell>
          <cell r="F207">
            <v>623.87560045427892</v>
          </cell>
          <cell r="K207">
            <v>618.88153998025678</v>
          </cell>
          <cell r="O207">
            <v>621.26318874560366</v>
          </cell>
        </row>
        <row r="208">
          <cell r="B208">
            <v>621.91073021011857</v>
          </cell>
          <cell r="F208">
            <v>624.6223674872997</v>
          </cell>
          <cell r="K208">
            <v>619.54096742349464</v>
          </cell>
          <cell r="O208">
            <v>621.98515044939427</v>
          </cell>
        </row>
        <row r="209">
          <cell r="B209">
            <v>622.2519941144127</v>
          </cell>
          <cell r="F209">
            <v>625.24688405627205</v>
          </cell>
          <cell r="K209">
            <v>619.87166831194475</v>
          </cell>
          <cell r="O209">
            <v>622.57913247362251</v>
          </cell>
        </row>
        <row r="210">
          <cell r="B210">
            <v>622.6073978215104</v>
          </cell>
          <cell r="F210">
            <v>625.7653154308324</v>
          </cell>
          <cell r="K210">
            <v>620.21026653504441</v>
          </cell>
          <cell r="O210">
            <v>623.07053536537717</v>
          </cell>
        </row>
        <row r="211">
          <cell r="B211">
            <v>623.3914606427245</v>
          </cell>
          <cell r="F211">
            <v>626.20332702227438</v>
          </cell>
          <cell r="K211">
            <v>620.96347482724582</v>
          </cell>
          <cell r="O211">
            <v>623.48182883939046</v>
          </cell>
        </row>
        <row r="212">
          <cell r="B212">
            <v>624.12788469162888</v>
          </cell>
          <cell r="F212">
            <v>626.58365333137954</v>
          </cell>
          <cell r="K212">
            <v>621.67226061204349</v>
          </cell>
          <cell r="O212">
            <v>623.83255177803835</v>
          </cell>
        </row>
        <row r="213">
          <cell r="B213">
            <v>624.72547273943735</v>
          </cell>
          <cell r="F213">
            <v>626.93260972059409</v>
          </cell>
          <cell r="K213">
            <v>622.24580454096747</v>
          </cell>
          <cell r="O213">
            <v>624.15201250488474</v>
          </cell>
        </row>
        <row r="214">
          <cell r="B214">
            <v>625.31219844733459</v>
          </cell>
          <cell r="F214">
            <v>627.25982712973814</v>
          </cell>
          <cell r="K214">
            <v>622.8084896347483</v>
          </cell>
          <cell r="O214">
            <v>624.45291129347402</v>
          </cell>
        </row>
        <row r="215">
          <cell r="B215">
            <v>625.76940563686094</v>
          </cell>
          <cell r="F215">
            <v>627.57957676826891</v>
          </cell>
          <cell r="K215">
            <v>623.23593287265555</v>
          </cell>
          <cell r="O215">
            <v>624.74013286440015</v>
          </cell>
        </row>
        <row r="216">
          <cell r="B216">
            <v>626.43565388405739</v>
          </cell>
          <cell r="F216">
            <v>627.88052713950765</v>
          </cell>
          <cell r="K216">
            <v>623.87462981243834</v>
          </cell>
          <cell r="O216">
            <v>625.01172332942554</v>
          </cell>
        </row>
        <row r="217">
          <cell r="B217">
            <v>626.91331831534058</v>
          </cell>
          <cell r="F217">
            <v>628.17444966783899</v>
          </cell>
          <cell r="K217">
            <v>624.33168805528135</v>
          </cell>
          <cell r="O217">
            <v>625.27940601797582</v>
          </cell>
        </row>
        <row r="218">
          <cell r="B218">
            <v>626.9602032375816</v>
          </cell>
          <cell r="F218">
            <v>628.469558323564</v>
          </cell>
          <cell r="K218">
            <v>624.37216189536036</v>
          </cell>
          <cell r="O218">
            <v>625.54513481828849</v>
          </cell>
        </row>
        <row r="219">
          <cell r="B219">
            <v>627.38848648269493</v>
          </cell>
          <cell r="F219">
            <v>628.75291223134036</v>
          </cell>
          <cell r="K219">
            <v>624.77690029615007</v>
          </cell>
          <cell r="O219">
            <v>625.7991402891754</v>
          </cell>
        </row>
        <row r="220">
          <cell r="B220">
            <v>627.67702084406721</v>
          </cell>
          <cell r="F220">
            <v>629.01824939429457</v>
          </cell>
          <cell r="K220">
            <v>625.04244817374149</v>
          </cell>
          <cell r="O220">
            <v>626.04142243063689</v>
          </cell>
        </row>
        <row r="221">
          <cell r="B221">
            <v>628.12121767800602</v>
          </cell>
          <cell r="F221">
            <v>629.28140454279026</v>
          </cell>
          <cell r="K221">
            <v>625.46298124383031</v>
          </cell>
          <cell r="O221">
            <v>626.26905041031659</v>
          </cell>
        </row>
        <row r="222">
          <cell r="B222">
            <v>628.45738169035542</v>
          </cell>
          <cell r="F222">
            <v>629.53242964048457</v>
          </cell>
          <cell r="K222">
            <v>625.77591312931895</v>
          </cell>
          <cell r="O222">
            <v>626.49081672528325</v>
          </cell>
        </row>
        <row r="223">
          <cell r="B223">
            <v>628.75291891965446</v>
          </cell>
          <cell r="F223">
            <v>629.76973046111755</v>
          </cell>
          <cell r="K223">
            <v>626.04837117472857</v>
          </cell>
          <cell r="O223">
            <v>626.69890582258688</v>
          </cell>
        </row>
        <row r="224">
          <cell r="B224">
            <v>628.99295312656477</v>
          </cell>
          <cell r="F224">
            <v>629.99115246189899</v>
          </cell>
          <cell r="K224">
            <v>626.26554787759142</v>
          </cell>
          <cell r="O224">
            <v>626.89429464634611</v>
          </cell>
        </row>
        <row r="225">
          <cell r="B225">
            <v>629.24490054212242</v>
          </cell>
          <cell r="F225">
            <v>630.2002064282924</v>
          </cell>
          <cell r="K225">
            <v>626.49457058242854</v>
          </cell>
          <cell r="O225">
            <v>627.07112153184846</v>
          </cell>
        </row>
        <row r="226">
          <cell r="B226">
            <v>629.49091477882519</v>
          </cell>
          <cell r="F226">
            <v>630.39847753028516</v>
          </cell>
          <cell r="K226">
            <v>626.71767028627835</v>
          </cell>
          <cell r="O226">
            <v>627.23720203204368</v>
          </cell>
        </row>
        <row r="227">
          <cell r="B227">
            <v>629.74404563460018</v>
          </cell>
          <cell r="F227">
            <v>630.57693572196172</v>
          </cell>
          <cell r="K227">
            <v>626.94471865745311</v>
          </cell>
          <cell r="O227">
            <v>627.38667448221963</v>
          </cell>
        </row>
        <row r="228">
          <cell r="B228">
            <v>629.89441613723591</v>
          </cell>
          <cell r="F228">
            <v>630.7428336752638</v>
          </cell>
          <cell r="K228">
            <v>627.08193484698916</v>
          </cell>
          <cell r="O228">
            <v>627.52051582649483</v>
          </cell>
        </row>
        <row r="229">
          <cell r="B229">
            <v>629.95241121272466</v>
          </cell>
          <cell r="F229">
            <v>630.90383496483003</v>
          </cell>
          <cell r="K229">
            <v>627.13030602171773</v>
          </cell>
          <cell r="O229">
            <v>627.64947245017584</v>
          </cell>
        </row>
        <row r="230">
          <cell r="B230">
            <v>630.10624938053309</v>
          </cell>
          <cell r="F230">
            <v>631.0518897225478</v>
          </cell>
          <cell r="K230">
            <v>627.26159921026658</v>
          </cell>
          <cell r="O230">
            <v>627.76865963266891</v>
          </cell>
        </row>
        <row r="231">
          <cell r="B231">
            <v>630.28786372883508</v>
          </cell>
          <cell r="F231">
            <v>631.19111632962097</v>
          </cell>
          <cell r="K231">
            <v>627.42053307008882</v>
          </cell>
          <cell r="O231">
            <v>627.87905431809304</v>
          </cell>
        </row>
        <row r="232">
          <cell r="B232">
            <v>630.4099864366633</v>
          </cell>
          <cell r="F232">
            <v>631.32268920965214</v>
          </cell>
          <cell r="K232">
            <v>627.52023692003945</v>
          </cell>
          <cell r="O232">
            <v>627.97870261821015</v>
          </cell>
        </row>
        <row r="233">
          <cell r="B233">
            <v>630.55508926847983</v>
          </cell>
          <cell r="F233">
            <v>631.44464384525202</v>
          </cell>
          <cell r="K233">
            <v>627.63968410661403</v>
          </cell>
          <cell r="O233">
            <v>628.06565064478309</v>
          </cell>
        </row>
        <row r="234">
          <cell r="B234">
            <v>630.65243245434363</v>
          </cell>
          <cell r="F234">
            <v>631.54952183470107</v>
          </cell>
          <cell r="K234">
            <v>627.71470878578486</v>
          </cell>
          <cell r="O234">
            <v>628.14185228604924</v>
          </cell>
        </row>
        <row r="235">
          <cell r="B235">
            <v>630.7259771794769</v>
          </cell>
          <cell r="F235">
            <v>631.65244210629146</v>
          </cell>
          <cell r="K235">
            <v>627.76604146100692</v>
          </cell>
          <cell r="O235">
            <v>628.21610003907767</v>
          </cell>
        </row>
        <row r="236">
          <cell r="B236">
            <v>630.81440333644639</v>
          </cell>
          <cell r="F236">
            <v>631.74986386283695</v>
          </cell>
          <cell r="K236">
            <v>627.83218163869708</v>
          </cell>
          <cell r="O236">
            <v>628.27862446268068</v>
          </cell>
        </row>
        <row r="237">
          <cell r="B237">
            <v>630.88216812547876</v>
          </cell>
          <cell r="F237">
            <v>631.83334449491997</v>
          </cell>
          <cell r="K237">
            <v>627.87462981243834</v>
          </cell>
          <cell r="O237">
            <v>628.3304025009769</v>
          </cell>
        </row>
        <row r="238">
          <cell r="B238">
            <v>630.91521858968406</v>
          </cell>
          <cell r="F238">
            <v>631.9099532288003</v>
          </cell>
          <cell r="K238">
            <v>627.8825271470879</v>
          </cell>
          <cell r="O238">
            <v>628.37534193044155</v>
          </cell>
        </row>
        <row r="239">
          <cell r="B239">
            <v>630.95405795840088</v>
          </cell>
          <cell r="F239">
            <v>631.97968903868707</v>
          </cell>
          <cell r="K239">
            <v>627.89930898321825</v>
          </cell>
          <cell r="O239">
            <v>628.41344275107463</v>
          </cell>
        </row>
        <row r="240">
          <cell r="B240">
            <v>630.96413038647586</v>
          </cell>
          <cell r="F240">
            <v>632.04667566432192</v>
          </cell>
          <cell r="K240">
            <v>627.88746298124386</v>
          </cell>
          <cell r="O240">
            <v>628.44568190699488</v>
          </cell>
        </row>
        <row r="241">
          <cell r="B241">
            <v>630.96528580596237</v>
          </cell>
          <cell r="F241">
            <v>632.10168012895656</v>
          </cell>
          <cell r="K241">
            <v>627.88548864758138</v>
          </cell>
          <cell r="O241">
            <v>628.46912856584606</v>
          </cell>
        </row>
        <row r="242">
          <cell r="B242">
            <v>630.9732099468016</v>
          </cell>
          <cell r="F242">
            <v>632.14175285756153</v>
          </cell>
          <cell r="K242">
            <v>627.87462981243834</v>
          </cell>
          <cell r="O242">
            <v>628.4808518952716</v>
          </cell>
        </row>
        <row r="243">
          <cell r="B243">
            <v>630.9596338893781</v>
          </cell>
          <cell r="F243">
            <v>632.18418081281754</v>
          </cell>
          <cell r="K243">
            <v>627.83613030602169</v>
          </cell>
          <cell r="O243">
            <v>628.48866744822192</v>
          </cell>
        </row>
        <row r="244">
          <cell r="B244">
            <v>630.90422337374127</v>
          </cell>
          <cell r="F244">
            <v>632.21462250879244</v>
          </cell>
          <cell r="K244">
            <v>627.75913129318849</v>
          </cell>
          <cell r="O244">
            <v>628.48769050410317</v>
          </cell>
        </row>
        <row r="245">
          <cell r="B245">
            <v>630.85079176240879</v>
          </cell>
          <cell r="F245">
            <v>632.23621903087155</v>
          </cell>
          <cell r="K245">
            <v>627.68410661401788</v>
          </cell>
          <cell r="O245">
            <v>628.47792106291524</v>
          </cell>
        </row>
        <row r="246">
          <cell r="B246">
            <v>630.79652419834156</v>
          </cell>
          <cell r="F246">
            <v>632.25584890582263</v>
          </cell>
          <cell r="K246">
            <v>627.60513326752221</v>
          </cell>
          <cell r="O246">
            <v>628.46619773348971</v>
          </cell>
        </row>
        <row r="247">
          <cell r="B247">
            <v>630.68454052208301</v>
          </cell>
          <cell r="F247">
            <v>632.27684768464246</v>
          </cell>
          <cell r="K247">
            <v>627.47186574531099</v>
          </cell>
          <cell r="O247">
            <v>628.44958968347021</v>
          </cell>
        </row>
        <row r="248">
          <cell r="B248">
            <v>630.61719902385983</v>
          </cell>
          <cell r="F248">
            <v>632.28743503810085</v>
          </cell>
          <cell r="K248">
            <v>627.3830207305034</v>
          </cell>
          <cell r="O248">
            <v>628.43200468933185</v>
          </cell>
        </row>
        <row r="249">
          <cell r="B249">
            <v>630.51809801827244</v>
          </cell>
          <cell r="F249">
            <v>632.29723093493556</v>
          </cell>
          <cell r="K249">
            <v>627.2625863770977</v>
          </cell>
          <cell r="O249">
            <v>628.41051191871827</v>
          </cell>
        </row>
        <row r="250">
          <cell r="B250">
            <v>630.40311138536038</v>
          </cell>
          <cell r="F250">
            <v>632.30426838608821</v>
          </cell>
          <cell r="K250">
            <v>627.12635735439289</v>
          </cell>
          <cell r="O250">
            <v>628.38315748339187</v>
          </cell>
        </row>
        <row r="251">
          <cell r="B251">
            <v>630.31824601729522</v>
          </cell>
          <cell r="F251">
            <v>632.3061948710432</v>
          </cell>
          <cell r="K251">
            <v>627.03257650542946</v>
          </cell>
          <cell r="O251">
            <v>628.35384915982797</v>
          </cell>
        </row>
        <row r="252">
          <cell r="B252">
            <v>629.17725971155971</v>
          </cell>
          <cell r="F252">
            <v>632.31303411488864</v>
          </cell>
          <cell r="K252">
            <v>625.79170779861795</v>
          </cell>
          <cell r="O252">
            <v>628.32942555685815</v>
          </cell>
        </row>
        <row r="253">
          <cell r="B253">
            <v>616.27573518396844</v>
          </cell>
          <cell r="F253">
            <v>632.31692135599837</v>
          </cell>
          <cell r="K253">
            <v>612.74629812438297</v>
          </cell>
          <cell r="O253">
            <v>628.30207112153187</v>
          </cell>
        </row>
        <row r="254">
          <cell r="B254">
            <v>593.41355668272456</v>
          </cell>
          <cell r="F254">
            <v>632.31903103263005</v>
          </cell>
          <cell r="K254">
            <v>589.6544916090819</v>
          </cell>
          <cell r="O254">
            <v>628.26983196561162</v>
          </cell>
        </row>
        <row r="255">
          <cell r="B255">
            <v>593.55854357457054</v>
          </cell>
          <cell r="F255">
            <v>632.31485478702621</v>
          </cell>
          <cell r="K255">
            <v>589.70187561697924</v>
          </cell>
          <cell r="O255">
            <v>628.23759280969125</v>
          </cell>
        </row>
        <row r="256">
          <cell r="B256">
            <v>593.96559349195468</v>
          </cell>
          <cell r="F256">
            <v>632.3128333333334</v>
          </cell>
          <cell r="K256">
            <v>590.07403751233971</v>
          </cell>
          <cell r="O256">
            <v>628.20437670965225</v>
          </cell>
        </row>
        <row r="257">
          <cell r="B257">
            <v>594.63290328338599</v>
          </cell>
          <cell r="F257">
            <v>632.3168995750292</v>
          </cell>
          <cell r="K257">
            <v>590.69002961500496</v>
          </cell>
          <cell r="O257">
            <v>628.17409144196949</v>
          </cell>
        </row>
        <row r="258">
          <cell r="B258">
            <v>595.69160419104651</v>
          </cell>
          <cell r="F258">
            <v>632.32096248534583</v>
          </cell>
          <cell r="K258">
            <v>591.65942744323797</v>
          </cell>
          <cell r="O258">
            <v>628.14380617428685</v>
          </cell>
        </row>
        <row r="259">
          <cell r="B259">
            <v>596.73365892338597</v>
          </cell>
          <cell r="F259">
            <v>632.317757444314</v>
          </cell>
          <cell r="K259">
            <v>592.60908193484704</v>
          </cell>
          <cell r="O259">
            <v>628.11254396248523</v>
          </cell>
        </row>
        <row r="260">
          <cell r="B260">
            <v>597.63181737789728</v>
          </cell>
          <cell r="F260">
            <v>632.32673163345066</v>
          </cell>
          <cell r="K260">
            <v>593.41263573543927</v>
          </cell>
          <cell r="O260">
            <v>628.08714341539667</v>
          </cell>
        </row>
        <row r="261">
          <cell r="B261">
            <v>598.48251313619949</v>
          </cell>
          <cell r="F261">
            <v>632.33471943630332</v>
          </cell>
          <cell r="K261">
            <v>594.17472852912147</v>
          </cell>
          <cell r="O261">
            <v>628.06076592418924</v>
          </cell>
        </row>
        <row r="262">
          <cell r="B262">
            <v>599.23595580167819</v>
          </cell>
          <cell r="F262">
            <v>632.34035853849161</v>
          </cell>
          <cell r="K262">
            <v>594.83711747285292</v>
          </cell>
          <cell r="O262">
            <v>628.0382962094568</v>
          </cell>
        </row>
        <row r="263">
          <cell r="B263">
            <v>599.90503513770989</v>
          </cell>
          <cell r="F263">
            <v>632.35602149277054</v>
          </cell>
          <cell r="K263">
            <v>595.40967423494578</v>
          </cell>
          <cell r="O263">
            <v>628.02266510355605</v>
          </cell>
        </row>
        <row r="264">
          <cell r="B264">
            <v>600.40223234683117</v>
          </cell>
          <cell r="F264">
            <v>632.3854551582649</v>
          </cell>
          <cell r="K264">
            <v>595.83218163869685</v>
          </cell>
          <cell r="O264">
            <v>628.02071121531844</v>
          </cell>
        </row>
        <row r="265">
          <cell r="B265">
            <v>600.51560504463976</v>
          </cell>
          <cell r="F265">
            <v>632.42079132473611</v>
          </cell>
          <cell r="K265">
            <v>595.92694965449164</v>
          </cell>
          <cell r="O265">
            <v>628.02461899179366</v>
          </cell>
        </row>
        <row r="266">
          <cell r="B266">
            <v>601.00196561914117</v>
          </cell>
          <cell r="F266">
            <v>632.46025186107852</v>
          </cell>
          <cell r="K266">
            <v>596.32082922013819</v>
          </cell>
          <cell r="O266">
            <v>628.02950371238762</v>
          </cell>
        </row>
        <row r="267">
          <cell r="B267">
            <v>601.44167447449161</v>
          </cell>
          <cell r="F267">
            <v>632.496572762798</v>
          </cell>
          <cell r="K267">
            <v>596.66535044422506</v>
          </cell>
          <cell r="O267">
            <v>628.0343884329817</v>
          </cell>
        </row>
        <row r="268">
          <cell r="B268">
            <v>601.7610670231096</v>
          </cell>
          <cell r="F268">
            <v>632.53289415298946</v>
          </cell>
          <cell r="K268">
            <v>596.88746298124386</v>
          </cell>
          <cell r="O268">
            <v>628.03927315357566</v>
          </cell>
        </row>
        <row r="269">
          <cell r="B269">
            <v>601.98796570474826</v>
          </cell>
          <cell r="F269">
            <v>632.56509183274727</v>
          </cell>
          <cell r="K269">
            <v>597.03553800592306</v>
          </cell>
          <cell r="O269">
            <v>628.04318093005088</v>
          </cell>
        </row>
        <row r="270">
          <cell r="B270">
            <v>602.02877147550839</v>
          </cell>
          <cell r="F270">
            <v>632.59846204572091</v>
          </cell>
          <cell r="K270">
            <v>597.06120434353409</v>
          </cell>
          <cell r="O270">
            <v>628.04513481828837</v>
          </cell>
        </row>
        <row r="271">
          <cell r="B271">
            <v>602.22684087136224</v>
          </cell>
          <cell r="F271">
            <v>632.63300452813587</v>
          </cell>
          <cell r="K271">
            <v>597.15992102665348</v>
          </cell>
          <cell r="O271">
            <v>628.04513481828837</v>
          </cell>
        </row>
        <row r="272">
          <cell r="B272">
            <v>602.35026608443241</v>
          </cell>
          <cell r="F272">
            <v>632.65554961899181</v>
          </cell>
          <cell r="K272">
            <v>597.18756169792698</v>
          </cell>
          <cell r="O272">
            <v>628.03634232121919</v>
          </cell>
        </row>
        <row r="273">
          <cell r="B273">
            <v>602.41693618722616</v>
          </cell>
          <cell r="F273">
            <v>632.66511195779606</v>
          </cell>
          <cell r="K273">
            <v>597.15893385982235</v>
          </cell>
          <cell r="O273">
            <v>628.01778038296209</v>
          </cell>
        </row>
        <row r="274">
          <cell r="B274">
            <v>602.39893286688061</v>
          </cell>
          <cell r="F274">
            <v>632.66206506447827</v>
          </cell>
          <cell r="K274">
            <v>597.04343534057261</v>
          </cell>
          <cell r="O274">
            <v>627.98358733880423</v>
          </cell>
        </row>
        <row r="275">
          <cell r="B275">
            <v>602.40689248185595</v>
          </cell>
          <cell r="F275">
            <v>632.65231173798361</v>
          </cell>
          <cell r="K275">
            <v>597.04244817374138</v>
          </cell>
          <cell r="O275">
            <v>627.93962485345833</v>
          </cell>
        </row>
        <row r="276">
          <cell r="B276">
            <v>602.37192577035535</v>
          </cell>
          <cell r="F276">
            <v>632.62741573856965</v>
          </cell>
          <cell r="K276">
            <v>596.91905231984208</v>
          </cell>
          <cell r="O276">
            <v>627.88686987104336</v>
          </cell>
        </row>
        <row r="277">
          <cell r="B277">
            <v>602.24125748614995</v>
          </cell>
          <cell r="F277">
            <v>632.59777921062926</v>
          </cell>
          <cell r="K277">
            <v>596.69200394866732</v>
          </cell>
          <cell r="O277">
            <v>627.82629933567807</v>
          </cell>
        </row>
        <row r="278">
          <cell r="B278">
            <v>602.07960767567613</v>
          </cell>
          <cell r="F278">
            <v>632.55946238276681</v>
          </cell>
          <cell r="K278">
            <v>596.42843040473838</v>
          </cell>
          <cell r="O278">
            <v>627.75400547088714</v>
          </cell>
        </row>
        <row r="279">
          <cell r="B279">
            <v>601.85608019316874</v>
          </cell>
          <cell r="F279">
            <v>632.50600058616646</v>
          </cell>
          <cell r="K279">
            <v>596.10661401776895</v>
          </cell>
          <cell r="O279">
            <v>627.67291910902691</v>
          </cell>
        </row>
        <row r="280">
          <cell r="B280">
            <v>601.75823022824284</v>
          </cell>
          <cell r="F280">
            <v>632.44465540738565</v>
          </cell>
          <cell r="K280">
            <v>595.95952615992098</v>
          </cell>
          <cell r="O280">
            <v>627.58401719421647</v>
          </cell>
        </row>
        <row r="281">
          <cell r="B281">
            <v>601.67130920728539</v>
          </cell>
          <cell r="F281">
            <v>632.3846543571708</v>
          </cell>
          <cell r="K281">
            <v>595.82033563672269</v>
          </cell>
          <cell r="O281">
            <v>627.49023055881207</v>
          </cell>
        </row>
        <row r="282">
          <cell r="B282">
            <v>601.51735932803558</v>
          </cell>
          <cell r="F282">
            <v>632.31775066432192</v>
          </cell>
          <cell r="K282">
            <v>595.5676209279369</v>
          </cell>
          <cell r="O282">
            <v>627.38960531457599</v>
          </cell>
        </row>
        <row r="283">
          <cell r="B283">
            <v>601.50589043435343</v>
          </cell>
          <cell r="F283">
            <v>632.24456301289558</v>
          </cell>
          <cell r="K283">
            <v>595.45310957551828</v>
          </cell>
          <cell r="O283">
            <v>627.2889800703399</v>
          </cell>
        </row>
        <row r="284">
          <cell r="B284">
            <v>601.65201368213229</v>
          </cell>
          <cell r="F284">
            <v>632.16939689331775</v>
          </cell>
          <cell r="K284">
            <v>595.50049358341562</v>
          </cell>
          <cell r="O284">
            <v>627.18640093786632</v>
          </cell>
        </row>
        <row r="285">
          <cell r="B285">
            <v>601.83705612537017</v>
          </cell>
          <cell r="F285">
            <v>632.10049237983583</v>
          </cell>
          <cell r="K285">
            <v>595.5863770977295</v>
          </cell>
          <cell r="O285">
            <v>627.08382180539263</v>
          </cell>
        </row>
        <row r="286">
          <cell r="B286">
            <v>601.88782849950633</v>
          </cell>
          <cell r="F286">
            <v>632.02468288882369</v>
          </cell>
          <cell r="K286">
            <v>595.61599210266536</v>
          </cell>
          <cell r="O286">
            <v>626.97440406408748</v>
          </cell>
        </row>
        <row r="287">
          <cell r="B287">
            <v>602.07899524185575</v>
          </cell>
          <cell r="F287">
            <v>631.93354927217672</v>
          </cell>
          <cell r="K287">
            <v>595.7285291214215</v>
          </cell>
          <cell r="O287">
            <v>626.85912465806962</v>
          </cell>
        </row>
        <row r="288">
          <cell r="B288">
            <v>602.34790921026661</v>
          </cell>
          <cell r="F288">
            <v>631.84491324736223</v>
          </cell>
          <cell r="K288">
            <v>595.89437314906229</v>
          </cell>
          <cell r="O288">
            <v>626.73700664321996</v>
          </cell>
        </row>
        <row r="289">
          <cell r="B289">
            <v>602.57794258144122</v>
          </cell>
          <cell r="F289">
            <v>631.74722098475968</v>
          </cell>
          <cell r="K289">
            <v>596.01875616979271</v>
          </cell>
          <cell r="O289">
            <v>626.6090269636577</v>
          </cell>
        </row>
        <row r="290">
          <cell r="B290">
            <v>602.75812344521216</v>
          </cell>
          <cell r="F290">
            <v>631.64342852188361</v>
          </cell>
          <cell r="K290">
            <v>596.09674234945703</v>
          </cell>
          <cell r="O290">
            <v>626.47811645173897</v>
          </cell>
        </row>
        <row r="291">
          <cell r="B291">
            <v>602.91438436327735</v>
          </cell>
          <cell r="F291">
            <v>631.53568410511912</v>
          </cell>
          <cell r="K291">
            <v>596.1539980256664</v>
          </cell>
          <cell r="O291">
            <v>626.34329816334503</v>
          </cell>
        </row>
        <row r="292">
          <cell r="B292">
            <v>603.09361581441271</v>
          </cell>
          <cell r="F292">
            <v>631.42532376905046</v>
          </cell>
          <cell r="K292">
            <v>596.23099703849959</v>
          </cell>
          <cell r="O292">
            <v>626.19968737788201</v>
          </cell>
        </row>
        <row r="293">
          <cell r="B293">
            <v>603.1840193385982</v>
          </cell>
          <cell r="F293">
            <v>631.30787677315345</v>
          </cell>
          <cell r="K293">
            <v>596.22606120434352</v>
          </cell>
          <cell r="O293">
            <v>626.05216881594367</v>
          </cell>
        </row>
        <row r="294">
          <cell r="B294">
            <v>603.31432925468914</v>
          </cell>
          <cell r="F294">
            <v>631.17627450175837</v>
          </cell>
          <cell r="K294">
            <v>596.25172754195466</v>
          </cell>
          <cell r="O294">
            <v>625.89683470105501</v>
          </cell>
        </row>
        <row r="295">
          <cell r="B295">
            <v>603.33776789239892</v>
          </cell>
          <cell r="F295">
            <v>631.04697628468159</v>
          </cell>
          <cell r="K295">
            <v>596.17472852912147</v>
          </cell>
          <cell r="O295">
            <v>625.73759280969136</v>
          </cell>
        </row>
        <row r="296">
          <cell r="B296">
            <v>603.35516803553799</v>
          </cell>
          <cell r="F296">
            <v>630.91881946072692</v>
          </cell>
          <cell r="K296">
            <v>596.08884501480748</v>
          </cell>
          <cell r="O296">
            <v>625.57639703008999</v>
          </cell>
        </row>
        <row r="297">
          <cell r="B297">
            <v>603.35713208292202</v>
          </cell>
          <cell r="F297">
            <v>630.78323432981642</v>
          </cell>
          <cell r="K297">
            <v>596.08489634748275</v>
          </cell>
          <cell r="O297">
            <v>625.41715513872612</v>
          </cell>
        </row>
        <row r="298">
          <cell r="B298">
            <v>603.41051429911158</v>
          </cell>
          <cell r="F298">
            <v>630.65157792106299</v>
          </cell>
          <cell r="K298">
            <v>596.04047384007902</v>
          </cell>
          <cell r="O298">
            <v>625.26182102383746</v>
          </cell>
        </row>
        <row r="299">
          <cell r="B299">
            <v>603.43191547383992</v>
          </cell>
          <cell r="F299">
            <v>630.52928568288394</v>
          </cell>
          <cell r="K299">
            <v>595.96742349457054</v>
          </cell>
          <cell r="O299">
            <v>625.1064869089488</v>
          </cell>
        </row>
        <row r="300">
          <cell r="B300">
            <v>603.51925346495568</v>
          </cell>
          <cell r="F300">
            <v>630.40188066627593</v>
          </cell>
          <cell r="K300">
            <v>595.9565646594275</v>
          </cell>
          <cell r="O300">
            <v>624.94919890582253</v>
          </cell>
        </row>
        <row r="301">
          <cell r="B301">
            <v>603.60356843040472</v>
          </cell>
          <cell r="F301">
            <v>630.26919750879256</v>
          </cell>
          <cell r="K301">
            <v>595.93978282329704</v>
          </cell>
          <cell r="O301">
            <v>624.79288784681523</v>
          </cell>
        </row>
        <row r="302">
          <cell r="B302">
            <v>603.6638769792695</v>
          </cell>
          <cell r="F302">
            <v>630.14948053927321</v>
          </cell>
          <cell r="K302">
            <v>595.89930898321813</v>
          </cell>
          <cell r="O302">
            <v>624.64634622899575</v>
          </cell>
        </row>
        <row r="303">
          <cell r="B303">
            <v>603.67067012833172</v>
          </cell>
          <cell r="F303">
            <v>630.0348440797186</v>
          </cell>
          <cell r="K303">
            <v>595.8766041461007</v>
          </cell>
          <cell r="O303">
            <v>624.50175849941377</v>
          </cell>
        </row>
        <row r="304">
          <cell r="B304">
            <v>603.70014559723575</v>
          </cell>
          <cell r="F304">
            <v>629.92594216979285</v>
          </cell>
          <cell r="K304">
            <v>595.83218163869685</v>
          </cell>
          <cell r="O304">
            <v>624.36596326690108</v>
          </cell>
        </row>
        <row r="305">
          <cell r="B305">
            <v>603.77142596248757</v>
          </cell>
          <cell r="F305">
            <v>629.81784961899177</v>
          </cell>
          <cell r="K305">
            <v>595.8025666337611</v>
          </cell>
          <cell r="O305">
            <v>624.2340758108636</v>
          </cell>
        </row>
        <row r="306">
          <cell r="B306">
            <v>603.87773765054317</v>
          </cell>
          <cell r="F306">
            <v>629.71779566236819</v>
          </cell>
          <cell r="K306">
            <v>595.81046396841077</v>
          </cell>
          <cell r="O306">
            <v>624.10707307542009</v>
          </cell>
        </row>
        <row r="307">
          <cell r="B307">
            <v>603.99706099210266</v>
          </cell>
          <cell r="F307">
            <v>629.62085017584991</v>
          </cell>
          <cell r="K307">
            <v>595.83119447186573</v>
          </cell>
          <cell r="O307">
            <v>623.98007033997658</v>
          </cell>
        </row>
        <row r="308">
          <cell r="B308">
            <v>604.17243926949664</v>
          </cell>
          <cell r="F308">
            <v>629.5165058128174</v>
          </cell>
          <cell r="K308">
            <v>595.9072063178678</v>
          </cell>
          <cell r="O308">
            <v>623.85502149277056</v>
          </cell>
        </row>
        <row r="309">
          <cell r="B309">
            <v>604.26787824284315</v>
          </cell>
          <cell r="F309">
            <v>629.41625719519334</v>
          </cell>
          <cell r="K309">
            <v>595.91905231984208</v>
          </cell>
          <cell r="O309">
            <v>623.73094958968341</v>
          </cell>
        </row>
        <row r="310">
          <cell r="B310">
            <v>604.28775786771962</v>
          </cell>
          <cell r="F310">
            <v>629.3230602579132</v>
          </cell>
          <cell r="K310">
            <v>595.92102665350444</v>
          </cell>
          <cell r="O310">
            <v>623.61078546307147</v>
          </cell>
        </row>
        <row r="311">
          <cell r="B311">
            <v>604.41609669299112</v>
          </cell>
          <cell r="F311">
            <v>629.23265064478323</v>
          </cell>
          <cell r="K311">
            <v>595.94768015794671</v>
          </cell>
          <cell r="O311">
            <v>623.49648300117235</v>
          </cell>
        </row>
        <row r="312">
          <cell r="B312">
            <v>604.54945139190545</v>
          </cell>
          <cell r="F312">
            <v>629.05065965709264</v>
          </cell>
          <cell r="K312">
            <v>595.97926949654504</v>
          </cell>
          <cell r="O312">
            <v>623.26983196561162</v>
          </cell>
        </row>
        <row r="313">
          <cell r="B313">
            <v>604.70482605133282</v>
          </cell>
          <cell r="F313">
            <v>628.95430699491988</v>
          </cell>
          <cell r="K313">
            <v>596.02961500493586</v>
          </cell>
          <cell r="O313">
            <v>623.14966783899956</v>
          </cell>
        </row>
        <row r="314">
          <cell r="B314">
            <v>604.89129582922021</v>
          </cell>
          <cell r="F314">
            <v>628.84989917936696</v>
          </cell>
          <cell r="K314">
            <v>596.11352418558738</v>
          </cell>
          <cell r="O314">
            <v>623.02461899179366</v>
          </cell>
        </row>
        <row r="315">
          <cell r="B315">
            <v>605.05577769990134</v>
          </cell>
          <cell r="F315">
            <v>628.74646872313406</v>
          </cell>
          <cell r="K315">
            <v>596.17867719644619</v>
          </cell>
          <cell r="O315">
            <v>622.90054708870662</v>
          </cell>
        </row>
        <row r="316">
          <cell r="B316">
            <v>605.15657506416585</v>
          </cell>
          <cell r="F316">
            <v>628.64614346424389</v>
          </cell>
          <cell r="K316">
            <v>596.23099703849959</v>
          </cell>
          <cell r="O316">
            <v>622.77647518561946</v>
          </cell>
        </row>
        <row r="317">
          <cell r="B317">
            <v>605.2804027887463</v>
          </cell>
          <cell r="F317">
            <v>628.54565357561546</v>
          </cell>
          <cell r="K317">
            <v>596.30306021717672</v>
          </cell>
          <cell r="O317">
            <v>622.65533411488855</v>
          </cell>
        </row>
        <row r="318">
          <cell r="B318">
            <v>605.45696373149065</v>
          </cell>
          <cell r="F318">
            <v>628.45304496873769</v>
          </cell>
          <cell r="K318">
            <v>596.38005923000992</v>
          </cell>
          <cell r="O318">
            <v>622.54200859710818</v>
          </cell>
        </row>
        <row r="319">
          <cell r="B319">
            <v>605.70970460019748</v>
          </cell>
          <cell r="F319">
            <v>628.36255431320831</v>
          </cell>
          <cell r="K319">
            <v>596.52912142152024</v>
          </cell>
          <cell r="O319">
            <v>622.42770613520906</v>
          </cell>
        </row>
        <row r="320">
          <cell r="B320">
            <v>605.92337319348474</v>
          </cell>
          <cell r="F320">
            <v>628.26894294646354</v>
          </cell>
          <cell r="K320">
            <v>596.63672260612043</v>
          </cell>
          <cell r="O320">
            <v>622.31340367330995</v>
          </cell>
        </row>
        <row r="321">
          <cell r="B321">
            <v>606.12115815893389</v>
          </cell>
          <cell r="F321">
            <v>628.17433725087938</v>
          </cell>
          <cell r="K321">
            <v>596.74333662388949</v>
          </cell>
          <cell r="O321">
            <v>622.19812426729197</v>
          </cell>
        </row>
        <row r="322">
          <cell r="B322">
            <v>606.32088362783793</v>
          </cell>
          <cell r="F322">
            <v>628.08465529503724</v>
          </cell>
          <cell r="K322">
            <v>596.84007897334641</v>
          </cell>
          <cell r="O322">
            <v>622.08772958186796</v>
          </cell>
        </row>
        <row r="323">
          <cell r="B323">
            <v>606.410778124383</v>
          </cell>
          <cell r="F323">
            <v>628.00498030480639</v>
          </cell>
          <cell r="K323">
            <v>596.88450148075026</v>
          </cell>
          <cell r="O323">
            <v>621.98417350527541</v>
          </cell>
        </row>
        <row r="324">
          <cell r="B324">
            <v>606.52465405231987</v>
          </cell>
          <cell r="F324">
            <v>627.8538855803049</v>
          </cell>
          <cell r="K324">
            <v>596.94076999012839</v>
          </cell>
          <cell r="O324">
            <v>621.79757717858547</v>
          </cell>
        </row>
        <row r="325">
          <cell r="B325">
            <v>606.78263062685096</v>
          </cell>
          <cell r="F325">
            <v>627.79278302071123</v>
          </cell>
          <cell r="K325">
            <v>597.09476801579478</v>
          </cell>
          <cell r="O325">
            <v>621.71551387260649</v>
          </cell>
        </row>
        <row r="326">
          <cell r="B326">
            <v>606.97441421520227</v>
          </cell>
          <cell r="F326">
            <v>627.6821030969129</v>
          </cell>
          <cell r="K326">
            <v>597.18065153010855</v>
          </cell>
          <cell r="O326">
            <v>621.56897225478701</v>
          </cell>
        </row>
        <row r="327">
          <cell r="B327">
            <v>607.13418803553793</v>
          </cell>
          <cell r="F327">
            <v>627.5993254689331</v>
          </cell>
          <cell r="K327">
            <v>597.243830207305</v>
          </cell>
          <cell r="O327">
            <v>621.443923407581</v>
          </cell>
        </row>
        <row r="328">
          <cell r="B328">
            <v>607.30898828232966</v>
          </cell>
          <cell r="F328">
            <v>627.54766420476756</v>
          </cell>
          <cell r="K328">
            <v>597.31589338598224</v>
          </cell>
          <cell r="O328">
            <v>621.35892926924589</v>
          </cell>
        </row>
        <row r="329">
          <cell r="B329">
            <v>607.46576841559727</v>
          </cell>
          <cell r="F329">
            <v>627.54489058225874</v>
          </cell>
          <cell r="K329">
            <v>597.37314906219149</v>
          </cell>
          <cell r="O329">
            <v>621.33157483391949</v>
          </cell>
        </row>
        <row r="330">
          <cell r="B330">
            <v>607.52259358341564</v>
          </cell>
          <cell r="F330">
            <v>627.54492873681124</v>
          </cell>
          <cell r="K330">
            <v>597.38203356367228</v>
          </cell>
          <cell r="O330">
            <v>621.31008206330591</v>
          </cell>
        </row>
        <row r="331">
          <cell r="B331">
            <v>607.60449530108588</v>
          </cell>
          <cell r="F331">
            <v>627.5683920525596</v>
          </cell>
          <cell r="K331">
            <v>597.41263573543927</v>
          </cell>
          <cell r="O331">
            <v>621.29640484564288</v>
          </cell>
        </row>
        <row r="332">
          <cell r="B332">
            <v>607.77536868213224</v>
          </cell>
          <cell r="F332">
            <v>627.59423075420079</v>
          </cell>
          <cell r="K332">
            <v>597.48371174728527</v>
          </cell>
          <cell r="O332">
            <v>621.29738178976152</v>
          </cell>
        </row>
        <row r="333">
          <cell r="B333">
            <v>607.9773998617967</v>
          </cell>
          <cell r="F333">
            <v>627.65435326299325</v>
          </cell>
          <cell r="K333">
            <v>597.58538993089837</v>
          </cell>
          <cell r="O333">
            <v>621.31692067213748</v>
          </cell>
        </row>
        <row r="334">
          <cell r="B334">
            <v>608.15535667818358</v>
          </cell>
          <cell r="F334">
            <v>627.69682516119576</v>
          </cell>
          <cell r="K334">
            <v>597.66337611056269</v>
          </cell>
          <cell r="O334">
            <v>621.33743649863231</v>
          </cell>
        </row>
        <row r="335">
          <cell r="B335">
            <v>608.35039323790716</v>
          </cell>
          <cell r="F335">
            <v>627.73929849550609</v>
          </cell>
          <cell r="K335">
            <v>597.75518262586377</v>
          </cell>
          <cell r="O335">
            <v>621.35795232512703</v>
          </cell>
        </row>
        <row r="336">
          <cell r="B336">
            <v>608.54244651530109</v>
          </cell>
          <cell r="F336">
            <v>627.8249447342713</v>
          </cell>
          <cell r="K336">
            <v>597.84402764067124</v>
          </cell>
          <cell r="O336">
            <v>621.40582258694815</v>
          </cell>
        </row>
        <row r="337">
          <cell r="B337">
            <v>608.70955722112535</v>
          </cell>
          <cell r="F337">
            <v>627.8774390679954</v>
          </cell>
          <cell r="K337">
            <v>597.9259624876604</v>
          </cell>
          <cell r="O337">
            <v>621.43317702227444</v>
          </cell>
        </row>
        <row r="338">
          <cell r="B338">
            <v>608.74658999999997</v>
          </cell>
          <cell r="F338">
            <v>627.9278153966394</v>
          </cell>
          <cell r="K338">
            <v>597.94471865745311</v>
          </cell>
          <cell r="O338">
            <v>621.46150840171947</v>
          </cell>
        </row>
        <row r="339">
          <cell r="B339">
            <v>608.90450448173749</v>
          </cell>
          <cell r="F339">
            <v>628.02842793083221</v>
          </cell>
          <cell r="K339">
            <v>597.99703849950652</v>
          </cell>
          <cell r="O339">
            <v>621.5211019929659</v>
          </cell>
        </row>
        <row r="340">
          <cell r="B340">
            <v>609.07651211253699</v>
          </cell>
          <cell r="F340">
            <v>628.08882839976559</v>
          </cell>
          <cell r="K340">
            <v>598.06317867719633</v>
          </cell>
          <cell r="O340">
            <v>621.55627198124273</v>
          </cell>
        </row>
        <row r="341">
          <cell r="B341">
            <v>609.25563320829224</v>
          </cell>
          <cell r="F341">
            <v>628.14414923309891</v>
          </cell>
          <cell r="K341">
            <v>598.14215202369201</v>
          </cell>
          <cell r="O341">
            <v>621.58948808128173</v>
          </cell>
        </row>
        <row r="342">
          <cell r="B342">
            <v>609.42670903257658</v>
          </cell>
          <cell r="F342">
            <v>628.19453599062126</v>
          </cell>
          <cell r="K342">
            <v>598.21026653504452</v>
          </cell>
          <cell r="O342">
            <v>621.61781946072676</v>
          </cell>
        </row>
        <row r="343">
          <cell r="B343">
            <v>609.56567354392894</v>
          </cell>
          <cell r="F343">
            <v>628.25114119284876</v>
          </cell>
          <cell r="K343">
            <v>598.25271470878579</v>
          </cell>
          <cell r="O343">
            <v>621.64615084017191</v>
          </cell>
        </row>
        <row r="344">
          <cell r="B344">
            <v>609.72575106120428</v>
          </cell>
          <cell r="F344">
            <v>628.30464057248923</v>
          </cell>
          <cell r="K344">
            <v>598.31293188548864</v>
          </cell>
          <cell r="O344">
            <v>621.67448221961706</v>
          </cell>
        </row>
        <row r="345">
          <cell r="B345">
            <v>609.77374904244834</v>
          </cell>
          <cell r="F345">
            <v>628.35305890973041</v>
          </cell>
          <cell r="K345">
            <v>598.32773938795663</v>
          </cell>
          <cell r="O345">
            <v>621.7008597108246</v>
          </cell>
        </row>
        <row r="346">
          <cell r="B346">
            <v>609.86972318361313</v>
          </cell>
          <cell r="F346">
            <v>628.41065868991802</v>
          </cell>
          <cell r="K346">
            <v>598.35439289239889</v>
          </cell>
          <cell r="O346">
            <v>621.7301680343885</v>
          </cell>
        </row>
        <row r="347">
          <cell r="B347">
            <v>610.03786138696933</v>
          </cell>
          <cell r="F347">
            <v>628.46218986908946</v>
          </cell>
          <cell r="K347">
            <v>598.41954590325759</v>
          </cell>
          <cell r="O347">
            <v>621.75654552559593</v>
          </cell>
        </row>
        <row r="348">
          <cell r="B348">
            <v>610.18591889437312</v>
          </cell>
          <cell r="F348">
            <v>628.51160175849941</v>
          </cell>
          <cell r="K348">
            <v>598.46791707798616</v>
          </cell>
          <cell r="O348">
            <v>621.78389996092221</v>
          </cell>
        </row>
        <row r="349">
          <cell r="B349">
            <v>610.3611448667325</v>
          </cell>
          <cell r="F349">
            <v>628.55819929660038</v>
          </cell>
          <cell r="K349">
            <v>598.5399802566634</v>
          </cell>
          <cell r="O349">
            <v>621.80539273153579</v>
          </cell>
        </row>
        <row r="350">
          <cell r="B350">
            <v>610.51024527640664</v>
          </cell>
          <cell r="F350">
            <v>628.60282336850332</v>
          </cell>
          <cell r="K350">
            <v>598.58933859822309</v>
          </cell>
          <cell r="O350">
            <v>621.82493161391176</v>
          </cell>
        </row>
        <row r="351">
          <cell r="B351">
            <v>610.6542992152024</v>
          </cell>
          <cell r="F351">
            <v>628.6444861078545</v>
          </cell>
          <cell r="K351">
            <v>598.63079960513335</v>
          </cell>
          <cell r="O351">
            <v>621.84153966393114</v>
          </cell>
        </row>
        <row r="352">
          <cell r="B352">
            <v>610.79940251727544</v>
          </cell>
          <cell r="F352">
            <v>628.68501621727228</v>
          </cell>
          <cell r="K352">
            <v>598.67620927936821</v>
          </cell>
          <cell r="O352">
            <v>621.86010160218825</v>
          </cell>
        </row>
        <row r="353">
          <cell r="B353">
            <v>610.81039700394865</v>
          </cell>
          <cell r="F353">
            <v>628.72766931418528</v>
          </cell>
          <cell r="K353">
            <v>598.67818361303057</v>
          </cell>
          <cell r="O353">
            <v>621.87768659632673</v>
          </cell>
        </row>
        <row r="354">
          <cell r="B354">
            <v>610.98576456071078</v>
          </cell>
          <cell r="F354">
            <v>628.76538509671752</v>
          </cell>
          <cell r="K354">
            <v>598.756169792695</v>
          </cell>
          <cell r="O354">
            <v>621.89038686987112</v>
          </cell>
        </row>
        <row r="355">
          <cell r="B355">
            <v>611.14296547384004</v>
          </cell>
          <cell r="F355">
            <v>628.80408967858534</v>
          </cell>
          <cell r="K355">
            <v>598.81046396841066</v>
          </cell>
          <cell r="O355">
            <v>621.90406408753415</v>
          </cell>
        </row>
        <row r="356">
          <cell r="B356">
            <v>611.30323648568617</v>
          </cell>
          <cell r="F356">
            <v>628.84081970984744</v>
          </cell>
          <cell r="K356">
            <v>598.87068114511351</v>
          </cell>
          <cell r="O356">
            <v>621.91578741695969</v>
          </cell>
        </row>
        <row r="357">
          <cell r="B357">
            <v>611.48066036525177</v>
          </cell>
          <cell r="F357">
            <v>628.88066031652988</v>
          </cell>
          <cell r="K357">
            <v>598.94768015794671</v>
          </cell>
          <cell r="O357">
            <v>621.92751074638534</v>
          </cell>
        </row>
        <row r="358">
          <cell r="B358">
            <v>611.63501268509378</v>
          </cell>
          <cell r="F358">
            <v>628.90850113325519</v>
          </cell>
          <cell r="K358">
            <v>599.01085883514315</v>
          </cell>
          <cell r="O358">
            <v>621.93044157874169</v>
          </cell>
        </row>
        <row r="359">
          <cell r="B359">
            <v>611.79937820335635</v>
          </cell>
          <cell r="F359">
            <v>628.93436629542794</v>
          </cell>
          <cell r="K359">
            <v>599.07502467917084</v>
          </cell>
          <cell r="O359">
            <v>621.93141852286044</v>
          </cell>
        </row>
        <row r="360">
          <cell r="B360">
            <v>611.98194333662389</v>
          </cell>
          <cell r="F360">
            <v>628.96334119773348</v>
          </cell>
          <cell r="K360">
            <v>599.15992102665348</v>
          </cell>
          <cell r="O360">
            <v>621.9323954669793</v>
          </cell>
        </row>
        <row r="361">
          <cell r="B361">
            <v>612.18369618953602</v>
          </cell>
          <cell r="F361">
            <v>628.99231618796398</v>
          </cell>
          <cell r="K361">
            <v>599.26357354392894</v>
          </cell>
          <cell r="O361">
            <v>621.93337241109805</v>
          </cell>
        </row>
        <row r="362">
          <cell r="B362">
            <v>612.3239571174729</v>
          </cell>
          <cell r="F362">
            <v>629.01719352286045</v>
          </cell>
          <cell r="K362">
            <v>599.30700888450156</v>
          </cell>
          <cell r="O362">
            <v>621.93337241109805</v>
          </cell>
        </row>
        <row r="363">
          <cell r="B363">
            <v>612.46019688055276</v>
          </cell>
          <cell r="F363">
            <v>629.04221617819462</v>
          </cell>
          <cell r="K363">
            <v>599.34649555774922</v>
          </cell>
          <cell r="O363">
            <v>621.93044157874169</v>
          </cell>
        </row>
        <row r="364">
          <cell r="B364">
            <v>612.67615427443241</v>
          </cell>
          <cell r="F364">
            <v>629.06936004298564</v>
          </cell>
          <cell r="K364">
            <v>599.46396841066144</v>
          </cell>
          <cell r="O364">
            <v>621.92653380226659</v>
          </cell>
        </row>
        <row r="365">
          <cell r="B365">
            <v>612.85582230997045</v>
          </cell>
          <cell r="F365">
            <v>629.08223368503332</v>
          </cell>
          <cell r="K365">
            <v>599.54590325765059</v>
          </cell>
          <cell r="O365">
            <v>621.91774130519741</v>
          </cell>
        </row>
        <row r="366">
          <cell r="B366">
            <v>613.01637066633748</v>
          </cell>
          <cell r="F366">
            <v>629.09525154357164</v>
          </cell>
          <cell r="K366">
            <v>599.61204343534052</v>
          </cell>
          <cell r="O366">
            <v>621.90601797577176</v>
          </cell>
        </row>
        <row r="367">
          <cell r="B367">
            <v>613.15874066633762</v>
          </cell>
          <cell r="F367">
            <v>629.10643652794067</v>
          </cell>
          <cell r="K367">
            <v>599.6574531095755</v>
          </cell>
          <cell r="O367">
            <v>621.88940992575226</v>
          </cell>
        </row>
        <row r="368">
          <cell r="B368">
            <v>613.19487008884516</v>
          </cell>
          <cell r="F368">
            <v>629.12453829620938</v>
          </cell>
          <cell r="K368">
            <v>599.67226061204349</v>
          </cell>
          <cell r="O368">
            <v>621.87964048456422</v>
          </cell>
        </row>
        <row r="369">
          <cell r="B369">
            <v>613.33343082428428</v>
          </cell>
          <cell r="F369">
            <v>629.14249492965996</v>
          </cell>
          <cell r="K369">
            <v>599.7344521224087</v>
          </cell>
          <cell r="O369">
            <v>621.87280187573265</v>
          </cell>
        </row>
        <row r="370">
          <cell r="B370">
            <v>613.50104754195456</v>
          </cell>
          <cell r="F370">
            <v>629.1574858050019</v>
          </cell>
          <cell r="K370">
            <v>599.80157946692987</v>
          </cell>
          <cell r="O370">
            <v>621.86303243454472</v>
          </cell>
        </row>
        <row r="371">
          <cell r="B371">
            <v>613.66871668311944</v>
          </cell>
          <cell r="F371">
            <v>629.18165978898003</v>
          </cell>
          <cell r="K371">
            <v>599.87166831194475</v>
          </cell>
          <cell r="O371">
            <v>621.85619382571315</v>
          </cell>
        </row>
        <row r="372">
          <cell r="B372">
            <v>613.86165899308992</v>
          </cell>
          <cell r="F372">
            <v>629.19862610394682</v>
          </cell>
          <cell r="K372">
            <v>599.96643632773942</v>
          </cell>
          <cell r="O372">
            <v>621.84837827276283</v>
          </cell>
        </row>
        <row r="373">
          <cell r="B373">
            <v>614.05258097235935</v>
          </cell>
          <cell r="F373">
            <v>629.22251150840168</v>
          </cell>
          <cell r="K373">
            <v>600.05626850937813</v>
          </cell>
          <cell r="O373">
            <v>621.84740132864397</v>
          </cell>
        </row>
        <row r="374">
          <cell r="B374">
            <v>614.26582080947685</v>
          </cell>
          <cell r="F374">
            <v>629.25656961703805</v>
          </cell>
          <cell r="K374">
            <v>600.17374136229034</v>
          </cell>
          <cell r="O374">
            <v>621.85033216100044</v>
          </cell>
        </row>
        <row r="375">
          <cell r="B375">
            <v>614.46084777393867</v>
          </cell>
          <cell r="F375">
            <v>629.29246186987098</v>
          </cell>
          <cell r="K375">
            <v>600.26752221125366</v>
          </cell>
          <cell r="O375">
            <v>621.85814771395076</v>
          </cell>
        </row>
        <row r="376">
          <cell r="B376">
            <v>614.54742230997044</v>
          </cell>
          <cell r="F376">
            <v>629.32934349355219</v>
          </cell>
          <cell r="K376">
            <v>600.31984205330707</v>
          </cell>
          <cell r="O376">
            <v>621.86694021101994</v>
          </cell>
        </row>
        <row r="377">
          <cell r="B377">
            <v>614.67513853899322</v>
          </cell>
          <cell r="F377">
            <v>629.37116946561162</v>
          </cell>
          <cell r="K377">
            <v>600.38302073050352</v>
          </cell>
          <cell r="O377">
            <v>621.88061742868308</v>
          </cell>
        </row>
        <row r="378">
          <cell r="B378">
            <v>614.83898544422505</v>
          </cell>
          <cell r="F378">
            <v>629.41299666862051</v>
          </cell>
          <cell r="K378">
            <v>600.45508390918064</v>
          </cell>
          <cell r="O378">
            <v>621.89429464634622</v>
          </cell>
        </row>
        <row r="379">
          <cell r="B379">
            <v>615.0362157305035</v>
          </cell>
          <cell r="F379">
            <v>629.45878029992184</v>
          </cell>
          <cell r="K379">
            <v>600.55972359328723</v>
          </cell>
          <cell r="O379">
            <v>621.91187964048459</v>
          </cell>
        </row>
        <row r="380">
          <cell r="B380">
            <v>615.20614726554777</v>
          </cell>
          <cell r="F380">
            <v>629.50640005861669</v>
          </cell>
          <cell r="K380">
            <v>600.63474827245795</v>
          </cell>
          <cell r="O380">
            <v>621.93434935521691</v>
          </cell>
        </row>
        <row r="381">
          <cell r="B381">
            <v>615.35897111549843</v>
          </cell>
          <cell r="F381">
            <v>629.55713139898387</v>
          </cell>
          <cell r="K381">
            <v>600.69891411648564</v>
          </cell>
          <cell r="O381">
            <v>621.95681906994912</v>
          </cell>
        </row>
        <row r="382">
          <cell r="B382">
            <v>615.52796567620931</v>
          </cell>
          <cell r="F382">
            <v>629.60998572684639</v>
          </cell>
          <cell r="K382">
            <v>600.77591312931884</v>
          </cell>
          <cell r="O382">
            <v>621.9783118405627</v>
          </cell>
        </row>
        <row r="383">
          <cell r="B383">
            <v>615.64539404244817</v>
          </cell>
          <cell r="F383">
            <v>629.65662220593993</v>
          </cell>
          <cell r="K383">
            <v>600.8025666337611</v>
          </cell>
          <cell r="O383">
            <v>621.99980461117627</v>
          </cell>
        </row>
        <row r="384">
          <cell r="B384">
            <v>615.76482284304063</v>
          </cell>
          <cell r="F384">
            <v>629.70340346815158</v>
          </cell>
          <cell r="K384">
            <v>600.82823297137224</v>
          </cell>
          <cell r="O384">
            <v>622.01836654943338</v>
          </cell>
        </row>
        <row r="385">
          <cell r="B385">
            <v>615.77184284304042</v>
          </cell>
          <cell r="F385">
            <v>629.75117545916362</v>
          </cell>
          <cell r="K385">
            <v>600.82922013820337</v>
          </cell>
          <cell r="O385">
            <v>622.03790543180924</v>
          </cell>
        </row>
        <row r="386">
          <cell r="B386">
            <v>615.84179295162892</v>
          </cell>
          <cell r="F386">
            <v>629.79993831086369</v>
          </cell>
          <cell r="K386">
            <v>600.81539980256673</v>
          </cell>
          <cell r="O386">
            <v>622.05842125830407</v>
          </cell>
        </row>
        <row r="387">
          <cell r="B387">
            <v>615.92483123395857</v>
          </cell>
          <cell r="F387">
            <v>629.84757089683467</v>
          </cell>
          <cell r="K387">
            <v>600.8084896347483</v>
          </cell>
          <cell r="O387">
            <v>622.08089097303628</v>
          </cell>
        </row>
        <row r="388">
          <cell r="B388">
            <v>615.94508124876609</v>
          </cell>
          <cell r="F388">
            <v>629.89746955353655</v>
          </cell>
          <cell r="K388">
            <v>600.7374136229023</v>
          </cell>
          <cell r="O388">
            <v>622.0994529112935</v>
          </cell>
        </row>
        <row r="389">
          <cell r="B389">
            <v>615.96331820335638</v>
          </cell>
          <cell r="F389">
            <v>629.94030254005486</v>
          </cell>
          <cell r="K389">
            <v>600.66732477788742</v>
          </cell>
          <cell r="O389">
            <v>622.1141070730755</v>
          </cell>
        </row>
        <row r="390">
          <cell r="B390">
            <v>616.01089527147099</v>
          </cell>
          <cell r="F390">
            <v>629.97592628956625</v>
          </cell>
          <cell r="K390">
            <v>600.62586377097739</v>
          </cell>
          <cell r="O390">
            <v>622.12778429073853</v>
          </cell>
        </row>
        <row r="391">
          <cell r="B391">
            <v>616.07466152023699</v>
          </cell>
          <cell r="F391">
            <v>630.01890448417339</v>
          </cell>
          <cell r="K391">
            <v>600.60019743336625</v>
          </cell>
          <cell r="O391">
            <v>622.13950762016407</v>
          </cell>
        </row>
        <row r="392">
          <cell r="B392">
            <v>616.18092035538007</v>
          </cell>
          <cell r="F392">
            <v>630.06089448515058</v>
          </cell>
          <cell r="K392">
            <v>600.61303060217176</v>
          </cell>
          <cell r="O392">
            <v>622.15025400547097</v>
          </cell>
        </row>
        <row r="393">
          <cell r="B393">
            <v>616.30063423988156</v>
          </cell>
          <cell r="F393">
            <v>630.09680652598684</v>
          </cell>
          <cell r="K393">
            <v>600.66238894373146</v>
          </cell>
          <cell r="O393">
            <v>622.15806955842129</v>
          </cell>
        </row>
        <row r="394">
          <cell r="B394">
            <v>616.33786385982228</v>
          </cell>
          <cell r="F394">
            <v>630.13257678780769</v>
          </cell>
          <cell r="K394">
            <v>600.67818361303057</v>
          </cell>
          <cell r="O394">
            <v>622.16881594372808</v>
          </cell>
        </row>
        <row r="395">
          <cell r="B395">
            <v>616.57077060710753</v>
          </cell>
          <cell r="F395">
            <v>630.17259070926139</v>
          </cell>
          <cell r="K395">
            <v>600.81441263573538</v>
          </cell>
          <cell r="O395">
            <v>622.17760844079714</v>
          </cell>
        </row>
        <row r="396">
          <cell r="B396">
            <v>616.809833662389</v>
          </cell>
          <cell r="F396">
            <v>630.20864732317307</v>
          </cell>
          <cell r="K396">
            <v>600.9595261599211</v>
          </cell>
          <cell r="O396">
            <v>622.18249316139122</v>
          </cell>
        </row>
        <row r="397">
          <cell r="B397">
            <v>617.06309269496535</v>
          </cell>
          <cell r="F397">
            <v>630.23636119577952</v>
          </cell>
          <cell r="K397">
            <v>601.11549851924974</v>
          </cell>
          <cell r="O397">
            <v>622.18835482610393</v>
          </cell>
        </row>
        <row r="398">
          <cell r="B398">
            <v>617.33163680157963</v>
          </cell>
          <cell r="F398">
            <v>630.27439802168828</v>
          </cell>
          <cell r="K398">
            <v>601.28923988154008</v>
          </cell>
          <cell r="O398">
            <v>622.19519343493562</v>
          </cell>
        </row>
        <row r="399">
          <cell r="B399">
            <v>617.60425400296151</v>
          </cell>
          <cell r="F399">
            <v>630.31243553145748</v>
          </cell>
          <cell r="K399">
            <v>601.46396841066144</v>
          </cell>
          <cell r="O399">
            <v>622.20203204376708</v>
          </cell>
        </row>
        <row r="400">
          <cell r="B400">
            <v>617.87996680157949</v>
          </cell>
          <cell r="F400">
            <v>630.3493421258305</v>
          </cell>
          <cell r="K400">
            <v>601.64165844027639</v>
          </cell>
          <cell r="O400">
            <v>622.21082454083637</v>
          </cell>
        </row>
        <row r="401">
          <cell r="B401">
            <v>618.15373954590314</v>
          </cell>
          <cell r="F401">
            <v>630.38299658558026</v>
          </cell>
          <cell r="K401">
            <v>601.82033563672258</v>
          </cell>
          <cell r="O401">
            <v>622.22254787026179</v>
          </cell>
        </row>
        <row r="402">
          <cell r="B402">
            <v>618.32353724086886</v>
          </cell>
          <cell r="F402">
            <v>630.42895479679567</v>
          </cell>
          <cell r="K402">
            <v>601.93583415597243</v>
          </cell>
          <cell r="O402">
            <v>622.2372020320438</v>
          </cell>
        </row>
        <row r="403">
          <cell r="B403">
            <v>618.42962640671271</v>
          </cell>
          <cell r="F403">
            <v>630.47689418229777</v>
          </cell>
          <cell r="K403">
            <v>602.00394866732472</v>
          </cell>
          <cell r="O403">
            <v>622.2538100820633</v>
          </cell>
        </row>
        <row r="404">
          <cell r="B404">
            <v>618.65789700888445</v>
          </cell>
          <cell r="F404">
            <v>630.5207339781166</v>
          </cell>
          <cell r="K404">
            <v>602.14116485686077</v>
          </cell>
          <cell r="O404">
            <v>622.26944118796416</v>
          </cell>
        </row>
        <row r="405">
          <cell r="B405">
            <v>618.89127934353394</v>
          </cell>
          <cell r="F405">
            <v>630.56245369284875</v>
          </cell>
          <cell r="K405">
            <v>602.28331688055277</v>
          </cell>
          <cell r="O405">
            <v>622.28604923798355</v>
          </cell>
        </row>
        <row r="406">
          <cell r="B406">
            <v>619.10951646100693</v>
          </cell>
          <cell r="F406">
            <v>630.61435770808919</v>
          </cell>
          <cell r="K406">
            <v>602.4136229022705</v>
          </cell>
          <cell r="O406">
            <v>622.30656506447838</v>
          </cell>
        </row>
        <row r="407">
          <cell r="B407">
            <v>619.3388888746299</v>
          </cell>
          <cell r="F407">
            <v>630.66216210922232</v>
          </cell>
          <cell r="K407">
            <v>602.54886475814419</v>
          </cell>
          <cell r="O407">
            <v>622.32610394685423</v>
          </cell>
        </row>
        <row r="408">
          <cell r="B408">
            <v>619.56833289239887</v>
          </cell>
          <cell r="F408">
            <v>630.70996826885482</v>
          </cell>
          <cell r="K408">
            <v>602.68706811451136</v>
          </cell>
          <cell r="O408">
            <v>622.34564282923009</v>
          </cell>
        </row>
        <row r="409">
          <cell r="B409">
            <v>619.74399305034558</v>
          </cell>
          <cell r="F409">
            <v>630.76286825908551</v>
          </cell>
          <cell r="K409">
            <v>602.76999012833176</v>
          </cell>
          <cell r="O409">
            <v>622.36713559984366</v>
          </cell>
        </row>
        <row r="410">
          <cell r="B410">
            <v>619.91558652023707</v>
          </cell>
          <cell r="F410">
            <v>630.81279988276674</v>
          </cell>
          <cell r="K410">
            <v>602.84600197433372</v>
          </cell>
          <cell r="O410">
            <v>622.38569753810077</v>
          </cell>
        </row>
        <row r="411">
          <cell r="B411">
            <v>620.0456715103652</v>
          </cell>
          <cell r="F411">
            <v>630.85848974208682</v>
          </cell>
          <cell r="K411">
            <v>602.89042448173745</v>
          </cell>
          <cell r="O411">
            <v>622.4062133645956</v>
          </cell>
        </row>
        <row r="412">
          <cell r="B412">
            <v>620.06083781342556</v>
          </cell>
          <cell r="F412">
            <v>630.91040550996479</v>
          </cell>
          <cell r="K412">
            <v>602.89930898321825</v>
          </cell>
          <cell r="O412">
            <v>622.4267291910902</v>
          </cell>
        </row>
        <row r="413">
          <cell r="B413">
            <v>620.24567496544933</v>
          </cell>
          <cell r="F413">
            <v>630.9583620945682</v>
          </cell>
          <cell r="K413">
            <v>602.98815399802572</v>
          </cell>
          <cell r="O413">
            <v>622.44333724110982</v>
          </cell>
        </row>
        <row r="414">
          <cell r="B414">
            <v>620.44780439289241</v>
          </cell>
          <cell r="F414">
            <v>631.00419839292692</v>
          </cell>
          <cell r="K414">
            <v>603.09378084896343</v>
          </cell>
          <cell r="O414">
            <v>622.46092223524818</v>
          </cell>
        </row>
        <row r="415">
          <cell r="B415">
            <v>620.60933754195446</v>
          </cell>
          <cell r="F415">
            <v>631.04593348964443</v>
          </cell>
          <cell r="K415">
            <v>603.15992102665348</v>
          </cell>
          <cell r="O415">
            <v>622.47753028526768</v>
          </cell>
        </row>
        <row r="416">
          <cell r="B416">
            <v>620.78000262586386</v>
          </cell>
          <cell r="F416">
            <v>631.09092353458379</v>
          </cell>
          <cell r="K416">
            <v>603.23198420533072</v>
          </cell>
          <cell r="O416">
            <v>622.49120750293082</v>
          </cell>
        </row>
        <row r="417">
          <cell r="B417">
            <v>620.86232718163865</v>
          </cell>
          <cell r="F417">
            <v>631.13803697733488</v>
          </cell>
          <cell r="K417">
            <v>603.22112537018756</v>
          </cell>
          <cell r="O417">
            <v>622.5039077764751</v>
          </cell>
        </row>
        <row r="418">
          <cell r="B418">
            <v>620.9415672556762</v>
          </cell>
          <cell r="F418">
            <v>631.17072042790164</v>
          </cell>
          <cell r="K418">
            <v>603.20434353405733</v>
          </cell>
          <cell r="O418">
            <v>622.514654161782</v>
          </cell>
        </row>
        <row r="419">
          <cell r="B419">
            <v>620.94765804540964</v>
          </cell>
          <cell r="F419">
            <v>631.21684572098479</v>
          </cell>
          <cell r="K419">
            <v>603.11944718657446</v>
          </cell>
          <cell r="O419">
            <v>622.52637749120754</v>
          </cell>
        </row>
        <row r="420">
          <cell r="B420">
            <v>620.91502640671274</v>
          </cell>
          <cell r="F420">
            <v>631.2547656701837</v>
          </cell>
          <cell r="K420">
            <v>602.99111549851921</v>
          </cell>
          <cell r="O420">
            <v>622.53614693239547</v>
          </cell>
        </row>
        <row r="421">
          <cell r="B421">
            <v>620.89939581441263</v>
          </cell>
          <cell r="F421">
            <v>631.29381787807733</v>
          </cell>
          <cell r="K421">
            <v>602.94373149062199</v>
          </cell>
          <cell r="O421">
            <v>622.54396248534579</v>
          </cell>
        </row>
        <row r="422">
          <cell r="B422">
            <v>620.85392139684109</v>
          </cell>
          <cell r="F422">
            <v>631.32466392145363</v>
          </cell>
          <cell r="K422">
            <v>602.83810463968416</v>
          </cell>
          <cell r="O422">
            <v>622.54982415005861</v>
          </cell>
        </row>
        <row r="423">
          <cell r="B423">
            <v>620.85777076999011</v>
          </cell>
          <cell r="F423">
            <v>631.36881184056278</v>
          </cell>
          <cell r="K423">
            <v>602.74234945705825</v>
          </cell>
          <cell r="O423">
            <v>622.55959359124654</v>
          </cell>
        </row>
        <row r="424">
          <cell r="B424">
            <v>620.87484633761096</v>
          </cell>
          <cell r="F424">
            <v>631.40687553731937</v>
          </cell>
          <cell r="K424">
            <v>602.66238894373146</v>
          </cell>
          <cell r="O424">
            <v>622.56643220007822</v>
          </cell>
        </row>
        <row r="425">
          <cell r="B425">
            <v>620.89596416584413</v>
          </cell>
          <cell r="F425">
            <v>631.4387141852286</v>
          </cell>
          <cell r="K425">
            <v>602.58637709772961</v>
          </cell>
          <cell r="O425">
            <v>622.57327080890968</v>
          </cell>
        </row>
        <row r="426">
          <cell r="B426">
            <v>620.98013104639688</v>
          </cell>
          <cell r="F426">
            <v>631.47677918132081</v>
          </cell>
          <cell r="K426">
            <v>602.57156959526162</v>
          </cell>
          <cell r="O426">
            <v>622.58010941774137</v>
          </cell>
        </row>
        <row r="427">
          <cell r="B427">
            <v>621.01952358341566</v>
          </cell>
          <cell r="F427">
            <v>631.51781772176639</v>
          </cell>
          <cell r="K427">
            <v>602.51332675222113</v>
          </cell>
          <cell r="O427">
            <v>622.5898788589293</v>
          </cell>
        </row>
        <row r="428">
          <cell r="B428">
            <v>621.13729627344514</v>
          </cell>
          <cell r="F428">
            <v>631.56282124853453</v>
          </cell>
          <cell r="K428">
            <v>602.5340572556762</v>
          </cell>
          <cell r="O428">
            <v>622.60355607659244</v>
          </cell>
        </row>
        <row r="429">
          <cell r="B429">
            <v>621.28056118460017</v>
          </cell>
          <cell r="F429">
            <v>631.59862684642439</v>
          </cell>
          <cell r="K429">
            <v>602.58242843040478</v>
          </cell>
          <cell r="O429">
            <v>622.61430246189923</v>
          </cell>
        </row>
        <row r="430">
          <cell r="B430">
            <v>621.38255321816393</v>
          </cell>
          <cell r="F430">
            <v>631.64773706037522</v>
          </cell>
          <cell r="K430">
            <v>602.62290227048368</v>
          </cell>
          <cell r="O430">
            <v>622.62895662368112</v>
          </cell>
        </row>
        <row r="431">
          <cell r="B431">
            <v>621.43304329713715</v>
          </cell>
          <cell r="F431">
            <v>631.6957179562329</v>
          </cell>
          <cell r="K431">
            <v>602.64264560710751</v>
          </cell>
          <cell r="O431">
            <v>622.64556467370073</v>
          </cell>
        </row>
        <row r="432">
          <cell r="B432">
            <v>621.60696411648576</v>
          </cell>
          <cell r="F432">
            <v>631.74342098964439</v>
          </cell>
          <cell r="K432">
            <v>602.72655478775914</v>
          </cell>
          <cell r="O432">
            <v>622.66803438843294</v>
          </cell>
        </row>
        <row r="433">
          <cell r="B433">
            <v>621.83186130306024</v>
          </cell>
          <cell r="F433">
            <v>631.79027436498632</v>
          </cell>
          <cell r="K433">
            <v>602.86278381046395</v>
          </cell>
          <cell r="O433">
            <v>622.68659632669005</v>
          </cell>
        </row>
        <row r="434">
          <cell r="B434">
            <v>622.08734762092797</v>
          </cell>
          <cell r="F434">
            <v>631.84434774325905</v>
          </cell>
          <cell r="K434">
            <v>603.02862783810463</v>
          </cell>
          <cell r="O434">
            <v>622.70613520906602</v>
          </cell>
        </row>
        <row r="435">
          <cell r="B435">
            <v>622.28298740375124</v>
          </cell>
          <cell r="F435">
            <v>631.89516998827673</v>
          </cell>
          <cell r="K435">
            <v>603.1510365251728</v>
          </cell>
          <cell r="O435">
            <v>622.72860492379834</v>
          </cell>
        </row>
        <row r="436">
          <cell r="B436">
            <v>622.47254378084892</v>
          </cell>
          <cell r="F436">
            <v>631.95293383645947</v>
          </cell>
          <cell r="K436">
            <v>603.26752221125366</v>
          </cell>
          <cell r="O436">
            <v>622.75791324736224</v>
          </cell>
        </row>
        <row r="437">
          <cell r="B437">
            <v>622.69374589338599</v>
          </cell>
          <cell r="F437">
            <v>632.01282284095339</v>
          </cell>
          <cell r="K437">
            <v>603.41757156959534</v>
          </cell>
          <cell r="O437">
            <v>622.78624462680727</v>
          </cell>
        </row>
        <row r="438">
          <cell r="B438">
            <v>622.91498101678178</v>
          </cell>
          <cell r="F438">
            <v>632.07073174579921</v>
          </cell>
          <cell r="K438">
            <v>603.56762092793679</v>
          </cell>
          <cell r="O438">
            <v>622.81262211801493</v>
          </cell>
        </row>
        <row r="439">
          <cell r="B439">
            <v>623.11896576505421</v>
          </cell>
          <cell r="F439">
            <v>632.11930070339963</v>
          </cell>
          <cell r="K439">
            <v>603.7038499506416</v>
          </cell>
          <cell r="O439">
            <v>622.83899960922224</v>
          </cell>
        </row>
        <row r="440">
          <cell r="B440">
            <v>623.22557321816385</v>
          </cell>
          <cell r="F440">
            <v>632.17622293864792</v>
          </cell>
          <cell r="K440">
            <v>603.7778874629812</v>
          </cell>
          <cell r="O440">
            <v>622.86440015631104</v>
          </cell>
        </row>
        <row r="441">
          <cell r="B441">
            <v>623.32105454096734</v>
          </cell>
          <cell r="F441">
            <v>632.23243535560755</v>
          </cell>
          <cell r="K441">
            <v>603.84698914116484</v>
          </cell>
          <cell r="O441">
            <v>622.88296209456814</v>
          </cell>
        </row>
        <row r="442">
          <cell r="B442">
            <v>623.53532359328733</v>
          </cell>
          <cell r="F442">
            <v>632.2824209847596</v>
          </cell>
          <cell r="K442">
            <v>603.99605133267528</v>
          </cell>
          <cell r="O442">
            <v>622.90152403282525</v>
          </cell>
        </row>
        <row r="443">
          <cell r="B443">
            <v>623.76392805528144</v>
          </cell>
          <cell r="F443">
            <v>632.32603974208678</v>
          </cell>
          <cell r="K443">
            <v>604.16189536031595</v>
          </cell>
          <cell r="O443">
            <v>622.92301680343883</v>
          </cell>
        </row>
        <row r="444">
          <cell r="B444">
            <v>624.01203879565639</v>
          </cell>
          <cell r="F444">
            <v>632.37914365963263</v>
          </cell>
          <cell r="K444">
            <v>604.35538005923001</v>
          </cell>
          <cell r="O444">
            <v>622.94157874169593</v>
          </cell>
        </row>
        <row r="445">
          <cell r="B445">
            <v>624.26116452122403</v>
          </cell>
          <cell r="F445">
            <v>632.4243152305587</v>
          </cell>
          <cell r="K445">
            <v>604.54689042448172</v>
          </cell>
          <cell r="O445">
            <v>622.95232512700272</v>
          </cell>
        </row>
        <row r="446">
          <cell r="B446">
            <v>624.43186075024687</v>
          </cell>
          <cell r="F446">
            <v>632.45730729777256</v>
          </cell>
          <cell r="K446">
            <v>604.66535044422506</v>
          </cell>
          <cell r="O446">
            <v>622.95720984759669</v>
          </cell>
        </row>
        <row r="447">
          <cell r="B447">
            <v>624.42732543435352</v>
          </cell>
          <cell r="F447">
            <v>632.49440650644783</v>
          </cell>
          <cell r="K447">
            <v>604.62290227048379</v>
          </cell>
          <cell r="O447">
            <v>622.9630715123094</v>
          </cell>
        </row>
        <row r="448">
          <cell r="B448">
            <v>624.19851702369203</v>
          </cell>
          <cell r="F448">
            <v>632.5346211459555</v>
          </cell>
          <cell r="K448">
            <v>604.36623889437317</v>
          </cell>
          <cell r="O448">
            <v>622.96893317702234</v>
          </cell>
        </row>
        <row r="449">
          <cell r="B449">
            <v>623.92187117472849</v>
          </cell>
          <cell r="F449">
            <v>632.56959867135595</v>
          </cell>
          <cell r="K449">
            <v>604.07206317867724</v>
          </cell>
          <cell r="O449">
            <v>622.97577178585379</v>
          </cell>
        </row>
        <row r="450">
          <cell r="B450">
            <v>623.92775771964466</v>
          </cell>
          <cell r="F450">
            <v>632.60457681223136</v>
          </cell>
          <cell r="K450">
            <v>604.06021717670285</v>
          </cell>
          <cell r="O450">
            <v>622.98261039468548</v>
          </cell>
        </row>
        <row r="451">
          <cell r="B451">
            <v>624.00203784797634</v>
          </cell>
          <cell r="F451">
            <v>632.6436625976944</v>
          </cell>
          <cell r="K451">
            <v>604.12043435340581</v>
          </cell>
          <cell r="O451">
            <v>622.9904259476358</v>
          </cell>
        </row>
        <row r="452">
          <cell r="B452">
            <v>624.40450913129325</v>
          </cell>
          <cell r="F452">
            <v>632.68586415592017</v>
          </cell>
          <cell r="K452">
            <v>604.48667324777887</v>
          </cell>
          <cell r="O452">
            <v>622.99824150058612</v>
          </cell>
        </row>
        <row r="453">
          <cell r="B453">
            <v>624.96299473840088</v>
          </cell>
          <cell r="F453">
            <v>632.72467453106685</v>
          </cell>
          <cell r="K453">
            <v>605.00098716683124</v>
          </cell>
          <cell r="O453">
            <v>623.01191871824938</v>
          </cell>
        </row>
        <row r="454">
          <cell r="B454">
            <v>625.56942487166839</v>
          </cell>
          <cell r="F454">
            <v>632.76957778429085</v>
          </cell>
          <cell r="K454">
            <v>605.55873642645611</v>
          </cell>
          <cell r="O454">
            <v>623.02852676826888</v>
          </cell>
        </row>
        <row r="455">
          <cell r="B455">
            <v>626.17591077986185</v>
          </cell>
          <cell r="F455">
            <v>632.8215668278624</v>
          </cell>
          <cell r="K455">
            <v>606.11648568608098</v>
          </cell>
          <cell r="O455">
            <v>623.04904259476359</v>
          </cell>
        </row>
        <row r="456">
          <cell r="B456">
            <v>626.8120030108588</v>
          </cell>
          <cell r="F456">
            <v>632.8816348769052</v>
          </cell>
          <cell r="K456">
            <v>606.69990128331688</v>
          </cell>
          <cell r="O456">
            <v>623.07444314185238</v>
          </cell>
        </row>
        <row r="457">
          <cell r="B457">
            <v>627.41447761105621</v>
          </cell>
          <cell r="F457">
            <v>632.92838978116447</v>
          </cell>
          <cell r="K457">
            <v>607.24777887462983</v>
          </cell>
          <cell r="O457">
            <v>623.09593591246585</v>
          </cell>
        </row>
        <row r="458">
          <cell r="B458">
            <v>628.00581893879576</v>
          </cell>
          <cell r="F458">
            <v>632.97853868210245</v>
          </cell>
          <cell r="K458">
            <v>607.78775913129323</v>
          </cell>
          <cell r="O458">
            <v>623.1115670183666</v>
          </cell>
        </row>
        <row r="459">
          <cell r="B459">
            <v>628.57270086870687</v>
          </cell>
          <cell r="F459">
            <v>633.02245803048061</v>
          </cell>
          <cell r="K459">
            <v>608.29812438302076</v>
          </cell>
          <cell r="O459">
            <v>623.12719812426735</v>
          </cell>
        </row>
        <row r="460">
          <cell r="B460">
            <v>629.0183208292201</v>
          </cell>
          <cell r="F460">
            <v>633.07048700664313</v>
          </cell>
          <cell r="K460">
            <v>608.70286278381047</v>
          </cell>
          <cell r="O460">
            <v>623.14380617428674</v>
          </cell>
        </row>
        <row r="461">
          <cell r="B461">
            <v>629.11417871668311</v>
          </cell>
          <cell r="F461">
            <v>633.11738694314192</v>
          </cell>
          <cell r="K461">
            <v>608.78973346495559</v>
          </cell>
          <cell r="O461">
            <v>623.16236811254396</v>
          </cell>
        </row>
        <row r="462">
          <cell r="B462">
            <v>629.64648639684117</v>
          </cell>
          <cell r="F462">
            <v>633.16158691871817</v>
          </cell>
          <cell r="K462">
            <v>609.26357354392906</v>
          </cell>
          <cell r="O462">
            <v>623.17213755373189</v>
          </cell>
        </row>
        <row r="463">
          <cell r="B463">
            <v>630.1176447186574</v>
          </cell>
          <cell r="F463">
            <v>633.19586138628358</v>
          </cell>
          <cell r="K463">
            <v>609.67818361303057</v>
          </cell>
          <cell r="O463">
            <v>623.17213755373189</v>
          </cell>
        </row>
        <row r="464">
          <cell r="B464">
            <v>630.60925725567631</v>
          </cell>
          <cell r="F464">
            <v>633.2209260257913</v>
          </cell>
          <cell r="K464">
            <v>610.10957551826266</v>
          </cell>
          <cell r="O464">
            <v>623.16920672137553</v>
          </cell>
        </row>
        <row r="465">
          <cell r="B465">
            <v>631.07746507897332</v>
          </cell>
          <cell r="F465">
            <v>633.24811348182891</v>
          </cell>
          <cell r="K465">
            <v>610.51826258637709</v>
          </cell>
          <cell r="O465">
            <v>623.16529894490031</v>
          </cell>
        </row>
        <row r="466">
          <cell r="B466">
            <v>631.52429711253706</v>
          </cell>
          <cell r="F466">
            <v>633.27345233001165</v>
          </cell>
          <cell r="K466">
            <v>610.90325765054297</v>
          </cell>
          <cell r="O466">
            <v>623.15650644783113</v>
          </cell>
        </row>
        <row r="467">
          <cell r="B467">
            <v>631.9375065745312</v>
          </cell>
          <cell r="F467">
            <v>633.29653012895676</v>
          </cell>
          <cell r="K467">
            <v>611.25271470878579</v>
          </cell>
          <cell r="O467">
            <v>623.15162172723728</v>
          </cell>
        </row>
        <row r="468">
          <cell r="B468">
            <v>632.36098200888455</v>
          </cell>
          <cell r="F468">
            <v>633.32768771004305</v>
          </cell>
          <cell r="K468">
            <v>611.61204343534064</v>
          </cell>
          <cell r="O468">
            <v>623.15162172723728</v>
          </cell>
        </row>
        <row r="469">
          <cell r="B469">
            <v>632.72735706811454</v>
          </cell>
          <cell r="F469">
            <v>633.3609680978899</v>
          </cell>
          <cell r="K469">
            <v>611.91609081934848</v>
          </cell>
          <cell r="O469">
            <v>623.15064478311842</v>
          </cell>
        </row>
        <row r="470">
          <cell r="B470">
            <v>633.06826320829225</v>
          </cell>
          <cell r="F470">
            <v>633.39411163051966</v>
          </cell>
          <cell r="K470">
            <v>612.19545903257654</v>
          </cell>
          <cell r="O470">
            <v>623.15259867135592</v>
          </cell>
        </row>
        <row r="471">
          <cell r="B471">
            <v>633.1070504738401</v>
          </cell>
          <cell r="F471">
            <v>633.42201685228622</v>
          </cell>
          <cell r="K471">
            <v>612.22408687068116</v>
          </cell>
          <cell r="O471">
            <v>623.1555295037125</v>
          </cell>
        </row>
        <row r="472">
          <cell r="B472">
            <v>633.48374294175721</v>
          </cell>
          <cell r="F472">
            <v>633.46920061547473</v>
          </cell>
          <cell r="K472">
            <v>612.53504442250744</v>
          </cell>
          <cell r="O472">
            <v>623.16822977725667</v>
          </cell>
        </row>
        <row r="473">
          <cell r="B473">
            <v>633.8359890424482</v>
          </cell>
          <cell r="F473">
            <v>633.52135150937863</v>
          </cell>
          <cell r="K473">
            <v>612.81638696939785</v>
          </cell>
          <cell r="O473">
            <v>623.18581477139503</v>
          </cell>
        </row>
        <row r="474">
          <cell r="B474">
            <v>634.17706107601191</v>
          </cell>
          <cell r="F474">
            <v>633.5679925361469</v>
          </cell>
          <cell r="K474">
            <v>613.08390918065163</v>
          </cell>
          <cell r="O474">
            <v>623.21023837436496</v>
          </cell>
        </row>
        <row r="475">
          <cell r="B475">
            <v>634.53146219644611</v>
          </cell>
          <cell r="F475">
            <v>633.62398379249703</v>
          </cell>
          <cell r="K475">
            <v>613.36722606120429</v>
          </cell>
          <cell r="O475">
            <v>623.23466197733489</v>
          </cell>
        </row>
        <row r="476">
          <cell r="B476">
            <v>634.873668242843</v>
          </cell>
          <cell r="F476">
            <v>633.68621008206321</v>
          </cell>
          <cell r="K476">
            <v>613.63573543928919</v>
          </cell>
          <cell r="O476">
            <v>623.25908558030471</v>
          </cell>
        </row>
        <row r="477">
          <cell r="B477">
            <v>635.1679131490622</v>
          </cell>
          <cell r="F477">
            <v>633.74021979288784</v>
          </cell>
          <cell r="K477">
            <v>613.86377097729519</v>
          </cell>
          <cell r="O477">
            <v>623.28155529503715</v>
          </cell>
        </row>
        <row r="478">
          <cell r="B478">
            <v>635.46834230009881</v>
          </cell>
          <cell r="F478">
            <v>633.79012184935527</v>
          </cell>
          <cell r="K478">
            <v>614.09180651530119</v>
          </cell>
          <cell r="O478">
            <v>623.30304806565061</v>
          </cell>
        </row>
        <row r="479">
          <cell r="B479">
            <v>635.75348819348471</v>
          </cell>
          <cell r="F479">
            <v>633.84327878077374</v>
          </cell>
          <cell r="K479">
            <v>614.30799605133268</v>
          </cell>
          <cell r="O479">
            <v>623.32161000390772</v>
          </cell>
        </row>
        <row r="480">
          <cell r="B480">
            <v>636.04992380552801</v>
          </cell>
          <cell r="F480">
            <v>633.89643775400543</v>
          </cell>
          <cell r="K480">
            <v>614.53208292201373</v>
          </cell>
          <cell r="O480">
            <v>623.34017194216494</v>
          </cell>
        </row>
        <row r="481">
          <cell r="B481">
            <v>636.18998889437319</v>
          </cell>
          <cell r="F481">
            <v>633.94237164908157</v>
          </cell>
          <cell r="K481">
            <v>614.63474827245807</v>
          </cell>
          <cell r="O481">
            <v>623.35775693630319</v>
          </cell>
        </row>
        <row r="482">
          <cell r="B482">
            <v>636.33210895853904</v>
          </cell>
          <cell r="F482">
            <v>633.99156012114099</v>
          </cell>
          <cell r="K482">
            <v>614.73938795656466</v>
          </cell>
          <cell r="O482">
            <v>623.37241109808519</v>
          </cell>
        </row>
        <row r="483">
          <cell r="B483">
            <v>636.6296599901284</v>
          </cell>
          <cell r="F483">
            <v>634.03478836459556</v>
          </cell>
          <cell r="K483">
            <v>614.96446199407706</v>
          </cell>
          <cell r="O483">
            <v>623.38120359515437</v>
          </cell>
        </row>
        <row r="484">
          <cell r="B484">
            <v>636.94055476801577</v>
          </cell>
          <cell r="F484">
            <v>634.06880262309483</v>
          </cell>
          <cell r="K484">
            <v>615.19940769990126</v>
          </cell>
          <cell r="O484">
            <v>623.38706525986709</v>
          </cell>
        </row>
        <row r="485">
          <cell r="B485">
            <v>637.20857043435342</v>
          </cell>
          <cell r="F485">
            <v>634.10480486518168</v>
          </cell>
          <cell r="K485">
            <v>615.39289239881543</v>
          </cell>
          <cell r="O485">
            <v>623.39488081281752</v>
          </cell>
        </row>
        <row r="486">
          <cell r="B486">
            <v>637.49912983218167</v>
          </cell>
          <cell r="F486">
            <v>634.14902940113313</v>
          </cell>
          <cell r="K486">
            <v>615.60513326752221</v>
          </cell>
          <cell r="O486">
            <v>623.40465025400545</v>
          </cell>
        </row>
        <row r="487">
          <cell r="B487">
            <v>637.79483803060214</v>
          </cell>
          <cell r="F487">
            <v>634.1891441090271</v>
          </cell>
          <cell r="K487">
            <v>615.82527147087865</v>
          </cell>
          <cell r="O487">
            <v>623.41344275107474</v>
          </cell>
        </row>
        <row r="488">
          <cell r="B488">
            <v>638.06811244817368</v>
          </cell>
          <cell r="F488">
            <v>634.22614258499414</v>
          </cell>
          <cell r="K488">
            <v>616.02073050345507</v>
          </cell>
          <cell r="O488">
            <v>623.42223524814381</v>
          </cell>
        </row>
        <row r="489">
          <cell r="B489">
            <v>638.37722320829232</v>
          </cell>
          <cell r="F489">
            <v>634.26725293083246</v>
          </cell>
          <cell r="K489">
            <v>616.25074037512343</v>
          </cell>
          <cell r="O489">
            <v>623.43200468933185</v>
          </cell>
        </row>
        <row r="490">
          <cell r="B490">
            <v>638.66286420533083</v>
          </cell>
          <cell r="F490">
            <v>634.3094935082064</v>
          </cell>
          <cell r="K490">
            <v>616.45804540967436</v>
          </cell>
          <cell r="O490">
            <v>623.43982024228217</v>
          </cell>
        </row>
        <row r="491">
          <cell r="B491">
            <v>638.95059855873649</v>
          </cell>
          <cell r="F491">
            <v>634.34251840562717</v>
          </cell>
          <cell r="K491">
            <v>616.66732477788753</v>
          </cell>
          <cell r="O491">
            <v>623.44470496287613</v>
          </cell>
        </row>
        <row r="492">
          <cell r="B492">
            <v>639.08886543435335</v>
          </cell>
          <cell r="F492">
            <v>634.37753187280191</v>
          </cell>
          <cell r="K492">
            <v>616.76505429417568</v>
          </cell>
          <cell r="O492">
            <v>623.4515435717077</v>
          </cell>
        </row>
        <row r="493">
          <cell r="B493">
            <v>639.23021290720635</v>
          </cell>
          <cell r="F493">
            <v>634.41778642047666</v>
          </cell>
          <cell r="K493">
            <v>616.86574531095766</v>
          </cell>
          <cell r="O493">
            <v>623.45740523642041</v>
          </cell>
        </row>
        <row r="494">
          <cell r="B494">
            <v>639.52215177690039</v>
          </cell>
          <cell r="F494">
            <v>634.46115892926935</v>
          </cell>
          <cell r="K494">
            <v>617.07601184600207</v>
          </cell>
          <cell r="O494">
            <v>623.46326690113324</v>
          </cell>
        </row>
        <row r="495">
          <cell r="B495">
            <v>639.82028027147089</v>
          </cell>
          <cell r="F495">
            <v>634.49007432590849</v>
          </cell>
          <cell r="K495">
            <v>617.29220138203357</v>
          </cell>
          <cell r="O495">
            <v>623.46717467760845</v>
          </cell>
        </row>
        <row r="496">
          <cell r="B496">
            <v>640.12357721125375</v>
          </cell>
          <cell r="F496">
            <v>634.5273478311841</v>
          </cell>
          <cell r="K496">
            <v>617.51332675222113</v>
          </cell>
          <cell r="O496">
            <v>623.47010550996481</v>
          </cell>
        </row>
        <row r="497">
          <cell r="B497">
            <v>640.40543518262575</v>
          </cell>
          <cell r="F497">
            <v>634.56050997459954</v>
          </cell>
          <cell r="K497">
            <v>617.71372161895351</v>
          </cell>
          <cell r="O497">
            <v>623.47205939820253</v>
          </cell>
        </row>
        <row r="498">
          <cell r="B498">
            <v>640.6904118953604</v>
          </cell>
          <cell r="F498">
            <v>634.59480093786647</v>
          </cell>
          <cell r="K498">
            <v>617.91707798617972</v>
          </cell>
          <cell r="O498">
            <v>623.47205939820253</v>
          </cell>
        </row>
        <row r="499">
          <cell r="B499">
            <v>640.99183575518271</v>
          </cell>
          <cell r="F499">
            <v>634.62285718053931</v>
          </cell>
          <cell r="K499">
            <v>618.13326752221133</v>
          </cell>
          <cell r="O499">
            <v>623.47205939820253</v>
          </cell>
        </row>
        <row r="500">
          <cell r="B500">
            <v>641.28614709279384</v>
          </cell>
          <cell r="F500">
            <v>634.66125997948416</v>
          </cell>
          <cell r="K500">
            <v>618.34254689042461</v>
          </cell>
          <cell r="O500">
            <v>623.47303634232117</v>
          </cell>
        </row>
        <row r="501">
          <cell r="B501">
            <v>641.58358250740378</v>
          </cell>
          <cell r="F501">
            <v>634.69754005470895</v>
          </cell>
          <cell r="K501">
            <v>618.55478775913127</v>
          </cell>
          <cell r="O501">
            <v>623.47499023055889</v>
          </cell>
        </row>
        <row r="502">
          <cell r="B502">
            <v>641.88516715202377</v>
          </cell>
          <cell r="F502">
            <v>634.72758557542011</v>
          </cell>
          <cell r="K502">
            <v>618.77097729516299</v>
          </cell>
          <cell r="O502">
            <v>623.47694411879638</v>
          </cell>
        </row>
        <row r="503">
          <cell r="B503">
            <v>642.05754130306025</v>
          </cell>
          <cell r="F503">
            <v>634.76771101992961</v>
          </cell>
          <cell r="K503">
            <v>618.89239881539982</v>
          </cell>
          <cell r="O503">
            <v>623.48573661586556</v>
          </cell>
        </row>
        <row r="504">
          <cell r="B504">
            <v>642.16939502467915</v>
          </cell>
          <cell r="F504">
            <v>634.80996014067989</v>
          </cell>
          <cell r="K504">
            <v>618.97038499506414</v>
          </cell>
          <cell r="O504">
            <v>623.493552168816</v>
          </cell>
        </row>
        <row r="505">
          <cell r="B505">
            <v>642.46906012833176</v>
          </cell>
          <cell r="F505">
            <v>634.85108206330608</v>
          </cell>
          <cell r="K505">
            <v>619.1816386969399</v>
          </cell>
          <cell r="O505">
            <v>623.50332161000404</v>
          </cell>
        </row>
        <row r="506">
          <cell r="B506">
            <v>642.75648708785798</v>
          </cell>
          <cell r="F506">
            <v>634.89306647127785</v>
          </cell>
          <cell r="K506">
            <v>619.38104639684116</v>
          </cell>
          <cell r="O506">
            <v>623.51699882766707</v>
          </cell>
        </row>
        <row r="507">
          <cell r="B507">
            <v>643.04294134254701</v>
          </cell>
          <cell r="F507">
            <v>634.94626152794058</v>
          </cell>
          <cell r="K507">
            <v>619.57946692991118</v>
          </cell>
          <cell r="O507">
            <v>623.53556076592417</v>
          </cell>
        </row>
        <row r="508">
          <cell r="B508">
            <v>643.33249634254696</v>
          </cell>
          <cell r="F508">
            <v>635.00330495310675</v>
          </cell>
          <cell r="K508">
            <v>619.78381046396851</v>
          </cell>
          <cell r="O508">
            <v>623.56096131301285</v>
          </cell>
        </row>
        <row r="509">
          <cell r="B509">
            <v>643.64262401283315</v>
          </cell>
          <cell r="F509">
            <v>635.06433059788981</v>
          </cell>
          <cell r="K509">
            <v>620.00493583415596</v>
          </cell>
          <cell r="O509">
            <v>623.59026963657686</v>
          </cell>
        </row>
        <row r="510">
          <cell r="B510">
            <v>643.92413729516284</v>
          </cell>
          <cell r="F510">
            <v>635.1294722450175</v>
          </cell>
          <cell r="K510">
            <v>620.19545903257654</v>
          </cell>
          <cell r="O510">
            <v>623.62055490425951</v>
          </cell>
        </row>
        <row r="511">
          <cell r="B511">
            <v>644.21897428430407</v>
          </cell>
          <cell r="F511">
            <v>635.19547905920285</v>
          </cell>
          <cell r="K511">
            <v>620.40473840078982</v>
          </cell>
          <cell r="O511">
            <v>623.65474794841737</v>
          </cell>
        </row>
        <row r="512">
          <cell r="B512">
            <v>644.52619335143152</v>
          </cell>
          <cell r="F512">
            <v>635.26560281359912</v>
          </cell>
          <cell r="K512">
            <v>620.62290227048379</v>
          </cell>
          <cell r="O512">
            <v>623.68991793669409</v>
          </cell>
        </row>
        <row r="513">
          <cell r="B513">
            <v>644.82219066633775</v>
          </cell>
          <cell r="F513">
            <v>635.3306215611567</v>
          </cell>
          <cell r="K513">
            <v>620.83020730503461</v>
          </cell>
          <cell r="O513">
            <v>623.72313403673309</v>
          </cell>
        </row>
        <row r="514">
          <cell r="B514">
            <v>644.99285367719631</v>
          </cell>
          <cell r="F514">
            <v>635.40188119382572</v>
          </cell>
          <cell r="K514">
            <v>620.94669299111547</v>
          </cell>
          <cell r="O514">
            <v>623.7563501367722</v>
          </cell>
        </row>
        <row r="515">
          <cell r="B515">
            <v>645.1233979664363</v>
          </cell>
          <cell r="F515">
            <v>635.47088784681523</v>
          </cell>
          <cell r="K515">
            <v>621.03948667324778</v>
          </cell>
          <cell r="O515">
            <v>623.79347401328641</v>
          </cell>
        </row>
        <row r="516">
          <cell r="B516">
            <v>645.41127027640664</v>
          </cell>
          <cell r="F516">
            <v>635.53976488862827</v>
          </cell>
          <cell r="K516">
            <v>621.24185587364263</v>
          </cell>
          <cell r="O516">
            <v>623.8335287221571</v>
          </cell>
        </row>
        <row r="517">
          <cell r="B517">
            <v>645.72489603158942</v>
          </cell>
          <cell r="F517">
            <v>635.60990762016422</v>
          </cell>
          <cell r="K517">
            <v>621.46298124383031</v>
          </cell>
          <cell r="O517">
            <v>623.86869871043382</v>
          </cell>
        </row>
        <row r="518">
          <cell r="B518">
            <v>646.01905972359339</v>
          </cell>
          <cell r="F518">
            <v>635.67308653282532</v>
          </cell>
          <cell r="K518">
            <v>621.66831194471877</v>
          </cell>
          <cell r="O518">
            <v>623.89703008987885</v>
          </cell>
        </row>
        <row r="519">
          <cell r="B519">
            <v>646.32767181145107</v>
          </cell>
          <cell r="F519">
            <v>635.72916720398598</v>
          </cell>
          <cell r="K519">
            <v>621.88450148075026</v>
          </cell>
          <cell r="O519">
            <v>623.92145369284879</v>
          </cell>
        </row>
        <row r="520">
          <cell r="B520">
            <v>646.63015347976318</v>
          </cell>
          <cell r="F520">
            <v>635.78710797186397</v>
          </cell>
          <cell r="K520">
            <v>622.09772951628827</v>
          </cell>
          <cell r="O520">
            <v>623.95076201641268</v>
          </cell>
        </row>
        <row r="521">
          <cell r="B521">
            <v>646.94093328726558</v>
          </cell>
          <cell r="F521">
            <v>635.84531799531067</v>
          </cell>
          <cell r="K521">
            <v>622.31589338598224</v>
          </cell>
          <cell r="O521">
            <v>623.97420867526375</v>
          </cell>
        </row>
        <row r="522">
          <cell r="B522">
            <v>647.24051552813432</v>
          </cell>
          <cell r="F522">
            <v>635.89742387162948</v>
          </cell>
          <cell r="K522">
            <v>622.52023692003957</v>
          </cell>
          <cell r="O522">
            <v>623.99472450175847</v>
          </cell>
        </row>
        <row r="523">
          <cell r="B523">
            <v>647.51955680157948</v>
          </cell>
          <cell r="F523">
            <v>635.94442047674886</v>
          </cell>
          <cell r="K523">
            <v>622.71076011846003</v>
          </cell>
          <cell r="O523">
            <v>624.01328644001569</v>
          </cell>
        </row>
        <row r="524">
          <cell r="B524">
            <v>647.82640120927954</v>
          </cell>
          <cell r="F524">
            <v>636.00164177901513</v>
          </cell>
          <cell r="K524">
            <v>622.92497532082928</v>
          </cell>
          <cell r="O524">
            <v>624.0357561547479</v>
          </cell>
        </row>
        <row r="525">
          <cell r="B525">
            <v>648.03445385982241</v>
          </cell>
          <cell r="F525">
            <v>636.05488262993356</v>
          </cell>
          <cell r="K525">
            <v>623.06811451135252</v>
          </cell>
          <cell r="O525">
            <v>624.05431809300501</v>
          </cell>
        </row>
        <row r="526">
          <cell r="B526">
            <v>648.12816964462002</v>
          </cell>
          <cell r="F526">
            <v>636.10015924677612</v>
          </cell>
          <cell r="K526">
            <v>623.13425468904245</v>
          </cell>
          <cell r="O526">
            <v>624.06506447831191</v>
          </cell>
        </row>
        <row r="527">
          <cell r="B527">
            <v>648.43718285291231</v>
          </cell>
          <cell r="F527">
            <v>636.14019211606092</v>
          </cell>
          <cell r="K527">
            <v>623.35044422507417</v>
          </cell>
          <cell r="O527">
            <v>624.07678780773733</v>
          </cell>
        </row>
        <row r="528">
          <cell r="B528">
            <v>648.73906523198423</v>
          </cell>
          <cell r="F528">
            <v>636.19556269050406</v>
          </cell>
          <cell r="K528">
            <v>623.55972359328723</v>
          </cell>
          <cell r="O528">
            <v>624.09437280187569</v>
          </cell>
        </row>
        <row r="529">
          <cell r="B529">
            <v>649.03073249753209</v>
          </cell>
          <cell r="F529">
            <v>636.24980669695185</v>
          </cell>
          <cell r="K529">
            <v>623.75913129318849</v>
          </cell>
          <cell r="O529">
            <v>624.11391168425166</v>
          </cell>
        </row>
        <row r="530">
          <cell r="B530">
            <v>649.30605469397835</v>
          </cell>
          <cell r="F530">
            <v>636.29781151817122</v>
          </cell>
          <cell r="K530">
            <v>623.93978282329715</v>
          </cell>
          <cell r="O530">
            <v>624.13345056662763</v>
          </cell>
        </row>
        <row r="531">
          <cell r="B531">
            <v>649.62145907206332</v>
          </cell>
          <cell r="F531">
            <v>636.34893886283703</v>
          </cell>
          <cell r="K531">
            <v>624.16189536031595</v>
          </cell>
          <cell r="O531">
            <v>624.1529894490036</v>
          </cell>
        </row>
        <row r="532">
          <cell r="B532">
            <v>649.90305276406707</v>
          </cell>
          <cell r="F532">
            <v>636.41042684642446</v>
          </cell>
          <cell r="K532">
            <v>624.3484698914117</v>
          </cell>
          <cell r="O532">
            <v>624.1735052754982</v>
          </cell>
        </row>
        <row r="533">
          <cell r="B533">
            <v>650.19801929911148</v>
          </cell>
          <cell r="F533">
            <v>636.45843747557649</v>
          </cell>
          <cell r="K533">
            <v>624.55083909180655</v>
          </cell>
          <cell r="O533">
            <v>624.19304415787428</v>
          </cell>
        </row>
        <row r="534">
          <cell r="B534">
            <v>650.4734311747286</v>
          </cell>
          <cell r="F534">
            <v>636.510567116061</v>
          </cell>
          <cell r="K534">
            <v>624.74037512339589</v>
          </cell>
          <cell r="O534">
            <v>624.21355998436889</v>
          </cell>
        </row>
        <row r="535">
          <cell r="B535">
            <v>650.7467937314907</v>
          </cell>
          <cell r="F535">
            <v>636.55871385306762</v>
          </cell>
          <cell r="K535">
            <v>624.93089832181647</v>
          </cell>
          <cell r="O535">
            <v>624.2301680343885</v>
          </cell>
        </row>
        <row r="536">
          <cell r="B536">
            <v>651.01206017768993</v>
          </cell>
          <cell r="F536">
            <v>636.61396865474796</v>
          </cell>
          <cell r="K536">
            <v>625.10760118460018</v>
          </cell>
          <cell r="O536">
            <v>624.2506838608831</v>
          </cell>
        </row>
        <row r="537">
          <cell r="B537">
            <v>651.2670069496545</v>
          </cell>
          <cell r="F537">
            <v>636.6658396346229</v>
          </cell>
          <cell r="K537">
            <v>625.28035538005918</v>
          </cell>
          <cell r="O537">
            <v>624.27706135209075</v>
          </cell>
        </row>
        <row r="538">
          <cell r="B538">
            <v>651.5549011648568</v>
          </cell>
          <cell r="F538">
            <v>636.72508450566625</v>
          </cell>
          <cell r="K538">
            <v>625.48469891411651</v>
          </cell>
          <cell r="O538">
            <v>624.30148495506057</v>
          </cell>
        </row>
        <row r="539">
          <cell r="B539">
            <v>651.81829106614009</v>
          </cell>
          <cell r="F539">
            <v>636.78333562426724</v>
          </cell>
          <cell r="K539">
            <v>625.65646594274426</v>
          </cell>
          <cell r="O539">
            <v>624.32493161391164</v>
          </cell>
        </row>
        <row r="540">
          <cell r="B540">
            <v>652.1041817769003</v>
          </cell>
          <cell r="F540">
            <v>636.83547811645178</v>
          </cell>
          <cell r="K540">
            <v>625.86179664363272</v>
          </cell>
          <cell r="O540">
            <v>624.34544744040647</v>
          </cell>
        </row>
        <row r="541">
          <cell r="B541">
            <v>652.3655199210267</v>
          </cell>
          <cell r="F541">
            <v>636.89061227041816</v>
          </cell>
          <cell r="K541">
            <v>626.03751233958542</v>
          </cell>
          <cell r="O541">
            <v>624.36889409925755</v>
          </cell>
        </row>
        <row r="542">
          <cell r="B542">
            <v>652.63106187068115</v>
          </cell>
          <cell r="F542">
            <v>636.94176242672927</v>
          </cell>
          <cell r="K542">
            <v>626.21421520236925</v>
          </cell>
          <cell r="O542">
            <v>624.38843298163351</v>
          </cell>
        </row>
        <row r="543">
          <cell r="B543">
            <v>652.90792288252715</v>
          </cell>
          <cell r="F543">
            <v>636.99716532825323</v>
          </cell>
          <cell r="K543">
            <v>626.40473840078971</v>
          </cell>
          <cell r="O543">
            <v>624.40601797577176</v>
          </cell>
        </row>
        <row r="544">
          <cell r="B544">
            <v>653.17669053800603</v>
          </cell>
          <cell r="F544">
            <v>637.04121060961313</v>
          </cell>
          <cell r="K544">
            <v>626.58144126357365</v>
          </cell>
          <cell r="O544">
            <v>624.42164908167251</v>
          </cell>
        </row>
        <row r="545">
          <cell r="B545">
            <v>653.45570537018762</v>
          </cell>
          <cell r="F545">
            <v>637.09336316920678</v>
          </cell>
          <cell r="K545">
            <v>626.77393879565648</v>
          </cell>
          <cell r="O545">
            <v>624.44216490816734</v>
          </cell>
        </row>
        <row r="546">
          <cell r="B546">
            <v>653.72863928923982</v>
          </cell>
          <cell r="F546">
            <v>637.15076561156695</v>
          </cell>
          <cell r="K546">
            <v>626.95755182625862</v>
          </cell>
          <cell r="O546">
            <v>624.4617037905432</v>
          </cell>
        </row>
        <row r="547">
          <cell r="B547">
            <v>654.00470928923983</v>
          </cell>
          <cell r="F547">
            <v>637.19906689624861</v>
          </cell>
          <cell r="K547">
            <v>627.14412635735437</v>
          </cell>
          <cell r="O547">
            <v>624.47538100820634</v>
          </cell>
        </row>
        <row r="548">
          <cell r="B548">
            <v>654.06882059230009</v>
          </cell>
          <cell r="F548">
            <v>637.23913100820641</v>
          </cell>
          <cell r="K548">
            <v>627.18756169792698</v>
          </cell>
          <cell r="O548">
            <v>624.48710433763188</v>
          </cell>
        </row>
        <row r="549">
          <cell r="B549">
            <v>654.27048415103661</v>
          </cell>
          <cell r="F549">
            <v>637.28344726944113</v>
          </cell>
          <cell r="K549">
            <v>627.32379072063179</v>
          </cell>
          <cell r="O549">
            <v>624.4968737788198</v>
          </cell>
        </row>
        <row r="550">
          <cell r="B550">
            <v>654.54772748272467</v>
          </cell>
          <cell r="F550">
            <v>637.3236450762015</v>
          </cell>
          <cell r="K550">
            <v>627.50839091806517</v>
          </cell>
          <cell r="O550">
            <v>624.50566627588898</v>
          </cell>
        </row>
        <row r="551">
          <cell r="B551">
            <v>654.81251579466925</v>
          </cell>
          <cell r="F551">
            <v>637.36683489644383</v>
          </cell>
          <cell r="K551">
            <v>627.69002961500496</v>
          </cell>
          <cell r="O551">
            <v>624.51738960531452</v>
          </cell>
        </row>
        <row r="552">
          <cell r="B552">
            <v>655.06096750246786</v>
          </cell>
          <cell r="F552">
            <v>637.40477768171161</v>
          </cell>
          <cell r="K552">
            <v>627.84995064165844</v>
          </cell>
          <cell r="O552">
            <v>624.53008987885892</v>
          </cell>
        </row>
        <row r="553">
          <cell r="B553">
            <v>655.33835293682125</v>
          </cell>
          <cell r="F553">
            <v>637.46032934740128</v>
          </cell>
          <cell r="K553">
            <v>628.03455083909182</v>
          </cell>
          <cell r="O553">
            <v>624.54474404064081</v>
          </cell>
        </row>
        <row r="554">
          <cell r="B554">
            <v>655.59307308489633</v>
          </cell>
          <cell r="F554">
            <v>637.50339173016823</v>
          </cell>
          <cell r="K554">
            <v>628.20039486673249</v>
          </cell>
          <cell r="O554">
            <v>624.55939820242293</v>
          </cell>
        </row>
        <row r="555">
          <cell r="B555">
            <v>655.8405223593287</v>
          </cell>
          <cell r="F555">
            <v>637.54558934153954</v>
          </cell>
          <cell r="K555">
            <v>628.36525172754193</v>
          </cell>
          <cell r="O555">
            <v>624.57014458772949</v>
          </cell>
        </row>
        <row r="556">
          <cell r="B556">
            <v>656.10568286278385</v>
          </cell>
          <cell r="F556">
            <v>637.5837988716296</v>
          </cell>
          <cell r="K556">
            <v>628.53800592300104</v>
          </cell>
          <cell r="O556">
            <v>624.57698319656117</v>
          </cell>
        </row>
        <row r="557">
          <cell r="B557">
            <v>656.37181701382042</v>
          </cell>
          <cell r="F557">
            <v>637.63311074638523</v>
          </cell>
          <cell r="K557">
            <v>628.71767028627846</v>
          </cell>
          <cell r="O557">
            <v>624.59163735834306</v>
          </cell>
        </row>
        <row r="558">
          <cell r="B558">
            <v>656.64222361303052</v>
          </cell>
          <cell r="F558">
            <v>637.68528555099635</v>
          </cell>
          <cell r="K558">
            <v>628.8953603158933</v>
          </cell>
          <cell r="O558">
            <v>624.61215318483778</v>
          </cell>
        </row>
        <row r="559">
          <cell r="B559">
            <v>656.87437859822319</v>
          </cell>
          <cell r="F559">
            <v>637.73958812524438</v>
          </cell>
          <cell r="K559">
            <v>629.04540967423497</v>
          </cell>
          <cell r="O559">
            <v>624.63169206721386</v>
          </cell>
        </row>
        <row r="560">
          <cell r="B560">
            <v>656.98520927936806</v>
          </cell>
          <cell r="F560">
            <v>637.79189785072288</v>
          </cell>
          <cell r="K560">
            <v>629.12142152023682</v>
          </cell>
          <cell r="O560">
            <v>624.64927706135211</v>
          </cell>
        </row>
        <row r="561">
          <cell r="B561">
            <v>657.17374197926961</v>
          </cell>
          <cell r="F561">
            <v>637.83709598475957</v>
          </cell>
          <cell r="K561">
            <v>629.25074037512343</v>
          </cell>
          <cell r="O561">
            <v>624.66295427901514</v>
          </cell>
        </row>
        <row r="562">
          <cell r="B562">
            <v>657.43289389437314</v>
          </cell>
          <cell r="F562">
            <v>637.88628587338803</v>
          </cell>
          <cell r="K562">
            <v>629.42053307008882</v>
          </cell>
          <cell r="O562">
            <v>624.68053927315361</v>
          </cell>
        </row>
        <row r="563">
          <cell r="B563">
            <v>657.70652716189545</v>
          </cell>
          <cell r="F563">
            <v>637.93860101113717</v>
          </cell>
          <cell r="K563">
            <v>629.60414610069108</v>
          </cell>
          <cell r="O563">
            <v>624.69812426729186</v>
          </cell>
        </row>
        <row r="564">
          <cell r="B564">
            <v>657.97298866732478</v>
          </cell>
          <cell r="F564">
            <v>637.9877945046893</v>
          </cell>
          <cell r="K564">
            <v>629.78084896347491</v>
          </cell>
          <cell r="O564">
            <v>624.71570926143022</v>
          </cell>
        </row>
        <row r="565">
          <cell r="B565">
            <v>658.25089782823306</v>
          </cell>
          <cell r="F565">
            <v>638.04197849745992</v>
          </cell>
          <cell r="K565">
            <v>629.96544916090829</v>
          </cell>
          <cell r="O565">
            <v>624.73817897616254</v>
          </cell>
        </row>
        <row r="566">
          <cell r="B566">
            <v>658.51435827245803</v>
          </cell>
          <cell r="F566">
            <v>638.10327974794848</v>
          </cell>
          <cell r="K566">
            <v>630.13919052319841</v>
          </cell>
          <cell r="O566">
            <v>624.76455646737008</v>
          </cell>
        </row>
        <row r="567">
          <cell r="B567">
            <v>658.76553917077979</v>
          </cell>
          <cell r="F567">
            <v>638.16371641266119</v>
          </cell>
          <cell r="K567">
            <v>630.29812438302076</v>
          </cell>
          <cell r="O567">
            <v>624.78702618210241</v>
          </cell>
        </row>
        <row r="568">
          <cell r="B568">
            <v>659.03212779861803</v>
          </cell>
          <cell r="F568">
            <v>638.21491395076202</v>
          </cell>
          <cell r="K568">
            <v>630.47778874629819</v>
          </cell>
          <cell r="O568">
            <v>624.80656506447826</v>
          </cell>
        </row>
        <row r="569">
          <cell r="B569">
            <v>659.32054805034545</v>
          </cell>
          <cell r="F569">
            <v>638.25999545232526</v>
          </cell>
          <cell r="K569">
            <v>630.67226061204337</v>
          </cell>
          <cell r="O569">
            <v>624.82317311449788</v>
          </cell>
        </row>
        <row r="570">
          <cell r="B570">
            <v>659.58631368213241</v>
          </cell>
          <cell r="F570">
            <v>638.31119665396648</v>
          </cell>
          <cell r="K570">
            <v>630.84501480750259</v>
          </cell>
          <cell r="O570">
            <v>624.84271199687385</v>
          </cell>
        </row>
        <row r="571">
          <cell r="B571">
            <v>659.85728733464964</v>
          </cell>
          <cell r="F571">
            <v>638.36465618894101</v>
          </cell>
          <cell r="K571">
            <v>631.02270483711754</v>
          </cell>
          <cell r="O571">
            <v>624.8583431027746</v>
          </cell>
        </row>
        <row r="572">
          <cell r="B572">
            <v>660.00675806515301</v>
          </cell>
          <cell r="F572">
            <v>638.4057501758499</v>
          </cell>
          <cell r="K572">
            <v>631.1233958538993</v>
          </cell>
          <cell r="O572">
            <v>624.87104337631888</v>
          </cell>
        </row>
        <row r="573">
          <cell r="B573">
            <v>660.12928257650549</v>
          </cell>
          <cell r="F573">
            <v>638.44810335091836</v>
          </cell>
          <cell r="K573">
            <v>631.20434353405733</v>
          </cell>
          <cell r="O573">
            <v>624.87885892926931</v>
          </cell>
        </row>
        <row r="574">
          <cell r="B574">
            <v>660.38170693484699</v>
          </cell>
          <cell r="F574">
            <v>638.48945917350522</v>
          </cell>
          <cell r="K574">
            <v>631.36722606120441</v>
          </cell>
          <cell r="O574">
            <v>624.88569753810077</v>
          </cell>
        </row>
        <row r="575">
          <cell r="B575">
            <v>660.65591926949651</v>
          </cell>
          <cell r="F575">
            <v>638.52782095056671</v>
          </cell>
          <cell r="K575">
            <v>631.54787759131295</v>
          </cell>
          <cell r="O575">
            <v>624.8896053145761</v>
          </cell>
        </row>
        <row r="576">
          <cell r="B576">
            <v>660.92811478282317</v>
          </cell>
          <cell r="F576">
            <v>638.55394436303243</v>
          </cell>
          <cell r="K576">
            <v>631.72655478775903</v>
          </cell>
          <cell r="O576">
            <v>624.88765142633838</v>
          </cell>
        </row>
        <row r="577">
          <cell r="B577">
            <v>661.18176576505425</v>
          </cell>
          <cell r="F577">
            <v>638.58032627491207</v>
          </cell>
          <cell r="K577">
            <v>631.88746298124386</v>
          </cell>
          <cell r="O577">
            <v>624.87983587338806</v>
          </cell>
        </row>
        <row r="578">
          <cell r="B578">
            <v>661.4591595162882</v>
          </cell>
          <cell r="F578">
            <v>638.60583799824133</v>
          </cell>
          <cell r="K578">
            <v>632.0740375123396</v>
          </cell>
          <cell r="O578">
            <v>624.86811254396241</v>
          </cell>
        </row>
        <row r="579">
          <cell r="B579">
            <v>661.71290004935827</v>
          </cell>
          <cell r="F579">
            <v>638.62909363520919</v>
          </cell>
          <cell r="K579">
            <v>632.23494570582432</v>
          </cell>
          <cell r="O579">
            <v>624.86029699101221</v>
          </cell>
        </row>
        <row r="580">
          <cell r="B580">
            <v>661.99987473840076</v>
          </cell>
          <cell r="F580">
            <v>638.65035145076195</v>
          </cell>
          <cell r="K580">
            <v>632.42152023692006</v>
          </cell>
          <cell r="O580">
            <v>624.85052754982416</v>
          </cell>
        </row>
        <row r="581">
          <cell r="B581">
            <v>662.23613824777897</v>
          </cell>
          <cell r="F581">
            <v>638.67772821414621</v>
          </cell>
          <cell r="K581">
            <v>632.56564659427454</v>
          </cell>
          <cell r="O581">
            <v>624.84368894099259</v>
          </cell>
        </row>
        <row r="582">
          <cell r="B582">
            <v>662.50131866732477</v>
          </cell>
          <cell r="F582">
            <v>638.70710148007038</v>
          </cell>
          <cell r="K582">
            <v>632.74037512339589</v>
          </cell>
          <cell r="O582">
            <v>624.83880422039863</v>
          </cell>
        </row>
        <row r="583">
          <cell r="B583">
            <v>662.77080619447167</v>
          </cell>
          <cell r="F583">
            <v>638.73634606780001</v>
          </cell>
          <cell r="K583">
            <v>632.91312931885477</v>
          </cell>
          <cell r="O583">
            <v>624.83685033216102</v>
          </cell>
        </row>
        <row r="584">
          <cell r="B584">
            <v>662.94659461006916</v>
          </cell>
          <cell r="F584">
            <v>638.76771590465023</v>
          </cell>
          <cell r="K584">
            <v>633.02961500493586</v>
          </cell>
          <cell r="O584">
            <v>624.83391949980455</v>
          </cell>
        </row>
        <row r="585">
          <cell r="B585">
            <v>663.03717666337616</v>
          </cell>
          <cell r="F585">
            <v>638.79995637944512</v>
          </cell>
          <cell r="K585">
            <v>633.08588351431399</v>
          </cell>
          <cell r="O585">
            <v>624.83489644392341</v>
          </cell>
        </row>
        <row r="586">
          <cell r="B586">
            <v>663.2963557551825</v>
          </cell>
          <cell r="F586">
            <v>638.83818991793669</v>
          </cell>
          <cell r="K586">
            <v>633.25172754195455</v>
          </cell>
          <cell r="O586">
            <v>624.84173505275498</v>
          </cell>
        </row>
        <row r="587">
          <cell r="B587">
            <v>663.56378798124388</v>
          </cell>
          <cell r="F587">
            <v>638.88741178194607</v>
          </cell>
          <cell r="K587">
            <v>633.42843040473849</v>
          </cell>
          <cell r="O587">
            <v>624.85932004689323</v>
          </cell>
        </row>
        <row r="588">
          <cell r="B588">
            <v>663.82939320829212</v>
          </cell>
          <cell r="F588">
            <v>638.94687991402895</v>
          </cell>
          <cell r="K588">
            <v>633.59427443237905</v>
          </cell>
          <cell r="O588">
            <v>624.88081281750681</v>
          </cell>
        </row>
        <row r="589">
          <cell r="B589">
            <v>664.08974333662388</v>
          </cell>
          <cell r="F589">
            <v>638.99697709066049</v>
          </cell>
          <cell r="K589">
            <v>633.76110562685096</v>
          </cell>
          <cell r="O589">
            <v>624.90230558812038</v>
          </cell>
        </row>
        <row r="590">
          <cell r="B590">
            <v>664.36876024679168</v>
          </cell>
          <cell r="F590">
            <v>639.04920179269243</v>
          </cell>
          <cell r="K590">
            <v>633.94570582428435</v>
          </cell>
          <cell r="O590">
            <v>624.9228214146151</v>
          </cell>
        </row>
        <row r="591">
          <cell r="B591">
            <v>664.63541090819342</v>
          </cell>
          <cell r="F591">
            <v>639.11367249902298</v>
          </cell>
          <cell r="K591">
            <v>634.11846001974334</v>
          </cell>
          <cell r="O591">
            <v>624.94919890582253</v>
          </cell>
        </row>
        <row r="592">
          <cell r="B592">
            <v>664.91466002961499</v>
          </cell>
          <cell r="F592">
            <v>639.17402235248153</v>
          </cell>
          <cell r="K592">
            <v>634.29713721618953</v>
          </cell>
          <cell r="O592">
            <v>624.97459945291132</v>
          </cell>
        </row>
        <row r="593">
          <cell r="B593">
            <v>665.16788469891401</v>
          </cell>
          <cell r="F593">
            <v>639.23312092125809</v>
          </cell>
          <cell r="K593">
            <v>634.46001974333649</v>
          </cell>
          <cell r="O593">
            <v>625.00488472059385</v>
          </cell>
        </row>
        <row r="594">
          <cell r="B594">
            <v>665.4441272161896</v>
          </cell>
          <cell r="F594">
            <v>639.29234969226263</v>
          </cell>
          <cell r="K594">
            <v>634.63573543928931</v>
          </cell>
          <cell r="O594">
            <v>625.03223915592025</v>
          </cell>
        </row>
        <row r="595">
          <cell r="B595">
            <v>665.69329982724582</v>
          </cell>
          <cell r="F595">
            <v>639.3589584994138</v>
          </cell>
          <cell r="K595">
            <v>634.79466929911155</v>
          </cell>
          <cell r="O595">
            <v>625.05763970300893</v>
          </cell>
        </row>
        <row r="596">
          <cell r="B596">
            <v>665.92173820335631</v>
          </cell>
          <cell r="F596">
            <v>639.41007092614302</v>
          </cell>
          <cell r="K596">
            <v>634.93682132280355</v>
          </cell>
          <cell r="O596">
            <v>625.08010941774126</v>
          </cell>
        </row>
        <row r="597">
          <cell r="B597">
            <v>665.95825022704832</v>
          </cell>
          <cell r="F597">
            <v>639.45631577276276</v>
          </cell>
          <cell r="K597">
            <v>634.95952615992098</v>
          </cell>
          <cell r="O597">
            <v>625.09476357952326</v>
          </cell>
        </row>
        <row r="598">
          <cell r="B598">
            <v>666.22000367226065</v>
          </cell>
          <cell r="F598">
            <v>639.50581483489634</v>
          </cell>
          <cell r="K598">
            <v>635.12734452122402</v>
          </cell>
          <cell r="O598">
            <v>625.1064869089488</v>
          </cell>
        </row>
        <row r="599">
          <cell r="B599">
            <v>666.4860145360318</v>
          </cell>
          <cell r="F599">
            <v>639.55318921453704</v>
          </cell>
          <cell r="K599">
            <v>635.29615004935852</v>
          </cell>
          <cell r="O599">
            <v>625.11918718249319</v>
          </cell>
        </row>
        <row r="600">
          <cell r="B600">
            <v>666.76443181638706</v>
          </cell>
          <cell r="F600">
            <v>639.60031094665885</v>
          </cell>
          <cell r="K600">
            <v>635.47976307996055</v>
          </cell>
          <cell r="O600">
            <v>625.1377491207503</v>
          </cell>
        </row>
        <row r="601">
          <cell r="B601">
            <v>667.02128578479756</v>
          </cell>
          <cell r="F601">
            <v>639.65268631301296</v>
          </cell>
          <cell r="K601">
            <v>635.63672260612043</v>
          </cell>
          <cell r="O601">
            <v>625.15533411488866</v>
          </cell>
        </row>
        <row r="602">
          <cell r="B602">
            <v>667.27493545903258</v>
          </cell>
          <cell r="F602">
            <v>639.70306430734661</v>
          </cell>
          <cell r="K602">
            <v>635.79664363277402</v>
          </cell>
          <cell r="O602">
            <v>625.17096522078941</v>
          </cell>
        </row>
        <row r="603">
          <cell r="B603">
            <v>667.52869955577501</v>
          </cell>
          <cell r="F603">
            <v>639.74744577960143</v>
          </cell>
          <cell r="K603">
            <v>635.9536031589339</v>
          </cell>
          <cell r="O603">
            <v>625.18073466197734</v>
          </cell>
        </row>
        <row r="604">
          <cell r="B604">
            <v>667.7886538647582</v>
          </cell>
          <cell r="F604">
            <v>639.78957542497062</v>
          </cell>
          <cell r="K604">
            <v>636.11944718657458</v>
          </cell>
          <cell r="O604">
            <v>625.19441187964048</v>
          </cell>
        </row>
        <row r="605">
          <cell r="B605">
            <v>668.04976147581453</v>
          </cell>
          <cell r="F605">
            <v>639.83908480363414</v>
          </cell>
          <cell r="K605">
            <v>636.28331688055289</v>
          </cell>
          <cell r="O605">
            <v>625.20613520906602</v>
          </cell>
        </row>
        <row r="606">
          <cell r="B606">
            <v>668.3140247384008</v>
          </cell>
          <cell r="F606">
            <v>639.88246991012113</v>
          </cell>
          <cell r="K606">
            <v>636.45014807502469</v>
          </cell>
          <cell r="O606">
            <v>625.2149277061352</v>
          </cell>
        </row>
        <row r="607">
          <cell r="B607">
            <v>668.56167423494583</v>
          </cell>
          <cell r="F607">
            <v>639.92472968933168</v>
          </cell>
          <cell r="K607">
            <v>636.60414610069108</v>
          </cell>
          <cell r="O607">
            <v>625.22567409144199</v>
          </cell>
        </row>
        <row r="608">
          <cell r="B608">
            <v>668.82817528134251</v>
          </cell>
          <cell r="F608">
            <v>639.96999042594769</v>
          </cell>
          <cell r="K608">
            <v>636.76999012833164</v>
          </cell>
          <cell r="O608">
            <v>625.23935130910513</v>
          </cell>
        </row>
        <row r="609">
          <cell r="B609">
            <v>669.0488020533071</v>
          </cell>
          <cell r="F609">
            <v>640.01037867819468</v>
          </cell>
          <cell r="K609">
            <v>636.90424481737421</v>
          </cell>
          <cell r="O609">
            <v>625.24521297381796</v>
          </cell>
        </row>
        <row r="610">
          <cell r="B610">
            <v>669.3100578134256</v>
          </cell>
          <cell r="F610">
            <v>640.04264100234479</v>
          </cell>
          <cell r="K610">
            <v>637.07107601184612</v>
          </cell>
          <cell r="O610">
            <v>625.24618991793682</v>
          </cell>
        </row>
        <row r="611">
          <cell r="B611">
            <v>669.55365091806505</v>
          </cell>
          <cell r="F611">
            <v>640.07402919109029</v>
          </cell>
          <cell r="K611">
            <v>637.22408687068105</v>
          </cell>
          <cell r="O611">
            <v>625.24325908558035</v>
          </cell>
        </row>
        <row r="612">
          <cell r="B612">
            <v>669.7869100148074</v>
          </cell>
          <cell r="F612">
            <v>640.10741739937475</v>
          </cell>
          <cell r="K612">
            <v>637.36722606120429</v>
          </cell>
          <cell r="O612">
            <v>625.24228214146149</v>
          </cell>
        </row>
        <row r="613">
          <cell r="B613">
            <v>670.03473143139183</v>
          </cell>
          <cell r="F613">
            <v>640.14280594958973</v>
          </cell>
          <cell r="K613">
            <v>637.52418558736429</v>
          </cell>
          <cell r="O613">
            <v>625.24325908558035</v>
          </cell>
        </row>
        <row r="614">
          <cell r="B614">
            <v>670.28036734945704</v>
          </cell>
          <cell r="F614">
            <v>640.17194216490827</v>
          </cell>
          <cell r="K614">
            <v>637.68509378084889</v>
          </cell>
          <cell r="O614">
            <v>625.2442360296991</v>
          </cell>
        </row>
        <row r="615">
          <cell r="B615">
            <v>670.52834526159916</v>
          </cell>
          <cell r="F615">
            <v>640.21458370457231</v>
          </cell>
          <cell r="K615">
            <v>637.83909180651528</v>
          </cell>
          <cell r="O615">
            <v>625.24618991793682</v>
          </cell>
        </row>
        <row r="616">
          <cell r="B616">
            <v>670.74603730503463</v>
          </cell>
          <cell r="F616">
            <v>640.2518483001171</v>
          </cell>
          <cell r="K616">
            <v>637.97334649555785</v>
          </cell>
          <cell r="O616">
            <v>625.25205158264941</v>
          </cell>
        </row>
        <row r="617">
          <cell r="B617">
            <v>670.98467472852917</v>
          </cell>
          <cell r="F617">
            <v>640.28811305197337</v>
          </cell>
          <cell r="K617">
            <v>638.12142152023694</v>
          </cell>
          <cell r="O617">
            <v>625.25693630324338</v>
          </cell>
        </row>
        <row r="618">
          <cell r="B618">
            <v>671.20362610069094</v>
          </cell>
          <cell r="F618">
            <v>640.32650411781935</v>
          </cell>
          <cell r="K618">
            <v>638.25074037512331</v>
          </cell>
          <cell r="O618">
            <v>625.26084407971859</v>
          </cell>
        </row>
        <row r="619">
          <cell r="B619">
            <v>671.44114536031589</v>
          </cell>
          <cell r="F619">
            <v>640.3700230216881</v>
          </cell>
          <cell r="K619">
            <v>638.40375123395859</v>
          </cell>
          <cell r="O619">
            <v>625.26670574443142</v>
          </cell>
        </row>
        <row r="620">
          <cell r="B620">
            <v>671.68101099210276</v>
          </cell>
          <cell r="F620">
            <v>640.41041626611957</v>
          </cell>
          <cell r="K620">
            <v>638.54985192497543</v>
          </cell>
          <cell r="O620">
            <v>625.27256740914413</v>
          </cell>
        </row>
        <row r="621">
          <cell r="B621">
            <v>671.80351584402763</v>
          </cell>
          <cell r="F621">
            <v>640.45368763188742</v>
          </cell>
          <cell r="K621">
            <v>638.62685093780851</v>
          </cell>
          <cell r="O621">
            <v>625.28429073856978</v>
          </cell>
        </row>
        <row r="622">
          <cell r="B622">
            <v>671.90941447680143</v>
          </cell>
          <cell r="F622">
            <v>640.49495878272762</v>
          </cell>
          <cell r="K622">
            <v>638.68805528134249</v>
          </cell>
          <cell r="O622">
            <v>625.29406017975771</v>
          </cell>
        </row>
        <row r="623">
          <cell r="B623">
            <v>672.15335524185593</v>
          </cell>
          <cell r="F623">
            <v>640.54248394880824</v>
          </cell>
          <cell r="K623">
            <v>638.84402764067124</v>
          </cell>
          <cell r="O623">
            <v>625.30382962094575</v>
          </cell>
        </row>
        <row r="624">
          <cell r="B624">
            <v>672.38079344521236</v>
          </cell>
          <cell r="F624">
            <v>640.58688371922608</v>
          </cell>
          <cell r="K624">
            <v>638.9812438302074</v>
          </cell>
          <cell r="O624">
            <v>625.31359906213356</v>
          </cell>
        </row>
        <row r="625">
          <cell r="B625">
            <v>672.61761737413633</v>
          </cell>
          <cell r="F625">
            <v>640.62390640386866</v>
          </cell>
          <cell r="K625">
            <v>639.12734452122413</v>
          </cell>
          <cell r="O625">
            <v>625.32532239155921</v>
          </cell>
        </row>
        <row r="626">
          <cell r="B626">
            <v>672.8461671076011</v>
          </cell>
          <cell r="F626">
            <v>640.67043405627192</v>
          </cell>
          <cell r="K626">
            <v>639.2655478775913</v>
          </cell>
          <cell r="O626">
            <v>625.33411488862839</v>
          </cell>
        </row>
        <row r="627">
          <cell r="B627">
            <v>673.07379316880554</v>
          </cell>
          <cell r="F627">
            <v>640.71383604923801</v>
          </cell>
          <cell r="K627">
            <v>639.39980256663375</v>
          </cell>
          <cell r="O627">
            <v>625.34290738569757</v>
          </cell>
        </row>
        <row r="628">
          <cell r="B628">
            <v>673.29513995557738</v>
          </cell>
          <cell r="F628">
            <v>640.75311124462689</v>
          </cell>
          <cell r="K628">
            <v>639.5310957551826</v>
          </cell>
          <cell r="O628">
            <v>625.350722938648</v>
          </cell>
        </row>
        <row r="629">
          <cell r="B629">
            <v>673.5309123099704</v>
          </cell>
          <cell r="F629">
            <v>640.79939460726837</v>
          </cell>
          <cell r="K629">
            <v>639.6821322803554</v>
          </cell>
          <cell r="O629">
            <v>625.36537710042978</v>
          </cell>
        </row>
        <row r="630">
          <cell r="B630">
            <v>673.76592305034546</v>
          </cell>
          <cell r="F630">
            <v>640.84680411781937</v>
          </cell>
          <cell r="K630">
            <v>639.82329713721617</v>
          </cell>
          <cell r="O630">
            <v>625.37807737397418</v>
          </cell>
        </row>
        <row r="631">
          <cell r="B631">
            <v>673.98113745310968</v>
          </cell>
          <cell r="F631">
            <v>640.89321386283711</v>
          </cell>
          <cell r="K631">
            <v>639.94866732477794</v>
          </cell>
          <cell r="O631">
            <v>625.38980070339983</v>
          </cell>
        </row>
        <row r="632">
          <cell r="B632">
            <v>674.21822009871664</v>
          </cell>
          <cell r="F632">
            <v>640.93549667839011</v>
          </cell>
          <cell r="K632">
            <v>640.09476801579467</v>
          </cell>
          <cell r="O632">
            <v>625.40054708870662</v>
          </cell>
        </row>
        <row r="633">
          <cell r="B633">
            <v>674.45118104639675</v>
          </cell>
          <cell r="F633">
            <v>640.98403468151616</v>
          </cell>
          <cell r="K633">
            <v>640.23692003948668</v>
          </cell>
          <cell r="O633">
            <v>625.41129347401329</v>
          </cell>
        </row>
        <row r="634">
          <cell r="B634">
            <v>674.66953656959527</v>
          </cell>
          <cell r="F634">
            <v>641.02631975381007</v>
          </cell>
          <cell r="K634">
            <v>640.36821322803553</v>
          </cell>
          <cell r="O634">
            <v>625.42203985931997</v>
          </cell>
        </row>
        <row r="635">
          <cell r="B635">
            <v>674.90993257650553</v>
          </cell>
          <cell r="F635">
            <v>641.06660316529883</v>
          </cell>
          <cell r="K635">
            <v>640.51431391905237</v>
          </cell>
          <cell r="O635">
            <v>625.43083235638915</v>
          </cell>
        </row>
        <row r="636">
          <cell r="B636">
            <v>675.10875559230021</v>
          </cell>
          <cell r="F636">
            <v>641.10801181125441</v>
          </cell>
          <cell r="K636">
            <v>640.62092793682143</v>
          </cell>
          <cell r="O636">
            <v>625.43767096522083</v>
          </cell>
        </row>
        <row r="637">
          <cell r="B637">
            <v>675.35122352418568</v>
          </cell>
          <cell r="F637">
            <v>641.15354991207516</v>
          </cell>
          <cell r="K637">
            <v>640.77196446199412</v>
          </cell>
          <cell r="O637">
            <v>625.44548651817126</v>
          </cell>
        </row>
        <row r="638">
          <cell r="B638">
            <v>675.58532329713717</v>
          </cell>
          <cell r="F638">
            <v>641.19483747557649</v>
          </cell>
          <cell r="K638">
            <v>640.91806515301084</v>
          </cell>
          <cell r="O638">
            <v>625.45525595935919</v>
          </cell>
        </row>
        <row r="639">
          <cell r="B639">
            <v>675.82162422507406</v>
          </cell>
          <cell r="F639">
            <v>641.23524701055101</v>
          </cell>
          <cell r="K639">
            <v>641.06317867719656</v>
          </cell>
          <cell r="O639">
            <v>625.4611176240719</v>
          </cell>
        </row>
        <row r="640">
          <cell r="B640">
            <v>676.06212615992104</v>
          </cell>
          <cell r="F640">
            <v>641.27152822391554</v>
          </cell>
          <cell r="K640">
            <v>641.21224086870689</v>
          </cell>
          <cell r="O640">
            <v>625.46600234466587</v>
          </cell>
        </row>
        <row r="641">
          <cell r="B641">
            <v>676.29433926949662</v>
          </cell>
          <cell r="F641">
            <v>641.31193896541629</v>
          </cell>
          <cell r="K641">
            <v>641.35340572556765</v>
          </cell>
          <cell r="O641">
            <v>625.47186400937869</v>
          </cell>
        </row>
        <row r="642">
          <cell r="B642">
            <v>676.52763015794676</v>
          </cell>
          <cell r="F642">
            <v>641.34910076201629</v>
          </cell>
          <cell r="K642">
            <v>641.49555774925966</v>
          </cell>
          <cell r="O642">
            <v>625.48065650644776</v>
          </cell>
        </row>
        <row r="643">
          <cell r="B643">
            <v>676.74646563672263</v>
          </cell>
          <cell r="F643">
            <v>641.39652537612346</v>
          </cell>
          <cell r="K643">
            <v>641.62092793682132</v>
          </cell>
          <cell r="O643">
            <v>625.49335677999215</v>
          </cell>
        </row>
        <row r="644">
          <cell r="B644">
            <v>676.98199644619933</v>
          </cell>
          <cell r="F644">
            <v>641.44707891754581</v>
          </cell>
          <cell r="K644">
            <v>641.76209279368209</v>
          </cell>
          <cell r="O644">
            <v>625.50605705353644</v>
          </cell>
        </row>
        <row r="645">
          <cell r="B645">
            <v>677.19040202369195</v>
          </cell>
          <cell r="F645">
            <v>641.49338257620161</v>
          </cell>
          <cell r="K645">
            <v>641.88055281342542</v>
          </cell>
          <cell r="O645">
            <v>625.52071121531844</v>
          </cell>
        </row>
        <row r="646">
          <cell r="B646">
            <v>677.43425277393874</v>
          </cell>
          <cell r="F646">
            <v>641.54670127491215</v>
          </cell>
          <cell r="K646">
            <v>642.03257650542935</v>
          </cell>
          <cell r="O646">
            <v>625.54220398593213</v>
          </cell>
        </row>
        <row r="647">
          <cell r="B647">
            <v>677.58361870681154</v>
          </cell>
          <cell r="F647">
            <v>641.60715791324742</v>
          </cell>
          <cell r="K647">
            <v>642.12240868706817</v>
          </cell>
          <cell r="O647">
            <v>625.5676045330207</v>
          </cell>
        </row>
        <row r="648">
          <cell r="B648">
            <v>677.66051932379071</v>
          </cell>
          <cell r="F648">
            <v>641.6686193923407</v>
          </cell>
          <cell r="K648">
            <v>642.16485686080944</v>
          </cell>
          <cell r="O648">
            <v>625.59398202422813</v>
          </cell>
        </row>
        <row r="649">
          <cell r="B649">
            <v>677.88769160908191</v>
          </cell>
          <cell r="F649">
            <v>641.72495148007033</v>
          </cell>
          <cell r="K649">
            <v>642.30404738400796</v>
          </cell>
          <cell r="O649">
            <v>625.61840562719817</v>
          </cell>
        </row>
        <row r="650">
          <cell r="B650">
            <v>678.13287129318849</v>
          </cell>
          <cell r="F650">
            <v>641.79243141852294</v>
          </cell>
          <cell r="K650">
            <v>642.45113524185581</v>
          </cell>
          <cell r="O650">
            <v>625.65064478311842</v>
          </cell>
        </row>
        <row r="651">
          <cell r="B651">
            <v>678.36853981243826</v>
          </cell>
          <cell r="F651">
            <v>641.85803227823374</v>
          </cell>
          <cell r="K651">
            <v>642.59526159921018</v>
          </cell>
          <cell r="O651">
            <v>625.67799921844471</v>
          </cell>
        </row>
        <row r="652">
          <cell r="B652">
            <v>678.58348762092817</v>
          </cell>
          <cell r="F652">
            <v>641.92138839390395</v>
          </cell>
          <cell r="K652">
            <v>642.71668311944734</v>
          </cell>
          <cell r="O652">
            <v>625.70926143024622</v>
          </cell>
        </row>
        <row r="653">
          <cell r="B653">
            <v>678.80168240375122</v>
          </cell>
          <cell r="F653">
            <v>641.97961433177022</v>
          </cell>
          <cell r="K653">
            <v>642.83810463968416</v>
          </cell>
          <cell r="O653">
            <v>625.73856975381011</v>
          </cell>
        </row>
        <row r="654">
          <cell r="B654">
            <v>679.03554916584403</v>
          </cell>
          <cell r="F654">
            <v>642.05224122215702</v>
          </cell>
          <cell r="K654">
            <v>642.97433366238897</v>
          </cell>
          <cell r="O654">
            <v>625.77276279796797</v>
          </cell>
        </row>
        <row r="655">
          <cell r="B655">
            <v>679.2494683810462</v>
          </cell>
          <cell r="F655">
            <v>642.12174318092991</v>
          </cell>
          <cell r="K655">
            <v>643.09772951628815</v>
          </cell>
          <cell r="O655">
            <v>625.80695584212572</v>
          </cell>
        </row>
        <row r="656">
          <cell r="B656">
            <v>679.49383625863766</v>
          </cell>
          <cell r="F656">
            <v>642.18398803243463</v>
          </cell>
          <cell r="K656">
            <v>643.243830207305</v>
          </cell>
          <cell r="O656">
            <v>625.84017194216506</v>
          </cell>
        </row>
        <row r="657">
          <cell r="B657">
            <v>679.71095260612049</v>
          </cell>
          <cell r="F657">
            <v>642.25349711801493</v>
          </cell>
          <cell r="K657">
            <v>643.370187561698</v>
          </cell>
          <cell r="O657">
            <v>625.8743649863228</v>
          </cell>
        </row>
        <row r="658">
          <cell r="B658">
            <v>679.95340030602188</v>
          </cell>
          <cell r="F658">
            <v>642.32802278722147</v>
          </cell>
          <cell r="K658">
            <v>643.51135241855889</v>
          </cell>
          <cell r="O658">
            <v>625.91344275107463</v>
          </cell>
        </row>
        <row r="659">
          <cell r="B659">
            <v>680.17684537018749</v>
          </cell>
          <cell r="F659">
            <v>642.40042560570532</v>
          </cell>
          <cell r="K659">
            <v>643.64363277393875</v>
          </cell>
          <cell r="O659">
            <v>625.9534974599452</v>
          </cell>
        </row>
        <row r="660">
          <cell r="B660">
            <v>680.39197821322819</v>
          </cell>
          <cell r="F660">
            <v>642.47082710531447</v>
          </cell>
          <cell r="K660">
            <v>643.7680157946694</v>
          </cell>
          <cell r="O660">
            <v>625.99159828057827</v>
          </cell>
        </row>
        <row r="661">
          <cell r="B661">
            <v>680.42580938795663</v>
          </cell>
          <cell r="F661">
            <v>642.54849543278635</v>
          </cell>
          <cell r="K661">
            <v>643.78479763079963</v>
          </cell>
          <cell r="O661">
            <v>626.03067604533021</v>
          </cell>
        </row>
        <row r="662">
          <cell r="B662">
            <v>680.63027775913122</v>
          </cell>
          <cell r="F662">
            <v>642.61288836459551</v>
          </cell>
          <cell r="K662">
            <v>643.90819348469893</v>
          </cell>
          <cell r="O662">
            <v>626.06291520125046</v>
          </cell>
        </row>
        <row r="663">
          <cell r="B663">
            <v>680.848788094768</v>
          </cell>
          <cell r="F663">
            <v>642.67828733880413</v>
          </cell>
          <cell r="K663">
            <v>644.02961500493586</v>
          </cell>
          <cell r="O663">
            <v>626.09613130128946</v>
          </cell>
        </row>
        <row r="664">
          <cell r="B664">
            <v>681.06933035538009</v>
          </cell>
          <cell r="F664">
            <v>642.74581740914425</v>
          </cell>
          <cell r="K664">
            <v>644.15597235932876</v>
          </cell>
          <cell r="O664">
            <v>626.12837045720994</v>
          </cell>
        </row>
        <row r="665">
          <cell r="B665">
            <v>681.30774238894378</v>
          </cell>
          <cell r="F665">
            <v>642.81547889800697</v>
          </cell>
          <cell r="K665">
            <v>644.2961500493584</v>
          </cell>
          <cell r="O665">
            <v>626.15963266901133</v>
          </cell>
        </row>
        <row r="666">
          <cell r="B666">
            <v>681.54610351431393</v>
          </cell>
          <cell r="F666">
            <v>642.87587329034773</v>
          </cell>
          <cell r="K666">
            <v>644.43928923988153</v>
          </cell>
          <cell r="O666">
            <v>626.18796404845637</v>
          </cell>
        </row>
        <row r="667">
          <cell r="B667">
            <v>681.76597981243833</v>
          </cell>
          <cell r="F667">
            <v>642.93213641070724</v>
          </cell>
          <cell r="K667">
            <v>644.55577492596251</v>
          </cell>
          <cell r="O667">
            <v>626.21531848378277</v>
          </cell>
        </row>
        <row r="668">
          <cell r="B668">
            <v>681.99806043435342</v>
          </cell>
          <cell r="F668">
            <v>642.99189906213348</v>
          </cell>
          <cell r="K668">
            <v>644.69595261599216</v>
          </cell>
          <cell r="O668">
            <v>626.23388042203976</v>
          </cell>
        </row>
        <row r="669">
          <cell r="B669">
            <v>682.21669100197448</v>
          </cell>
          <cell r="F669">
            <v>643.04740788393894</v>
          </cell>
          <cell r="K669">
            <v>644.82033563672269</v>
          </cell>
          <cell r="O669">
            <v>626.25439624853448</v>
          </cell>
        </row>
        <row r="670">
          <cell r="B670">
            <v>682.44475611056259</v>
          </cell>
          <cell r="F670">
            <v>643.09577482903467</v>
          </cell>
          <cell r="K670">
            <v>644.95360315893379</v>
          </cell>
          <cell r="O670">
            <v>626.27100429855409</v>
          </cell>
        </row>
        <row r="671">
          <cell r="B671">
            <v>682.67930807008895</v>
          </cell>
          <cell r="F671">
            <v>643.14715315064484</v>
          </cell>
          <cell r="K671">
            <v>645.08687068114511</v>
          </cell>
          <cell r="O671">
            <v>626.29054318093006</v>
          </cell>
        </row>
        <row r="672">
          <cell r="B672">
            <v>682.90962774432387</v>
          </cell>
          <cell r="F672">
            <v>643.20880971570921</v>
          </cell>
          <cell r="K672">
            <v>645.2191510365252</v>
          </cell>
          <cell r="O672">
            <v>626.31398983978113</v>
          </cell>
        </row>
        <row r="673">
          <cell r="B673">
            <v>683.11985462981227</v>
          </cell>
          <cell r="F673">
            <v>643.26219902794071</v>
          </cell>
          <cell r="K673">
            <v>645.34155972359315</v>
          </cell>
          <cell r="O673">
            <v>626.33548261039471</v>
          </cell>
        </row>
        <row r="674">
          <cell r="B674">
            <v>683.28821705824282</v>
          </cell>
          <cell r="F674">
            <v>643.31358369968734</v>
          </cell>
          <cell r="K674">
            <v>645.42744323790726</v>
          </cell>
          <cell r="O674">
            <v>626.35502149277056</v>
          </cell>
        </row>
        <row r="675">
          <cell r="B675">
            <v>683.34425049358344</v>
          </cell>
          <cell r="F675">
            <v>643.36509185228613</v>
          </cell>
          <cell r="K675">
            <v>645.45903257650548</v>
          </cell>
          <cell r="O675">
            <v>626.37162954279017</v>
          </cell>
        </row>
        <row r="676">
          <cell r="B676">
            <v>683.59007952616003</v>
          </cell>
          <cell r="F676">
            <v>643.41459482708103</v>
          </cell>
          <cell r="K676">
            <v>645.61500493583424</v>
          </cell>
          <cell r="O676">
            <v>626.38628370457218</v>
          </cell>
        </row>
        <row r="677">
          <cell r="B677">
            <v>683.78823121421522</v>
          </cell>
          <cell r="F677">
            <v>643.45494610199285</v>
          </cell>
          <cell r="K677">
            <v>645.71372161895363</v>
          </cell>
          <cell r="O677">
            <v>626.39507620164125</v>
          </cell>
        </row>
        <row r="678">
          <cell r="B678">
            <v>684.00827478775909</v>
          </cell>
          <cell r="F678">
            <v>643.50031625635017</v>
          </cell>
          <cell r="K678">
            <v>645.83613030602169</v>
          </cell>
          <cell r="O678">
            <v>626.4087534193045</v>
          </cell>
        </row>
        <row r="679">
          <cell r="B679">
            <v>684.23348801579471</v>
          </cell>
          <cell r="F679">
            <v>643.54982354435322</v>
          </cell>
          <cell r="K679">
            <v>645.96643632773942</v>
          </cell>
          <cell r="O679">
            <v>626.42340758108639</v>
          </cell>
        </row>
        <row r="680">
          <cell r="B680">
            <v>684.44837170779874</v>
          </cell>
          <cell r="F680">
            <v>643.60435098182882</v>
          </cell>
          <cell r="K680">
            <v>646.08390918065163</v>
          </cell>
          <cell r="O680">
            <v>626.44294646346225</v>
          </cell>
        </row>
        <row r="681">
          <cell r="B681">
            <v>684.66842462981253</v>
          </cell>
          <cell r="F681">
            <v>643.65374074345448</v>
          </cell>
          <cell r="K681">
            <v>646.20927936821329</v>
          </cell>
          <cell r="O681">
            <v>626.46053145760061</v>
          </cell>
        </row>
        <row r="682">
          <cell r="B682">
            <v>684.91189880552815</v>
          </cell>
          <cell r="F682">
            <v>643.70224941383367</v>
          </cell>
          <cell r="K682">
            <v>646.34452122408698</v>
          </cell>
          <cell r="O682">
            <v>626.47420867526387</v>
          </cell>
        </row>
        <row r="683">
          <cell r="B683">
            <v>685.12993085883534</v>
          </cell>
          <cell r="F683">
            <v>643.75288815943736</v>
          </cell>
          <cell r="K683">
            <v>646.46791707798627</v>
          </cell>
          <cell r="O683">
            <v>626.48690894880815</v>
          </cell>
        </row>
        <row r="684">
          <cell r="B684">
            <v>685.35541455577493</v>
          </cell>
          <cell r="F684">
            <v>643.80629869089489</v>
          </cell>
          <cell r="K684">
            <v>646.59526159921029</v>
          </cell>
          <cell r="O684">
            <v>626.50840171942173</v>
          </cell>
        </row>
        <row r="685">
          <cell r="B685">
            <v>685.5946323790721</v>
          </cell>
          <cell r="F685">
            <v>643.86573516998828</v>
          </cell>
          <cell r="K685">
            <v>646.73247778874634</v>
          </cell>
          <cell r="O685">
            <v>626.5357561547479</v>
          </cell>
        </row>
        <row r="686">
          <cell r="B686">
            <v>685.796117058243</v>
          </cell>
          <cell r="F686">
            <v>643.9314400156311</v>
          </cell>
          <cell r="K686">
            <v>646.83711747285304</v>
          </cell>
          <cell r="O686">
            <v>626.5631105900743</v>
          </cell>
        </row>
        <row r="687">
          <cell r="B687">
            <v>686.05129979269498</v>
          </cell>
          <cell r="F687">
            <v>643.98674521785858</v>
          </cell>
          <cell r="K687">
            <v>646.98321816386976</v>
          </cell>
          <cell r="O687">
            <v>626.58948808128173</v>
          </cell>
        </row>
        <row r="688">
          <cell r="B688">
            <v>686.10515923000992</v>
          </cell>
          <cell r="F688">
            <v>644.05032719812425</v>
          </cell>
          <cell r="K688">
            <v>647.01875616979271</v>
          </cell>
          <cell r="O688">
            <v>626.61781946072688</v>
          </cell>
        </row>
        <row r="689">
          <cell r="B689">
            <v>686.26331959526158</v>
          </cell>
          <cell r="F689">
            <v>644.1108997655333</v>
          </cell>
          <cell r="K689">
            <v>647.09772951628827</v>
          </cell>
          <cell r="O689">
            <v>626.64322000781544</v>
          </cell>
        </row>
        <row r="690">
          <cell r="B690">
            <v>686.49003020730493</v>
          </cell>
          <cell r="F690">
            <v>644.17147512700274</v>
          </cell>
          <cell r="K690">
            <v>647.22606120434341</v>
          </cell>
          <cell r="O690">
            <v>626.66862055490424</v>
          </cell>
        </row>
        <row r="691">
          <cell r="B691">
            <v>686.71677675222111</v>
          </cell>
          <cell r="F691">
            <v>644.22176924579912</v>
          </cell>
          <cell r="K691">
            <v>647.35439289239878</v>
          </cell>
          <cell r="O691">
            <v>626.6901133255177</v>
          </cell>
        </row>
        <row r="692">
          <cell r="B692">
            <v>686.94375001974345</v>
          </cell>
          <cell r="F692">
            <v>644.28234972645566</v>
          </cell>
          <cell r="K692">
            <v>647.47680157946695</v>
          </cell>
          <cell r="O692">
            <v>626.71551387260649</v>
          </cell>
        </row>
        <row r="693">
          <cell r="B693">
            <v>687.16742645113516</v>
          </cell>
          <cell r="F693">
            <v>644.34506231926525</v>
          </cell>
          <cell r="K693">
            <v>647.60217176702861</v>
          </cell>
          <cell r="O693">
            <v>626.73993747557631</v>
          </cell>
        </row>
        <row r="694">
          <cell r="B694">
            <v>687.38170944225067</v>
          </cell>
          <cell r="F694">
            <v>644.39335422528336</v>
          </cell>
          <cell r="K694">
            <v>647.71865745310959</v>
          </cell>
          <cell r="O694">
            <v>626.75947635795239</v>
          </cell>
        </row>
        <row r="695">
          <cell r="B695">
            <v>687.60545483711746</v>
          </cell>
          <cell r="F695">
            <v>644.43775042985544</v>
          </cell>
          <cell r="K695">
            <v>647.84402764067124</v>
          </cell>
          <cell r="O695">
            <v>626.77217663149679</v>
          </cell>
        </row>
        <row r="696">
          <cell r="B696">
            <v>687.8314272852914</v>
          </cell>
          <cell r="F696">
            <v>644.49042482903474</v>
          </cell>
          <cell r="K696">
            <v>647.96841066140189</v>
          </cell>
          <cell r="O696">
            <v>626.78683079327857</v>
          </cell>
        </row>
        <row r="697">
          <cell r="B697">
            <v>688.04895516288263</v>
          </cell>
          <cell r="F697">
            <v>644.53996697928881</v>
          </cell>
          <cell r="K697">
            <v>648.08785784797635</v>
          </cell>
          <cell r="O697">
            <v>626.80148495506057</v>
          </cell>
        </row>
        <row r="698">
          <cell r="B698">
            <v>688.26651648568611</v>
          </cell>
          <cell r="F698">
            <v>644.58537202032051</v>
          </cell>
          <cell r="K698">
            <v>648.20730503455081</v>
          </cell>
          <cell r="O698">
            <v>626.81516217272372</v>
          </cell>
        </row>
        <row r="699">
          <cell r="B699">
            <v>688.48944952122406</v>
          </cell>
          <cell r="F699">
            <v>644.63089849062135</v>
          </cell>
          <cell r="K699">
            <v>648.32872655478775</v>
          </cell>
          <cell r="O699">
            <v>626.82590855803051</v>
          </cell>
        </row>
        <row r="700">
          <cell r="B700">
            <v>688.70612700888444</v>
          </cell>
          <cell r="F700">
            <v>644.67341189917931</v>
          </cell>
          <cell r="K700">
            <v>648.44422507403749</v>
          </cell>
          <cell r="O700">
            <v>626.83372411098082</v>
          </cell>
        </row>
        <row r="701">
          <cell r="B701">
            <v>688.90472088845013</v>
          </cell>
          <cell r="F701">
            <v>644.71793577080905</v>
          </cell>
          <cell r="K701">
            <v>648.55182625863767</v>
          </cell>
          <cell r="O701">
            <v>626.84349355216887</v>
          </cell>
        </row>
        <row r="702">
          <cell r="B702">
            <v>688.9323724383022</v>
          </cell>
          <cell r="F702">
            <v>644.75832160023435</v>
          </cell>
          <cell r="K702">
            <v>648.56564659427454</v>
          </cell>
          <cell r="O702">
            <v>626.85228604923793</v>
          </cell>
        </row>
        <row r="703">
          <cell r="B703">
            <v>689.13548458538992</v>
          </cell>
          <cell r="F703">
            <v>644.80497691969504</v>
          </cell>
          <cell r="K703">
            <v>648.66831194471865</v>
          </cell>
          <cell r="O703">
            <v>626.86107854630711</v>
          </cell>
        </row>
        <row r="704">
          <cell r="B704">
            <v>689.36370266535039</v>
          </cell>
          <cell r="F704">
            <v>644.84347413051978</v>
          </cell>
          <cell r="K704">
            <v>648.79763079960514</v>
          </cell>
          <cell r="O704">
            <v>626.86498632278233</v>
          </cell>
        </row>
        <row r="705">
          <cell r="B705">
            <v>689.56907317374146</v>
          </cell>
          <cell r="F705">
            <v>644.88599183763188</v>
          </cell>
          <cell r="K705">
            <v>648.89930898321825</v>
          </cell>
          <cell r="O705">
            <v>626.87280187573276</v>
          </cell>
        </row>
        <row r="706">
          <cell r="B706">
            <v>689.78267263573548</v>
          </cell>
          <cell r="F706">
            <v>644.9283911977335</v>
          </cell>
          <cell r="K706">
            <v>649.01480750246787</v>
          </cell>
          <cell r="O706">
            <v>626.88354826103944</v>
          </cell>
        </row>
        <row r="707">
          <cell r="B707">
            <v>690.02998033563654</v>
          </cell>
          <cell r="F707">
            <v>644.97694146150832</v>
          </cell>
          <cell r="K707">
            <v>649.15893385982224</v>
          </cell>
          <cell r="O707">
            <v>626.89722547870258</v>
          </cell>
        </row>
        <row r="708">
          <cell r="B708">
            <v>690.24909233958533</v>
          </cell>
          <cell r="F708">
            <v>645.02649840269635</v>
          </cell>
          <cell r="K708">
            <v>649.27344521224086</v>
          </cell>
          <cell r="O708">
            <v>626.91187964048459</v>
          </cell>
        </row>
        <row r="709">
          <cell r="B709">
            <v>690.45879216189542</v>
          </cell>
          <cell r="F709">
            <v>645.07593798847199</v>
          </cell>
          <cell r="K709">
            <v>649.37907206317868</v>
          </cell>
          <cell r="O709">
            <v>626.92946463462283</v>
          </cell>
        </row>
        <row r="710">
          <cell r="B710">
            <v>690.68207237907188</v>
          </cell>
          <cell r="F710">
            <v>645.127508792497</v>
          </cell>
          <cell r="K710">
            <v>649.5004935834155</v>
          </cell>
          <cell r="O710">
            <v>626.94607268464244</v>
          </cell>
        </row>
        <row r="711">
          <cell r="B711">
            <v>690.90223810463965</v>
          </cell>
          <cell r="F711">
            <v>645.17807609417741</v>
          </cell>
          <cell r="K711">
            <v>649.61895360315896</v>
          </cell>
          <cell r="O711">
            <v>626.9617037905432</v>
          </cell>
        </row>
        <row r="712">
          <cell r="B712">
            <v>691.143537709773</v>
          </cell>
          <cell r="F712">
            <v>645.22249409437268</v>
          </cell>
          <cell r="K712">
            <v>649.75419545903253</v>
          </cell>
          <cell r="O712">
            <v>626.97440406408748</v>
          </cell>
        </row>
        <row r="713">
          <cell r="B713">
            <v>691.3637751678184</v>
          </cell>
          <cell r="F713">
            <v>645.27306459554529</v>
          </cell>
          <cell r="K713">
            <v>649.87265547877598</v>
          </cell>
          <cell r="O713">
            <v>626.99003516998835</v>
          </cell>
        </row>
        <row r="714">
          <cell r="B714">
            <v>691.58414591312942</v>
          </cell>
          <cell r="F714">
            <v>645.32464230168034</v>
          </cell>
          <cell r="K714">
            <v>649.98815399802572</v>
          </cell>
          <cell r="O714">
            <v>627.00664322000785</v>
          </cell>
        </row>
        <row r="715">
          <cell r="B715">
            <v>691.67251399308986</v>
          </cell>
          <cell r="F715">
            <v>645.37308671844482</v>
          </cell>
          <cell r="K715">
            <v>650.03455083909182</v>
          </cell>
          <cell r="O715">
            <v>627.02325127002746</v>
          </cell>
        </row>
        <row r="716">
          <cell r="B716">
            <v>691.79929886475816</v>
          </cell>
          <cell r="F716">
            <v>645.41650487983588</v>
          </cell>
          <cell r="K716">
            <v>650.09871668311951</v>
          </cell>
          <cell r="O716">
            <v>627.03497459945288</v>
          </cell>
        </row>
        <row r="717">
          <cell r="B717">
            <v>692.01438583415597</v>
          </cell>
          <cell r="F717">
            <v>645.46932991402889</v>
          </cell>
          <cell r="K717">
            <v>650.21224086870689</v>
          </cell>
          <cell r="O717">
            <v>627.04669792887842</v>
          </cell>
        </row>
        <row r="718">
          <cell r="B718">
            <v>692.23791192497526</v>
          </cell>
          <cell r="F718">
            <v>645.51085738569759</v>
          </cell>
          <cell r="K718">
            <v>650.33366238894371</v>
          </cell>
          <cell r="O718">
            <v>627.05353653770999</v>
          </cell>
        </row>
        <row r="719">
          <cell r="B719">
            <v>692.45947088845037</v>
          </cell>
          <cell r="F719">
            <v>645.54209202813604</v>
          </cell>
          <cell r="K719">
            <v>650.4501480750248</v>
          </cell>
          <cell r="O719">
            <v>627.05646737006646</v>
          </cell>
        </row>
        <row r="720">
          <cell r="B720">
            <v>692.69587946692991</v>
          </cell>
          <cell r="F720">
            <v>645.57658013384139</v>
          </cell>
          <cell r="K720">
            <v>650.5774925962487</v>
          </cell>
          <cell r="O720">
            <v>627.05646737006646</v>
          </cell>
        </row>
        <row r="721">
          <cell r="B721">
            <v>692.87381224086869</v>
          </cell>
          <cell r="F721">
            <v>645.61018009476356</v>
          </cell>
          <cell r="K721">
            <v>650.67127344521225</v>
          </cell>
          <cell r="O721">
            <v>627.05255959359124</v>
          </cell>
        </row>
        <row r="722">
          <cell r="B722">
            <v>693.04470775419531</v>
          </cell>
          <cell r="F722">
            <v>645.63750910023452</v>
          </cell>
          <cell r="K722">
            <v>650.74925962487657</v>
          </cell>
          <cell r="O722">
            <v>627.04865181711614</v>
          </cell>
        </row>
        <row r="723">
          <cell r="B723">
            <v>693.2196305626851</v>
          </cell>
          <cell r="F723">
            <v>645.65276626123477</v>
          </cell>
          <cell r="K723">
            <v>650.83711747285292</v>
          </cell>
          <cell r="O723">
            <v>627.03302071121527</v>
          </cell>
        </row>
        <row r="724">
          <cell r="B724">
            <v>693.42191627344528</v>
          </cell>
          <cell r="F724">
            <v>645.66825595447438</v>
          </cell>
          <cell r="K724">
            <v>650.9506416584403</v>
          </cell>
          <cell r="O724">
            <v>627.01152794060181</v>
          </cell>
        </row>
        <row r="725">
          <cell r="B725">
            <v>693.61812051332686</v>
          </cell>
          <cell r="F725">
            <v>645.67758991793664</v>
          </cell>
          <cell r="K725">
            <v>651.05231984205341</v>
          </cell>
          <cell r="O725">
            <v>626.98710433763188</v>
          </cell>
        </row>
        <row r="726">
          <cell r="B726">
            <v>693.81550428430398</v>
          </cell>
          <cell r="F726">
            <v>645.67763323563895</v>
          </cell>
          <cell r="K726">
            <v>651.15202369200392</v>
          </cell>
          <cell r="O726">
            <v>626.95974990230559</v>
          </cell>
        </row>
        <row r="727">
          <cell r="B727">
            <v>693.99788734945696</v>
          </cell>
          <cell r="F727">
            <v>645.67891259280987</v>
          </cell>
          <cell r="K727">
            <v>651.24679170779859</v>
          </cell>
          <cell r="O727">
            <v>626.92751074638545</v>
          </cell>
        </row>
        <row r="728">
          <cell r="B728">
            <v>694.16872108588359</v>
          </cell>
          <cell r="F728">
            <v>645.68030421062917</v>
          </cell>
          <cell r="K728">
            <v>651.33070088845011</v>
          </cell>
          <cell r="O728">
            <v>626.89234075810862</v>
          </cell>
        </row>
        <row r="729">
          <cell r="B729">
            <v>694.37144386969385</v>
          </cell>
          <cell r="F729">
            <v>645.67441676436113</v>
          </cell>
          <cell r="K729">
            <v>651.4353405725567</v>
          </cell>
          <cell r="O729">
            <v>626.85619382571326</v>
          </cell>
        </row>
        <row r="730">
          <cell r="B730">
            <v>694.4001558242843</v>
          </cell>
          <cell r="F730">
            <v>645.67367245506068</v>
          </cell>
          <cell r="K730">
            <v>651.45310957551828</v>
          </cell>
          <cell r="O730">
            <v>626.8220007815554</v>
          </cell>
        </row>
        <row r="731">
          <cell r="B731">
            <v>694.57409534550834</v>
          </cell>
          <cell r="F731">
            <v>645.67404555490418</v>
          </cell>
          <cell r="K731">
            <v>651.542941757157</v>
          </cell>
          <cell r="O731">
            <v>626.78585384915971</v>
          </cell>
        </row>
        <row r="732">
          <cell r="B732">
            <v>694.75752877097727</v>
          </cell>
          <cell r="F732">
            <v>645.66915325322395</v>
          </cell>
          <cell r="K732">
            <v>651.64165844027639</v>
          </cell>
          <cell r="O732">
            <v>626.75068386088321</v>
          </cell>
        </row>
        <row r="733">
          <cell r="B733">
            <v>694.94981021224089</v>
          </cell>
          <cell r="F733">
            <v>645.67130280871447</v>
          </cell>
          <cell r="K733">
            <v>651.73642645607106</v>
          </cell>
          <cell r="O733">
            <v>626.72235248143818</v>
          </cell>
        </row>
        <row r="734">
          <cell r="B734">
            <v>695.13665262586392</v>
          </cell>
          <cell r="F734">
            <v>645.68273609320045</v>
          </cell>
          <cell r="K734">
            <v>651.83218163869708</v>
          </cell>
          <cell r="O734">
            <v>626.69695193434939</v>
          </cell>
        </row>
        <row r="735">
          <cell r="B735">
            <v>695.3319429565646</v>
          </cell>
          <cell r="F735">
            <v>645.68901978311851</v>
          </cell>
          <cell r="K735">
            <v>651.93583415597232</v>
          </cell>
          <cell r="O735">
            <v>626.6695974990231</v>
          </cell>
        </row>
        <row r="736">
          <cell r="B736">
            <v>695.52314935834158</v>
          </cell>
          <cell r="F736">
            <v>645.69731376025788</v>
          </cell>
          <cell r="K736">
            <v>652.03257650542946</v>
          </cell>
          <cell r="O736">
            <v>626.6441969519343</v>
          </cell>
        </row>
        <row r="737">
          <cell r="B737">
            <v>695.72059948667311</v>
          </cell>
          <cell r="F737">
            <v>645.70045845545133</v>
          </cell>
          <cell r="K737">
            <v>652.13820335636717</v>
          </cell>
          <cell r="O737">
            <v>626.61684251660813</v>
          </cell>
        </row>
        <row r="738">
          <cell r="B738">
            <v>695.915018662389</v>
          </cell>
          <cell r="F738">
            <v>645.71702629933566</v>
          </cell>
          <cell r="K738">
            <v>652.23790720631791</v>
          </cell>
          <cell r="O738">
            <v>626.59339585775683</v>
          </cell>
        </row>
        <row r="739">
          <cell r="B739">
            <v>696.10494664856878</v>
          </cell>
          <cell r="F739">
            <v>645.72721297381793</v>
          </cell>
          <cell r="K739">
            <v>652.34254689042461</v>
          </cell>
          <cell r="O739">
            <v>626.57288003126223</v>
          </cell>
        </row>
        <row r="740">
          <cell r="B740">
            <v>696.30794869200417</v>
          </cell>
          <cell r="F740">
            <v>645.73437702227432</v>
          </cell>
          <cell r="K740">
            <v>652.4471865745312</v>
          </cell>
          <cell r="O740">
            <v>626.54943337241104</v>
          </cell>
        </row>
        <row r="741">
          <cell r="B741">
            <v>696.48443502467933</v>
          </cell>
          <cell r="F741">
            <v>645.74881090269639</v>
          </cell>
          <cell r="K741">
            <v>652.53307008884508</v>
          </cell>
          <cell r="O741">
            <v>626.52696365767883</v>
          </cell>
        </row>
        <row r="742">
          <cell r="B742">
            <v>696.67263710760119</v>
          </cell>
          <cell r="F742">
            <v>645.76122813599056</v>
          </cell>
          <cell r="K742">
            <v>652.62685093780851</v>
          </cell>
          <cell r="O742">
            <v>626.50254005470879</v>
          </cell>
        </row>
        <row r="743">
          <cell r="B743">
            <v>696.86297235932886</v>
          </cell>
          <cell r="F743">
            <v>645.76737765728808</v>
          </cell>
          <cell r="K743">
            <v>652.72260612043442</v>
          </cell>
          <cell r="O743">
            <v>626.47811645173897</v>
          </cell>
        </row>
        <row r="744">
          <cell r="B744">
            <v>697.05754969397822</v>
          </cell>
          <cell r="F744">
            <v>645.77352473622511</v>
          </cell>
          <cell r="K744">
            <v>652.82230997038494</v>
          </cell>
          <cell r="O744">
            <v>626.45369284876904</v>
          </cell>
        </row>
        <row r="745">
          <cell r="B745">
            <v>697.13983582922015</v>
          </cell>
          <cell r="F745">
            <v>645.78604440211018</v>
          </cell>
          <cell r="K745">
            <v>652.86574531095755</v>
          </cell>
          <cell r="O745">
            <v>626.42633841344275</v>
          </cell>
        </row>
        <row r="746">
          <cell r="B746">
            <v>697.23739528134263</v>
          </cell>
          <cell r="F746">
            <v>645.78513578546313</v>
          </cell>
          <cell r="K746">
            <v>652.90819348469893</v>
          </cell>
          <cell r="O746">
            <v>626.39507620164125</v>
          </cell>
        </row>
        <row r="747">
          <cell r="B747">
            <v>697.42137931885497</v>
          </cell>
          <cell r="F747">
            <v>645.78836310082067</v>
          </cell>
          <cell r="K747">
            <v>653.00098716683124</v>
          </cell>
          <cell r="O747">
            <v>626.3647909339586</v>
          </cell>
        </row>
        <row r="748">
          <cell r="B748">
            <v>697.61634042448179</v>
          </cell>
          <cell r="F748">
            <v>645.78755791324738</v>
          </cell>
          <cell r="K748">
            <v>653.09180651530107</v>
          </cell>
          <cell r="O748">
            <v>626.33059788980074</v>
          </cell>
        </row>
        <row r="749">
          <cell r="B749">
            <v>697.78656248766049</v>
          </cell>
          <cell r="F749">
            <v>645.78372692457992</v>
          </cell>
          <cell r="K749">
            <v>653.17472852912147</v>
          </cell>
          <cell r="O749">
            <v>626.29347401328641</v>
          </cell>
        </row>
        <row r="750">
          <cell r="B750">
            <v>697.97915871174735</v>
          </cell>
          <cell r="F750">
            <v>645.77787705158255</v>
          </cell>
          <cell r="K750">
            <v>653.27245804540973</v>
          </cell>
          <cell r="O750">
            <v>626.25439624853448</v>
          </cell>
        </row>
        <row r="751">
          <cell r="B751">
            <v>698.17916532082927</v>
          </cell>
          <cell r="F751">
            <v>645.77202288003139</v>
          </cell>
          <cell r="K751">
            <v>653.37709772951632</v>
          </cell>
          <cell r="O751">
            <v>626.21531848378277</v>
          </cell>
        </row>
        <row r="752">
          <cell r="B752">
            <v>698.37191764067131</v>
          </cell>
          <cell r="F752">
            <v>645.76828777842911</v>
          </cell>
          <cell r="K752">
            <v>653.47186574531099</v>
          </cell>
          <cell r="O752">
            <v>626.17526377491208</v>
          </cell>
        </row>
        <row r="753">
          <cell r="B753">
            <v>698.55087737907206</v>
          </cell>
          <cell r="F753">
            <v>645.75940206135203</v>
          </cell>
          <cell r="K753">
            <v>653.55676209279363</v>
          </cell>
          <cell r="O753">
            <v>626.13325517780379</v>
          </cell>
        </row>
        <row r="754">
          <cell r="B754">
            <v>698.72563899308989</v>
          </cell>
          <cell r="F754">
            <v>645.74345838218062</v>
          </cell>
          <cell r="K754">
            <v>653.63770977295167</v>
          </cell>
          <cell r="O754">
            <v>626.08440797186404</v>
          </cell>
        </row>
        <row r="755">
          <cell r="B755">
            <v>698.92173531589344</v>
          </cell>
          <cell r="F755">
            <v>645.72840982805781</v>
          </cell>
          <cell r="K755">
            <v>653.73247778874634</v>
          </cell>
          <cell r="O755">
            <v>626.03946854239939</v>
          </cell>
        </row>
        <row r="756">
          <cell r="B756">
            <v>699.10267152023698</v>
          </cell>
          <cell r="F756">
            <v>645.72163218053913</v>
          </cell>
          <cell r="K756">
            <v>653.82527147087865</v>
          </cell>
          <cell r="O756">
            <v>625.99648300117224</v>
          </cell>
        </row>
        <row r="757">
          <cell r="B757">
            <v>699.2976623593288</v>
          </cell>
          <cell r="F757">
            <v>645.71071182590856</v>
          </cell>
          <cell r="K757">
            <v>653.92201382033568</v>
          </cell>
          <cell r="O757">
            <v>625.95252051582645</v>
          </cell>
        </row>
        <row r="758">
          <cell r="B758">
            <v>699.49257759131297</v>
          </cell>
          <cell r="F758">
            <v>645.69978663540439</v>
          </cell>
          <cell r="K758">
            <v>654.02171767028631</v>
          </cell>
          <cell r="O758">
            <v>625.90855803048066</v>
          </cell>
        </row>
        <row r="759">
          <cell r="B759">
            <v>699.68867847482738</v>
          </cell>
          <cell r="F759">
            <v>645.68169575029322</v>
          </cell>
          <cell r="K759">
            <v>654.11944718657458</v>
          </cell>
          <cell r="O759">
            <v>625.86068776865966</v>
          </cell>
        </row>
        <row r="760">
          <cell r="B760">
            <v>699.85165730997051</v>
          </cell>
          <cell r="F760">
            <v>645.66683437866357</v>
          </cell>
          <cell r="K760">
            <v>654.19842053307025</v>
          </cell>
          <cell r="O760">
            <v>625.80988667448219</v>
          </cell>
        </row>
        <row r="761">
          <cell r="B761">
            <v>699.87414313919055</v>
          </cell>
          <cell r="F761">
            <v>645.64570932004688</v>
          </cell>
          <cell r="K761">
            <v>654.21026653504441</v>
          </cell>
          <cell r="O761">
            <v>625.75908558030483</v>
          </cell>
        </row>
        <row r="762">
          <cell r="B762">
            <v>700.0649133464957</v>
          </cell>
          <cell r="F762">
            <v>645.62993258597089</v>
          </cell>
          <cell r="K762">
            <v>654.30602171767032</v>
          </cell>
          <cell r="O762">
            <v>625.70437670965214</v>
          </cell>
        </row>
        <row r="763">
          <cell r="B763">
            <v>700.25168995064155</v>
          </cell>
          <cell r="F763">
            <v>645.60587602579153</v>
          </cell>
          <cell r="K763">
            <v>654.3919052319842</v>
          </cell>
          <cell r="O763">
            <v>625.64771395076218</v>
          </cell>
        </row>
        <row r="764">
          <cell r="B764">
            <v>700.44029552813424</v>
          </cell>
          <cell r="F764">
            <v>645.5807015924189</v>
          </cell>
          <cell r="K764">
            <v>654.48864758144134</v>
          </cell>
          <cell r="O764">
            <v>625.59300508010949</v>
          </cell>
        </row>
        <row r="765">
          <cell r="B765">
            <v>700.64096134254692</v>
          </cell>
          <cell r="F765">
            <v>645.55371134232132</v>
          </cell>
          <cell r="K765">
            <v>654.58440276406714</v>
          </cell>
          <cell r="O765">
            <v>625.53048065650648</v>
          </cell>
        </row>
        <row r="766">
          <cell r="B766">
            <v>700.81482450148076</v>
          </cell>
          <cell r="F766">
            <v>645.51148701152783</v>
          </cell>
          <cell r="K766">
            <v>654.66732477788753</v>
          </cell>
          <cell r="O766">
            <v>625.45623290347783</v>
          </cell>
        </row>
        <row r="767">
          <cell r="B767">
            <v>701.01111007897327</v>
          </cell>
          <cell r="F767">
            <v>645.46017960140671</v>
          </cell>
          <cell r="K767">
            <v>654.76505429417568</v>
          </cell>
          <cell r="O767">
            <v>625.37319265338022</v>
          </cell>
        </row>
        <row r="768">
          <cell r="B768">
            <v>701.1841683909181</v>
          </cell>
          <cell r="F768">
            <v>645.39666125439624</v>
          </cell>
          <cell r="K768">
            <v>654.84106614017776</v>
          </cell>
          <cell r="O768">
            <v>625.28135990621331</v>
          </cell>
        </row>
        <row r="769">
          <cell r="B769">
            <v>701.36580843040485</v>
          </cell>
          <cell r="F769">
            <v>645.32728444704969</v>
          </cell>
          <cell r="K769">
            <v>654.92201382033568</v>
          </cell>
          <cell r="O769">
            <v>625.17780382962098</v>
          </cell>
        </row>
        <row r="770">
          <cell r="B770">
            <v>701.56005657946707</v>
          </cell>
          <cell r="F770">
            <v>645.24781031652981</v>
          </cell>
          <cell r="K770">
            <v>655.01776900296159</v>
          </cell>
          <cell r="O770">
            <v>625.0644783118405</v>
          </cell>
        </row>
        <row r="771">
          <cell r="B771">
            <v>701.76152710266547</v>
          </cell>
          <cell r="F771">
            <v>645.14391938257143</v>
          </cell>
          <cell r="K771">
            <v>655.12635735439301</v>
          </cell>
          <cell r="O771">
            <v>624.93356779992189</v>
          </cell>
        </row>
        <row r="772">
          <cell r="B772">
            <v>701.93901177690054</v>
          </cell>
          <cell r="F772">
            <v>645.03214302461902</v>
          </cell>
          <cell r="K772">
            <v>655.20335636722621</v>
          </cell>
          <cell r="O772">
            <v>624.78898007034002</v>
          </cell>
        </row>
        <row r="773">
          <cell r="B773">
            <v>702.12265855380053</v>
          </cell>
          <cell r="F773">
            <v>644.89926468347005</v>
          </cell>
          <cell r="K773">
            <v>655.29220138203357</v>
          </cell>
          <cell r="O773">
            <v>624.62094568190696</v>
          </cell>
        </row>
        <row r="774">
          <cell r="B774">
            <v>702.3084450148076</v>
          </cell>
          <cell r="F774">
            <v>644.73984964341537</v>
          </cell>
          <cell r="K774">
            <v>655.38302073050352</v>
          </cell>
          <cell r="O774">
            <v>624.4363032434544</v>
          </cell>
        </row>
        <row r="775">
          <cell r="B775">
            <v>702.47330296643634</v>
          </cell>
          <cell r="F775">
            <v>644.56840594958976</v>
          </cell>
          <cell r="K775">
            <v>655.44817374136233</v>
          </cell>
          <cell r="O775">
            <v>624.23700664322007</v>
          </cell>
        </row>
        <row r="776">
          <cell r="B776">
            <v>702.49477275419542</v>
          </cell>
          <cell r="F776">
            <v>644.38804830988659</v>
          </cell>
          <cell r="K776">
            <v>655.45903257650536</v>
          </cell>
          <cell r="O776">
            <v>624.0230558812035</v>
          </cell>
        </row>
        <row r="777">
          <cell r="B777">
            <v>702.66569130306004</v>
          </cell>
          <cell r="F777">
            <v>644.18748505275505</v>
          </cell>
          <cell r="K777">
            <v>655.53899308983205</v>
          </cell>
          <cell r="O777">
            <v>623.78956623681131</v>
          </cell>
        </row>
        <row r="778">
          <cell r="B778">
            <v>702.83441080454088</v>
          </cell>
          <cell r="F778">
            <v>643.96148594665885</v>
          </cell>
          <cell r="K778">
            <v>655.61994076999008</v>
          </cell>
          <cell r="O778">
            <v>623.53751465416178</v>
          </cell>
        </row>
        <row r="779">
          <cell r="B779">
            <v>703.02886199407692</v>
          </cell>
          <cell r="F779">
            <v>643.71931515240328</v>
          </cell>
          <cell r="K779">
            <v>655.71569595261599</v>
          </cell>
          <cell r="O779">
            <v>623.26983196561162</v>
          </cell>
        </row>
        <row r="780">
          <cell r="B780">
            <v>703.21910585883518</v>
          </cell>
          <cell r="F780">
            <v>643.47334208675261</v>
          </cell>
          <cell r="K780">
            <v>655.80750246791706</v>
          </cell>
          <cell r="O780">
            <v>622.98944900351694</v>
          </cell>
        </row>
        <row r="781">
          <cell r="B781">
            <v>703.41159624876616</v>
          </cell>
          <cell r="F781">
            <v>643.20587969421638</v>
          </cell>
          <cell r="K781">
            <v>655.89832181638701</v>
          </cell>
          <cell r="O781">
            <v>622.69734271199684</v>
          </cell>
        </row>
        <row r="782">
          <cell r="B782">
            <v>703.59130369200409</v>
          </cell>
          <cell r="F782">
            <v>642.92728426143026</v>
          </cell>
          <cell r="K782">
            <v>655.98025666337617</v>
          </cell>
          <cell r="O782">
            <v>622.39449003516995</v>
          </cell>
        </row>
        <row r="783">
          <cell r="B783">
            <v>703.75292848469905</v>
          </cell>
          <cell r="F783">
            <v>642.64680253516997</v>
          </cell>
          <cell r="K783">
            <v>656.04837117472857</v>
          </cell>
          <cell r="O783">
            <v>622.08382180539263</v>
          </cell>
        </row>
        <row r="784">
          <cell r="B784">
            <v>703.9411521618955</v>
          </cell>
          <cell r="F784">
            <v>642.35517811645184</v>
          </cell>
          <cell r="K784">
            <v>656.13820335636728</v>
          </cell>
          <cell r="O784">
            <v>621.76240719030875</v>
          </cell>
        </row>
        <row r="785">
          <cell r="B785">
            <v>704.11880874136227</v>
          </cell>
          <cell r="F785">
            <v>642.05015290152403</v>
          </cell>
          <cell r="K785">
            <v>656.21816386969397</v>
          </cell>
          <cell r="O785">
            <v>621.43708479874954</v>
          </cell>
        </row>
        <row r="786">
          <cell r="B786">
            <v>704.31565972359328</v>
          </cell>
          <cell r="F786">
            <v>641.74928745603756</v>
          </cell>
          <cell r="K786">
            <v>656.31293188548864</v>
          </cell>
          <cell r="O786">
            <v>621.10980851895272</v>
          </cell>
        </row>
        <row r="787">
          <cell r="B787">
            <v>704.50724063178677</v>
          </cell>
          <cell r="F787">
            <v>641.45761899179365</v>
          </cell>
          <cell r="K787">
            <v>656.40276406712735</v>
          </cell>
          <cell r="O787">
            <v>620.78546307151225</v>
          </cell>
        </row>
        <row r="788">
          <cell r="B788">
            <v>704.7039387561698</v>
          </cell>
          <cell r="F788">
            <v>641.15659820242286</v>
          </cell>
          <cell r="K788">
            <v>656.50345508390922</v>
          </cell>
          <cell r="O788">
            <v>620.4611176240719</v>
          </cell>
        </row>
        <row r="789">
          <cell r="B789">
            <v>704.88931727541944</v>
          </cell>
          <cell r="F789">
            <v>640.85857048651815</v>
          </cell>
          <cell r="K789">
            <v>656.58440276406714</v>
          </cell>
          <cell r="O789">
            <v>620.13970300898791</v>
          </cell>
        </row>
        <row r="790">
          <cell r="B790">
            <v>705.07779636722603</v>
          </cell>
          <cell r="F790">
            <v>640.56872489253612</v>
          </cell>
          <cell r="K790">
            <v>656.67127344521225</v>
          </cell>
          <cell r="O790">
            <v>619.82024228214152</v>
          </cell>
        </row>
        <row r="791">
          <cell r="B791">
            <v>705.18333080947684</v>
          </cell>
          <cell r="F791">
            <v>640.28590574443137</v>
          </cell>
          <cell r="K791">
            <v>656.72063178677195</v>
          </cell>
          <cell r="O791">
            <v>619.50762016412659</v>
          </cell>
        </row>
        <row r="792">
          <cell r="B792">
            <v>705.26524057255688</v>
          </cell>
          <cell r="F792">
            <v>640.00486538686994</v>
          </cell>
          <cell r="K792">
            <v>656.75715695952624</v>
          </cell>
          <cell r="O792">
            <v>619.20574443141857</v>
          </cell>
        </row>
        <row r="793">
          <cell r="B793">
            <v>705.44836525172775</v>
          </cell>
          <cell r="F793">
            <v>639.75024539370838</v>
          </cell>
          <cell r="K793">
            <v>656.842053307009</v>
          </cell>
          <cell r="O793">
            <v>618.92047674872993</v>
          </cell>
        </row>
        <row r="794">
          <cell r="B794">
            <v>705.65388482231003</v>
          </cell>
          <cell r="F794">
            <v>639.51477616256341</v>
          </cell>
          <cell r="K794">
            <v>656.94471865745322</v>
          </cell>
          <cell r="O794">
            <v>618.65377100429851</v>
          </cell>
        </row>
        <row r="795">
          <cell r="B795">
            <v>705.83398208292203</v>
          </cell>
          <cell r="F795">
            <v>639.29745136283702</v>
          </cell>
          <cell r="K795">
            <v>657.02369200394867</v>
          </cell>
          <cell r="O795">
            <v>618.40465025400545</v>
          </cell>
        </row>
        <row r="796">
          <cell r="B796">
            <v>706.03213323790715</v>
          </cell>
          <cell r="F796">
            <v>639.08894094372806</v>
          </cell>
          <cell r="K796">
            <v>657.11944718657446</v>
          </cell>
          <cell r="O796">
            <v>618.1760453302071</v>
          </cell>
        </row>
        <row r="797">
          <cell r="B797">
            <v>706.20071360315887</v>
          </cell>
          <cell r="F797">
            <v>638.92004045525596</v>
          </cell>
          <cell r="K797">
            <v>657.18460019743338</v>
          </cell>
          <cell r="O797">
            <v>617.9738178976163</v>
          </cell>
        </row>
        <row r="798">
          <cell r="B798">
            <v>706.37239289239881</v>
          </cell>
          <cell r="F798">
            <v>638.77939706916766</v>
          </cell>
          <cell r="K798">
            <v>657.25567620927939</v>
          </cell>
          <cell r="O798">
            <v>617.79894490035167</v>
          </cell>
        </row>
        <row r="799">
          <cell r="B799">
            <v>706.53221417077987</v>
          </cell>
          <cell r="F799">
            <v>638.66583270808906</v>
          </cell>
          <cell r="K799">
            <v>657.32181638696943</v>
          </cell>
          <cell r="O799">
            <v>617.65924189136376</v>
          </cell>
        </row>
        <row r="800">
          <cell r="B800">
            <v>706.70276871174724</v>
          </cell>
          <cell r="F800">
            <v>638.5886793571708</v>
          </cell>
          <cell r="K800">
            <v>657.39486673247779</v>
          </cell>
          <cell r="O800">
            <v>617.55177803829622</v>
          </cell>
        </row>
        <row r="801">
          <cell r="B801">
            <v>706.88830592300098</v>
          </cell>
          <cell r="F801">
            <v>638.54895100625242</v>
          </cell>
          <cell r="K801">
            <v>657.47877591312931</v>
          </cell>
          <cell r="O801">
            <v>617.47753028526768</v>
          </cell>
        </row>
        <row r="802">
          <cell r="B802">
            <v>707.0770519545905</v>
          </cell>
          <cell r="F802">
            <v>638.53340580304814</v>
          </cell>
          <cell r="K802">
            <v>657.56564659427454</v>
          </cell>
          <cell r="O802">
            <v>617.42966002344667</v>
          </cell>
        </row>
        <row r="803">
          <cell r="B803">
            <v>707.26592651036538</v>
          </cell>
          <cell r="F803">
            <v>638.54002804806566</v>
          </cell>
          <cell r="K803">
            <v>657.64955577492606</v>
          </cell>
          <cell r="O803">
            <v>617.4062133645956</v>
          </cell>
        </row>
        <row r="804">
          <cell r="B804">
            <v>707.44941399802576</v>
          </cell>
          <cell r="F804">
            <v>638.5740410902697</v>
          </cell>
          <cell r="K804">
            <v>657.73149062191521</v>
          </cell>
          <cell r="O804">
            <v>617.40328253223925</v>
          </cell>
        </row>
        <row r="805">
          <cell r="B805">
            <v>707.62761559723583</v>
          </cell>
          <cell r="F805">
            <v>638.63129533020708</v>
          </cell>
          <cell r="K805">
            <v>657.8084896347483</v>
          </cell>
          <cell r="O805">
            <v>617.42282141461499</v>
          </cell>
        </row>
        <row r="806">
          <cell r="B806">
            <v>707.77133756663375</v>
          </cell>
          <cell r="F806">
            <v>638.70157796014075</v>
          </cell>
          <cell r="K806">
            <v>657.86870681145115</v>
          </cell>
          <cell r="O806">
            <v>617.46092223524818</v>
          </cell>
        </row>
        <row r="807">
          <cell r="B807">
            <v>707.80042596248768</v>
          </cell>
          <cell r="F807">
            <v>638.77994919890591</v>
          </cell>
          <cell r="K807">
            <v>657.88351431391914</v>
          </cell>
          <cell r="O807">
            <v>617.50683860883157</v>
          </cell>
        </row>
        <row r="808">
          <cell r="B808">
            <v>707.97983692003947</v>
          </cell>
          <cell r="F808">
            <v>638.87157516608045</v>
          </cell>
          <cell r="K808">
            <v>657.95853899308986</v>
          </cell>
          <cell r="O808">
            <v>617.55959359124654</v>
          </cell>
        </row>
        <row r="809">
          <cell r="B809">
            <v>708.16129201382034</v>
          </cell>
          <cell r="F809">
            <v>638.96522889800713</v>
          </cell>
          <cell r="K809">
            <v>658.03849950641654</v>
          </cell>
          <cell r="O809">
            <v>617.61430246189923</v>
          </cell>
        </row>
        <row r="810">
          <cell r="B810">
            <v>708.36391714708805</v>
          </cell>
          <cell r="F810">
            <v>639.05574480265739</v>
          </cell>
          <cell r="K810">
            <v>658.14116485686088</v>
          </cell>
          <cell r="O810">
            <v>617.67194216490816</v>
          </cell>
        </row>
        <row r="811">
          <cell r="B811">
            <v>708.54977526159917</v>
          </cell>
          <cell r="F811">
            <v>639.14626647127784</v>
          </cell>
          <cell r="K811">
            <v>658.22211253701869</v>
          </cell>
          <cell r="O811">
            <v>617.7295818679172</v>
          </cell>
        </row>
        <row r="812">
          <cell r="B812">
            <v>708.74086845508396</v>
          </cell>
          <cell r="F812">
            <v>639.2460043962484</v>
          </cell>
          <cell r="K812">
            <v>658.31095755182628</v>
          </cell>
          <cell r="O812">
            <v>617.79015240328249</v>
          </cell>
        </row>
        <row r="813">
          <cell r="B813">
            <v>708.92869541461005</v>
          </cell>
          <cell r="F813">
            <v>639.34468219030873</v>
          </cell>
          <cell r="K813">
            <v>658.39980256663375</v>
          </cell>
          <cell r="O813">
            <v>617.8526768268855</v>
          </cell>
        </row>
        <row r="814">
          <cell r="B814">
            <v>709.09219987166819</v>
          </cell>
          <cell r="F814">
            <v>639.44634314185225</v>
          </cell>
          <cell r="K814">
            <v>658.4629812438302</v>
          </cell>
          <cell r="O814">
            <v>617.92106291520122</v>
          </cell>
        </row>
        <row r="815">
          <cell r="B815">
            <v>709.25688884501483</v>
          </cell>
          <cell r="F815">
            <v>639.55317979191079</v>
          </cell>
          <cell r="K815">
            <v>658.52418558736429</v>
          </cell>
          <cell r="O815">
            <v>617.98847205939819</v>
          </cell>
        </row>
        <row r="816">
          <cell r="B816">
            <v>709.43648330700887</v>
          </cell>
          <cell r="F816">
            <v>639.65996751660805</v>
          </cell>
          <cell r="K816">
            <v>658.59921026653501</v>
          </cell>
          <cell r="O816">
            <v>618.05881203595152</v>
          </cell>
        </row>
        <row r="817">
          <cell r="B817">
            <v>709.62769603652521</v>
          </cell>
          <cell r="F817">
            <v>639.76670574443131</v>
          </cell>
          <cell r="K817">
            <v>658.6880552813426</v>
          </cell>
          <cell r="O817">
            <v>618.1320828448612</v>
          </cell>
        </row>
        <row r="818">
          <cell r="B818">
            <v>709.81265549851923</v>
          </cell>
          <cell r="F818">
            <v>639.88463185326293</v>
          </cell>
          <cell r="K818">
            <v>658.76801579466928</v>
          </cell>
          <cell r="O818">
            <v>618.21316920672132</v>
          </cell>
        </row>
        <row r="819">
          <cell r="B819">
            <v>709.99657514313924</v>
          </cell>
          <cell r="F819">
            <v>640.00869210140684</v>
          </cell>
          <cell r="K819">
            <v>658.84698914116495</v>
          </cell>
          <cell r="O819">
            <v>618.2971864009379</v>
          </cell>
        </row>
        <row r="820">
          <cell r="B820">
            <v>710.17307080454111</v>
          </cell>
          <cell r="F820">
            <v>640.13466900644789</v>
          </cell>
          <cell r="K820">
            <v>658.91905231984219</v>
          </cell>
          <cell r="O820">
            <v>618.38901914810469</v>
          </cell>
        </row>
        <row r="821">
          <cell r="B821">
            <v>710.36012638696934</v>
          </cell>
          <cell r="F821">
            <v>640.26565342907384</v>
          </cell>
          <cell r="K821">
            <v>659.00394866732472</v>
          </cell>
          <cell r="O821">
            <v>618.48866744822192</v>
          </cell>
        </row>
        <row r="822">
          <cell r="B822">
            <v>710.41106438795657</v>
          </cell>
          <cell r="F822">
            <v>640.41098264947243</v>
          </cell>
          <cell r="K822">
            <v>659.02369200394878</v>
          </cell>
          <cell r="O822">
            <v>618.59320046893322</v>
          </cell>
        </row>
        <row r="823">
          <cell r="B823">
            <v>710.54411656465948</v>
          </cell>
          <cell r="F823">
            <v>640.55727674384536</v>
          </cell>
          <cell r="K823">
            <v>659.08292201382039</v>
          </cell>
          <cell r="O823">
            <v>618.70164126611962</v>
          </cell>
        </row>
        <row r="824">
          <cell r="B824">
            <v>710.7217440769989</v>
          </cell>
          <cell r="F824">
            <v>640.71167483391946</v>
          </cell>
          <cell r="K824">
            <v>659.15597235932864</v>
          </cell>
          <cell r="O824">
            <v>618.81789761625635</v>
          </cell>
        </row>
        <row r="825">
          <cell r="B825">
            <v>710.87161303060236</v>
          </cell>
          <cell r="F825">
            <v>640.86293102774528</v>
          </cell>
          <cell r="K825">
            <v>659.2063178677198</v>
          </cell>
          <cell r="O825">
            <v>618.93708479874954</v>
          </cell>
        </row>
        <row r="826">
          <cell r="B826">
            <v>711.06109451135228</v>
          </cell>
          <cell r="F826">
            <v>641.02443493552164</v>
          </cell>
          <cell r="K826">
            <v>659.2872655478775</v>
          </cell>
          <cell r="O826">
            <v>619.06017975771783</v>
          </cell>
        </row>
        <row r="827">
          <cell r="B827">
            <v>711.23335908193508</v>
          </cell>
          <cell r="F827">
            <v>641.18892639703017</v>
          </cell>
          <cell r="K827">
            <v>659.35834155972373</v>
          </cell>
          <cell r="O827">
            <v>619.18913638139907</v>
          </cell>
        </row>
        <row r="828">
          <cell r="B828">
            <v>711.41320133267516</v>
          </cell>
          <cell r="F828">
            <v>641.35747756936303</v>
          </cell>
          <cell r="K828">
            <v>659.43336623889434</v>
          </cell>
          <cell r="O828">
            <v>619.32200078155529</v>
          </cell>
        </row>
        <row r="829">
          <cell r="B829">
            <v>711.59402904244814</v>
          </cell>
          <cell r="F829">
            <v>641.53217457502933</v>
          </cell>
          <cell r="K829">
            <v>659.5123395853899</v>
          </cell>
          <cell r="O829">
            <v>619.45779601406798</v>
          </cell>
        </row>
        <row r="830">
          <cell r="B830">
            <v>711.77721446199394</v>
          </cell>
          <cell r="F830">
            <v>641.7058121629542</v>
          </cell>
          <cell r="K830">
            <v>659.58736426456062</v>
          </cell>
          <cell r="O830">
            <v>619.59554513481828</v>
          </cell>
        </row>
        <row r="831">
          <cell r="B831">
            <v>711.94743399802553</v>
          </cell>
          <cell r="F831">
            <v>641.87838855998439</v>
          </cell>
          <cell r="K831">
            <v>659.65646594274426</v>
          </cell>
          <cell r="O831">
            <v>619.73524814380619</v>
          </cell>
        </row>
        <row r="832">
          <cell r="B832">
            <v>712.1156443632774</v>
          </cell>
          <cell r="F832">
            <v>642.05401321316924</v>
          </cell>
          <cell r="K832">
            <v>659.72063178677195</v>
          </cell>
          <cell r="O832">
            <v>619.87788198515045</v>
          </cell>
        </row>
        <row r="833">
          <cell r="B833">
            <v>712.28590360809471</v>
          </cell>
          <cell r="F833">
            <v>642.23376274912084</v>
          </cell>
          <cell r="K833">
            <v>659.78973346495548</v>
          </cell>
          <cell r="O833">
            <v>620.02149277061358</v>
          </cell>
        </row>
        <row r="834">
          <cell r="B834">
            <v>712.46790728529129</v>
          </cell>
          <cell r="F834">
            <v>642.41150266217278</v>
          </cell>
          <cell r="K834">
            <v>659.86969397828238</v>
          </cell>
          <cell r="O834">
            <v>620.16314966783898</v>
          </cell>
        </row>
        <row r="835">
          <cell r="B835">
            <v>712.65866566140176</v>
          </cell>
          <cell r="F835">
            <v>642.59532898593193</v>
          </cell>
          <cell r="K835">
            <v>659.95162882527143</v>
          </cell>
          <cell r="O835">
            <v>620.31066822977721</v>
          </cell>
        </row>
        <row r="836">
          <cell r="B836">
            <v>712.85457675222108</v>
          </cell>
          <cell r="F836">
            <v>642.77195339976549</v>
          </cell>
          <cell r="K836">
            <v>660.04442250740374</v>
          </cell>
          <cell r="O836">
            <v>620.45720984759669</v>
          </cell>
        </row>
        <row r="837">
          <cell r="B837">
            <v>712.96399222606135</v>
          </cell>
          <cell r="F837">
            <v>642.9547955744431</v>
          </cell>
          <cell r="K837">
            <v>660.09378084896355</v>
          </cell>
          <cell r="O837">
            <v>620.60375146541617</v>
          </cell>
        </row>
        <row r="838">
          <cell r="B838">
            <v>713.04762111549849</v>
          </cell>
          <cell r="F838">
            <v>643.12942056467364</v>
          </cell>
          <cell r="K838">
            <v>660.12537018756166</v>
          </cell>
          <cell r="O838">
            <v>620.74833919499804</v>
          </cell>
        </row>
        <row r="839">
          <cell r="B839">
            <v>713.20102918065152</v>
          </cell>
          <cell r="F839">
            <v>643.31127826787804</v>
          </cell>
          <cell r="K839">
            <v>660.17571569595259</v>
          </cell>
          <cell r="O839">
            <v>620.89390386869866</v>
          </cell>
        </row>
        <row r="840">
          <cell r="B840">
            <v>713.37451494570576</v>
          </cell>
          <cell r="F840">
            <v>643.49213826201628</v>
          </cell>
          <cell r="K840">
            <v>660.25074037512331</v>
          </cell>
          <cell r="O840">
            <v>621.03849159828053</v>
          </cell>
        </row>
        <row r="841">
          <cell r="B841">
            <v>713.5537609674235</v>
          </cell>
          <cell r="F841">
            <v>643.66983779796794</v>
          </cell>
          <cell r="K841">
            <v>660.31885488647583</v>
          </cell>
          <cell r="O841">
            <v>621.18601016021887</v>
          </cell>
        </row>
        <row r="842">
          <cell r="B842">
            <v>713.73282631786776</v>
          </cell>
          <cell r="F842">
            <v>643.84856147909352</v>
          </cell>
          <cell r="K842">
            <v>660.39289239881543</v>
          </cell>
          <cell r="O842">
            <v>621.33450566627596</v>
          </cell>
        </row>
        <row r="843">
          <cell r="B843">
            <v>713.91724912142149</v>
          </cell>
          <cell r="F843">
            <v>644.04168127198113</v>
          </cell>
          <cell r="K843">
            <v>660.47186574531088</v>
          </cell>
          <cell r="O843">
            <v>621.4878858929269</v>
          </cell>
        </row>
        <row r="844">
          <cell r="B844">
            <v>714.09956122408676</v>
          </cell>
          <cell r="F844">
            <v>644.2225268757328</v>
          </cell>
          <cell r="K844">
            <v>660.54886475814408</v>
          </cell>
          <cell r="O844">
            <v>621.63540445486524</v>
          </cell>
        </row>
        <row r="845">
          <cell r="B845">
            <v>714.26481891411652</v>
          </cell>
          <cell r="F845">
            <v>644.39919287807743</v>
          </cell>
          <cell r="K845">
            <v>660.61006910167816</v>
          </cell>
          <cell r="O845">
            <v>621.78487690504107</v>
          </cell>
        </row>
        <row r="846">
          <cell r="B846">
            <v>714.44407329713727</v>
          </cell>
          <cell r="F846">
            <v>644.58310120652607</v>
          </cell>
          <cell r="K846">
            <v>660.68114511352428</v>
          </cell>
          <cell r="O846">
            <v>621.93532629933566</v>
          </cell>
        </row>
        <row r="847">
          <cell r="B847">
            <v>714.62334971372184</v>
          </cell>
          <cell r="F847">
            <v>644.76803563892145</v>
          </cell>
          <cell r="K847">
            <v>660.75222112537028</v>
          </cell>
          <cell r="O847">
            <v>622.0867526377491</v>
          </cell>
        </row>
        <row r="848">
          <cell r="B848">
            <v>714.79197012833174</v>
          </cell>
          <cell r="F848">
            <v>644.95493552168807</v>
          </cell>
          <cell r="K848">
            <v>660.81342546890426</v>
          </cell>
          <cell r="O848">
            <v>622.24306369675651</v>
          </cell>
        </row>
        <row r="849">
          <cell r="B849">
            <v>714.94759308983225</v>
          </cell>
          <cell r="F849">
            <v>645.14495990621333</v>
          </cell>
          <cell r="K849">
            <v>660.86870681145115</v>
          </cell>
          <cell r="O849">
            <v>622.39937475576392</v>
          </cell>
        </row>
        <row r="850">
          <cell r="B850">
            <v>715.12586281836138</v>
          </cell>
          <cell r="F850">
            <v>645.33507305099647</v>
          </cell>
          <cell r="K850">
            <v>660.93879565646603</v>
          </cell>
          <cell r="O850">
            <v>622.55275498241508</v>
          </cell>
        </row>
        <row r="851">
          <cell r="B851">
            <v>715.30094951628848</v>
          </cell>
          <cell r="F851">
            <v>645.50978456428288</v>
          </cell>
          <cell r="K851">
            <v>661.00592300098731</v>
          </cell>
          <cell r="O851">
            <v>622.70027354435331</v>
          </cell>
        </row>
        <row r="852">
          <cell r="B852">
            <v>715.48790967423508</v>
          </cell>
          <cell r="F852">
            <v>645.68660787416968</v>
          </cell>
          <cell r="K852">
            <v>661.08094768015803</v>
          </cell>
          <cell r="O852">
            <v>622.84681516217279</v>
          </cell>
        </row>
        <row r="853">
          <cell r="B853">
            <v>715.68334226061211</v>
          </cell>
          <cell r="F853">
            <v>645.8635959359126</v>
          </cell>
          <cell r="K853">
            <v>661.16683119447191</v>
          </cell>
          <cell r="O853">
            <v>622.98749511527944</v>
          </cell>
        </row>
        <row r="854">
          <cell r="B854">
            <v>715.85218352912159</v>
          </cell>
          <cell r="F854">
            <v>646.0384952862446</v>
          </cell>
          <cell r="K854">
            <v>661.2250740375124</v>
          </cell>
          <cell r="O854">
            <v>623.12915201250485</v>
          </cell>
        </row>
        <row r="855">
          <cell r="B855">
            <v>716.03473912635741</v>
          </cell>
          <cell r="F855">
            <v>646.20211019929661</v>
          </cell>
          <cell r="K855">
            <v>661.3020730503456</v>
          </cell>
          <cell r="O855">
            <v>623.2659241891364</v>
          </cell>
        </row>
        <row r="856">
          <cell r="B856">
            <v>716.22500064165843</v>
          </cell>
          <cell r="F856">
            <v>646.37399459261428</v>
          </cell>
          <cell r="K856">
            <v>661.38005923000992</v>
          </cell>
          <cell r="O856">
            <v>623.40465025400545</v>
          </cell>
        </row>
        <row r="857">
          <cell r="B857">
            <v>716.39808047384008</v>
          </cell>
          <cell r="F857">
            <v>646.53880058616653</v>
          </cell>
          <cell r="K857">
            <v>661.44521224086873</v>
          </cell>
          <cell r="O857">
            <v>623.53653771004304</v>
          </cell>
        </row>
        <row r="858">
          <cell r="B858">
            <v>716.55717966436328</v>
          </cell>
          <cell r="F858">
            <v>646.69543499413828</v>
          </cell>
          <cell r="K858">
            <v>661.50049358341562</v>
          </cell>
          <cell r="O858">
            <v>623.66354044548655</v>
          </cell>
        </row>
        <row r="859">
          <cell r="B859">
            <v>716.74313181638706</v>
          </cell>
          <cell r="F859">
            <v>646.85005343884325</v>
          </cell>
          <cell r="K859">
            <v>661.57749259624882</v>
          </cell>
          <cell r="O859">
            <v>623.78858929269245</v>
          </cell>
        </row>
        <row r="860">
          <cell r="B860">
            <v>716.93873455083906</v>
          </cell>
          <cell r="F860">
            <v>647.00780145564681</v>
          </cell>
          <cell r="K860">
            <v>661.66337611056269</v>
          </cell>
          <cell r="O860">
            <v>623.91363813989847</v>
          </cell>
        </row>
        <row r="861">
          <cell r="B861">
            <v>717.11627680157937</v>
          </cell>
          <cell r="F861">
            <v>647.15940109906217</v>
          </cell>
          <cell r="K861">
            <v>661.72951628825274</v>
          </cell>
          <cell r="O861">
            <v>624.0357561547479</v>
          </cell>
        </row>
        <row r="862">
          <cell r="B862">
            <v>717.2841115646595</v>
          </cell>
          <cell r="F862">
            <v>647.30282382766723</v>
          </cell>
          <cell r="K862">
            <v>661.78973346495559</v>
          </cell>
          <cell r="O862">
            <v>624.1529894490036</v>
          </cell>
        </row>
        <row r="863">
          <cell r="B863">
            <v>717.46266598223099</v>
          </cell>
          <cell r="F863">
            <v>647.44641812719817</v>
          </cell>
          <cell r="K863">
            <v>661.85982230997047</v>
          </cell>
          <cell r="O863">
            <v>624.26436107854636</v>
          </cell>
        </row>
        <row r="864">
          <cell r="B864">
            <v>717.62849792694976</v>
          </cell>
          <cell r="F864">
            <v>647.58386078546312</v>
          </cell>
          <cell r="K864">
            <v>661.91510365251736</v>
          </cell>
          <cell r="O864">
            <v>624.37280187573276</v>
          </cell>
        </row>
        <row r="865">
          <cell r="B865">
            <v>717.79093907206322</v>
          </cell>
          <cell r="F865">
            <v>647.71616312035951</v>
          </cell>
          <cell r="K865">
            <v>661.97334649555785</v>
          </cell>
          <cell r="O865">
            <v>624.47928878468156</v>
          </cell>
        </row>
        <row r="866">
          <cell r="B866">
            <v>717.96322969397841</v>
          </cell>
          <cell r="F866">
            <v>647.84247582063313</v>
          </cell>
          <cell r="K866">
            <v>662.03455083909182</v>
          </cell>
          <cell r="O866">
            <v>624.57698319656117</v>
          </cell>
        </row>
        <row r="867">
          <cell r="B867">
            <v>718.00469950641661</v>
          </cell>
          <cell r="F867">
            <v>647.9658394343495</v>
          </cell>
          <cell r="K867">
            <v>662.04837117472857</v>
          </cell>
          <cell r="O867">
            <v>624.66881594372808</v>
          </cell>
        </row>
        <row r="868">
          <cell r="B868">
            <v>718.11831011846004</v>
          </cell>
          <cell r="F868">
            <v>648.08203383645946</v>
          </cell>
          <cell r="K868">
            <v>662.08292201382039</v>
          </cell>
          <cell r="O868">
            <v>624.75674091441965</v>
          </cell>
        </row>
        <row r="869">
          <cell r="B869">
            <v>718.29161030602154</v>
          </cell>
          <cell r="F869">
            <v>648.19207069167635</v>
          </cell>
          <cell r="K869">
            <v>662.14807502467909</v>
          </cell>
          <cell r="O869">
            <v>624.84173505275498</v>
          </cell>
        </row>
        <row r="870">
          <cell r="B870">
            <v>718.46814375616987</v>
          </cell>
          <cell r="F870">
            <v>648.30017067213748</v>
          </cell>
          <cell r="K870">
            <v>662.21618953603161</v>
          </cell>
          <cell r="O870">
            <v>624.92184447049624</v>
          </cell>
        </row>
        <row r="871">
          <cell r="B871">
            <v>718.64791184600188</v>
          </cell>
          <cell r="F871">
            <v>648.40219587729575</v>
          </cell>
          <cell r="K871">
            <v>662.2872655478775</v>
          </cell>
          <cell r="O871">
            <v>624.99609222352478</v>
          </cell>
        </row>
        <row r="872">
          <cell r="B872">
            <v>718.81075612537029</v>
          </cell>
          <cell r="F872">
            <v>648.50017274325921</v>
          </cell>
          <cell r="K872">
            <v>662.33662388943742</v>
          </cell>
          <cell r="O872">
            <v>625.06643220007822</v>
          </cell>
        </row>
        <row r="873">
          <cell r="B873">
            <v>718.97868170286279</v>
          </cell>
          <cell r="F873">
            <v>648.59401594861276</v>
          </cell>
          <cell r="K873">
            <v>662.39980256663375</v>
          </cell>
          <cell r="O873">
            <v>625.13579523251269</v>
          </cell>
        </row>
        <row r="874">
          <cell r="B874">
            <v>719.1511075765053</v>
          </cell>
          <cell r="F874">
            <v>648.6788263188746</v>
          </cell>
          <cell r="K874">
            <v>662.46100691016773</v>
          </cell>
          <cell r="O874">
            <v>625.19343493552174</v>
          </cell>
        </row>
        <row r="875">
          <cell r="B875">
            <v>719.32784024185582</v>
          </cell>
          <cell r="F875">
            <v>648.75249079718651</v>
          </cell>
          <cell r="K875">
            <v>662.52615992102665</v>
          </cell>
          <cell r="O875">
            <v>625.24032825322399</v>
          </cell>
        </row>
        <row r="876">
          <cell r="B876">
            <v>719.49699298124369</v>
          </cell>
          <cell r="F876">
            <v>648.81593657678775</v>
          </cell>
          <cell r="K876">
            <v>662.58736426456062</v>
          </cell>
          <cell r="O876">
            <v>625.28038296209456</v>
          </cell>
        </row>
        <row r="877">
          <cell r="B877">
            <v>719.66304526159922</v>
          </cell>
          <cell r="F877">
            <v>648.87947049628747</v>
          </cell>
          <cell r="K877">
            <v>662.64264560710762</v>
          </cell>
          <cell r="O877">
            <v>625.31750683860878</v>
          </cell>
        </row>
        <row r="878">
          <cell r="B878">
            <v>719.83018750246788</v>
          </cell>
          <cell r="F878">
            <v>648.93177029601384</v>
          </cell>
          <cell r="K878">
            <v>662.69891411648575</v>
          </cell>
          <cell r="O878">
            <v>625.34681516217256</v>
          </cell>
        </row>
        <row r="879">
          <cell r="B879">
            <v>720.01665146100709</v>
          </cell>
          <cell r="F879">
            <v>648.9780745701446</v>
          </cell>
          <cell r="K879">
            <v>662.77295162882535</v>
          </cell>
          <cell r="O879">
            <v>625.3673309886675</v>
          </cell>
        </row>
        <row r="880">
          <cell r="B880">
            <v>720.19670359328722</v>
          </cell>
          <cell r="F880">
            <v>649.01212878077376</v>
          </cell>
          <cell r="K880">
            <v>662.84106614017765</v>
          </cell>
          <cell r="O880">
            <v>625.37905431809304</v>
          </cell>
        </row>
        <row r="881">
          <cell r="B881">
            <v>720.37989941263561</v>
          </cell>
          <cell r="F881">
            <v>649.05032466783905</v>
          </cell>
          <cell r="K881">
            <v>662.91510365251725</v>
          </cell>
          <cell r="O881">
            <v>625.39175459163744</v>
          </cell>
        </row>
        <row r="882">
          <cell r="B882">
            <v>720.51855266535051</v>
          </cell>
          <cell r="F882">
            <v>649.08133880422054</v>
          </cell>
          <cell r="K882">
            <v>662.96643632773942</v>
          </cell>
          <cell r="O882">
            <v>625.40054708870662</v>
          </cell>
        </row>
        <row r="883">
          <cell r="B883">
            <v>720.56126104146108</v>
          </cell>
          <cell r="F883">
            <v>649.11336752637749</v>
          </cell>
          <cell r="K883">
            <v>662.97828232971381</v>
          </cell>
          <cell r="O883">
            <v>625.41031652989443</v>
          </cell>
        </row>
        <row r="884">
          <cell r="B884">
            <v>720.73260248766042</v>
          </cell>
          <cell r="F884">
            <v>649.14945295037137</v>
          </cell>
          <cell r="K884">
            <v>663.04442250740374</v>
          </cell>
          <cell r="O884">
            <v>625.42399374755769</v>
          </cell>
        </row>
        <row r="885">
          <cell r="B885">
            <v>720.88581516288252</v>
          </cell>
          <cell r="F885">
            <v>649.19162356389211</v>
          </cell>
          <cell r="K885">
            <v>663.09081934846995</v>
          </cell>
          <cell r="O885">
            <v>625.44353262993354</v>
          </cell>
        </row>
        <row r="886">
          <cell r="B886">
            <v>721.03221952615991</v>
          </cell>
          <cell r="F886">
            <v>649.23785183665507</v>
          </cell>
          <cell r="K886">
            <v>663.14313919052324</v>
          </cell>
          <cell r="O886">
            <v>625.46697928878473</v>
          </cell>
        </row>
        <row r="887">
          <cell r="B887">
            <v>721.20800434353407</v>
          </cell>
          <cell r="F887">
            <v>649.28813817897628</v>
          </cell>
          <cell r="K887">
            <v>663.21026653504441</v>
          </cell>
          <cell r="O887">
            <v>625.49433372411102</v>
          </cell>
        </row>
        <row r="888">
          <cell r="B888">
            <v>721.35355716683125</v>
          </cell>
          <cell r="F888">
            <v>649.34865306760446</v>
          </cell>
          <cell r="K888">
            <v>663.25567620927939</v>
          </cell>
          <cell r="O888">
            <v>625.52852676826888</v>
          </cell>
        </row>
        <row r="889">
          <cell r="B889">
            <v>721.47843598223108</v>
          </cell>
          <cell r="F889">
            <v>649.49073338706535</v>
          </cell>
          <cell r="K889">
            <v>663.29121421520244</v>
          </cell>
          <cell r="O889">
            <v>625.62622118014849</v>
          </cell>
        </row>
        <row r="890">
          <cell r="B890">
            <v>721.63358319842052</v>
          </cell>
          <cell r="F890">
            <v>649.65716896248546</v>
          </cell>
          <cell r="K890">
            <v>663.34846989141158</v>
          </cell>
          <cell r="O890">
            <v>625.74736225087929</v>
          </cell>
        </row>
        <row r="891">
          <cell r="B891">
            <v>721.77370985192488</v>
          </cell>
          <cell r="F891">
            <v>649.75007163442763</v>
          </cell>
          <cell r="K891">
            <v>663.3919052319842</v>
          </cell>
          <cell r="O891">
            <v>625.81574833919501</v>
          </cell>
        </row>
        <row r="892">
          <cell r="B892">
            <v>721.90945731490626</v>
          </cell>
          <cell r="F892">
            <v>649.94991913345063</v>
          </cell>
          <cell r="K892">
            <v>663.43435340572557</v>
          </cell>
          <cell r="O892">
            <v>625.97205939820242</v>
          </cell>
        </row>
        <row r="893">
          <cell r="B893">
            <v>722.0733373840078</v>
          </cell>
          <cell r="F893">
            <v>650.06109536928489</v>
          </cell>
          <cell r="K893">
            <v>663.49654491609078</v>
          </cell>
          <cell r="O893">
            <v>626.0580304806565</v>
          </cell>
        </row>
        <row r="894">
          <cell r="B894">
            <v>722.22961986673261</v>
          </cell>
          <cell r="F894">
            <v>650.30146270027353</v>
          </cell>
          <cell r="K894">
            <v>663.55478775913139</v>
          </cell>
          <cell r="O894">
            <v>626.2563501367722</v>
          </cell>
        </row>
        <row r="895">
          <cell r="B895">
            <v>722.37292927936824</v>
          </cell>
          <cell r="F895">
            <v>650.43497536146924</v>
          </cell>
          <cell r="K895">
            <v>663.60414610069108</v>
          </cell>
          <cell r="O895">
            <v>626.36381398983974</v>
          </cell>
        </row>
        <row r="896">
          <cell r="B896">
            <v>722.52835629812455</v>
          </cell>
          <cell r="F896">
            <v>650.70268065650646</v>
          </cell>
          <cell r="K896">
            <v>663.65547877591325</v>
          </cell>
          <cell r="O896">
            <v>626.59144196951934</v>
          </cell>
        </row>
        <row r="897">
          <cell r="B897">
            <v>722.68029234452126</v>
          </cell>
          <cell r="F897">
            <v>650.85549103165306</v>
          </cell>
          <cell r="K897">
            <v>663.71273445212239</v>
          </cell>
          <cell r="O897">
            <v>626.7174677608441</v>
          </cell>
        </row>
        <row r="898">
          <cell r="B898">
            <v>722.83458149062199</v>
          </cell>
          <cell r="F898">
            <v>651.16280353653769</v>
          </cell>
          <cell r="K898">
            <v>663.76604146100703</v>
          </cell>
          <cell r="O898">
            <v>626.98319656115666</v>
          </cell>
        </row>
        <row r="899">
          <cell r="B899">
            <v>722.93994305034539</v>
          </cell>
          <cell r="F899">
            <v>651.49062060375138</v>
          </cell>
          <cell r="K899">
            <v>663.79269496544907</v>
          </cell>
          <cell r="O899">
            <v>627.26260257913248</v>
          </cell>
        </row>
        <row r="900">
          <cell r="B900">
            <v>722.96289523691996</v>
          </cell>
          <cell r="F900">
            <v>651.82548081281755</v>
          </cell>
          <cell r="K900">
            <v>663.80157946692987</v>
          </cell>
          <cell r="O900">
            <v>627.55177803829622</v>
          </cell>
        </row>
        <row r="901">
          <cell r="B901">
            <v>723.09982082922011</v>
          </cell>
          <cell r="F901">
            <v>652.17356504982422</v>
          </cell>
          <cell r="K901">
            <v>663.84501480750248</v>
          </cell>
          <cell r="O901">
            <v>627.85365377100436</v>
          </cell>
        </row>
        <row r="902">
          <cell r="B902">
            <v>723.23890897828244</v>
          </cell>
          <cell r="F902">
            <v>652.52564555978893</v>
          </cell>
          <cell r="K902">
            <v>663.89042448173745</v>
          </cell>
          <cell r="O902">
            <v>628.16236811254385</v>
          </cell>
        </row>
        <row r="903">
          <cell r="B903">
            <v>723.3812360315892</v>
          </cell>
          <cell r="F903">
            <v>652.88495885111365</v>
          </cell>
          <cell r="K903">
            <v>663.93879565646591</v>
          </cell>
          <cell r="O903">
            <v>628.47499023055877</v>
          </cell>
        </row>
        <row r="904">
          <cell r="B904">
            <v>723.53335019743338</v>
          </cell>
          <cell r="F904">
            <v>653.25547089683471</v>
          </cell>
          <cell r="K904">
            <v>663.99308983218168</v>
          </cell>
          <cell r="O904">
            <v>628.79835873388049</v>
          </cell>
        </row>
        <row r="905">
          <cell r="B905">
            <v>723.69623780848974</v>
          </cell>
          <cell r="F905">
            <v>653.62987715904649</v>
          </cell>
          <cell r="K905">
            <v>664.05725567620937</v>
          </cell>
          <cell r="O905">
            <v>629.13149667839002</v>
          </cell>
        </row>
        <row r="906">
          <cell r="B906">
            <v>723.84936703356357</v>
          </cell>
          <cell r="F906">
            <v>654.02390582258693</v>
          </cell>
          <cell r="K906">
            <v>664.11549851924974</v>
          </cell>
          <cell r="O906">
            <v>629.47440406408759</v>
          </cell>
        </row>
        <row r="907">
          <cell r="B907">
            <v>723.98108265054282</v>
          </cell>
          <cell r="F907">
            <v>654.40964727432583</v>
          </cell>
          <cell r="K907">
            <v>664.15103652517269</v>
          </cell>
          <cell r="O907">
            <v>629.81535756154744</v>
          </cell>
        </row>
        <row r="908">
          <cell r="B908">
            <v>724.12464679170773</v>
          </cell>
          <cell r="F908">
            <v>654.80263419304413</v>
          </cell>
          <cell r="K908">
            <v>664.19743336623878</v>
          </cell>
          <cell r="O908">
            <v>630.16021883548262</v>
          </cell>
        </row>
        <row r="909">
          <cell r="B909">
            <v>724.270376668312</v>
          </cell>
          <cell r="F909">
            <v>655.19250652110213</v>
          </cell>
          <cell r="K909">
            <v>664.24580454096747</v>
          </cell>
          <cell r="O909">
            <v>630.5050801094178</v>
          </cell>
        </row>
        <row r="910">
          <cell r="B910">
            <v>724.41621201382031</v>
          </cell>
          <cell r="F910">
            <v>655.5846608147715</v>
          </cell>
          <cell r="K910">
            <v>664.29121421520233</v>
          </cell>
          <cell r="O910">
            <v>630.84603360687777</v>
          </cell>
        </row>
        <row r="911">
          <cell r="B911">
            <v>724.55873884501489</v>
          </cell>
          <cell r="F911">
            <v>655.95836050703406</v>
          </cell>
          <cell r="K911">
            <v>664.33662388943742</v>
          </cell>
          <cell r="O911">
            <v>631.17526377491208</v>
          </cell>
        </row>
        <row r="912">
          <cell r="B912">
            <v>724.71016731490624</v>
          </cell>
          <cell r="F912">
            <v>656.33434671746784</v>
          </cell>
          <cell r="K912">
            <v>664.38104639684104</v>
          </cell>
          <cell r="O912">
            <v>631.50058616647129</v>
          </cell>
        </row>
        <row r="913">
          <cell r="B913">
            <v>724.84401328726562</v>
          </cell>
          <cell r="F913">
            <v>656.70518200468928</v>
          </cell>
          <cell r="K913">
            <v>664.42152023692006</v>
          </cell>
          <cell r="O913">
            <v>631.8239546697929</v>
          </cell>
        </row>
        <row r="914">
          <cell r="B914">
            <v>724.97042171767032</v>
          </cell>
          <cell r="F914">
            <v>657.06285175361472</v>
          </cell>
          <cell r="K914">
            <v>664.45212240868705</v>
          </cell>
          <cell r="O914">
            <v>632.1346228995701</v>
          </cell>
        </row>
        <row r="915">
          <cell r="B915">
            <v>725.10976531095764</v>
          </cell>
          <cell r="F915">
            <v>657.41063159437283</v>
          </cell>
          <cell r="K915">
            <v>664.49457058242842</v>
          </cell>
          <cell r="O915">
            <v>632.42966002344667</v>
          </cell>
        </row>
        <row r="916">
          <cell r="B916">
            <v>725.25792088845026</v>
          </cell>
          <cell r="F916">
            <v>657.74704460726844</v>
          </cell>
          <cell r="K916">
            <v>664.53899308983227</v>
          </cell>
          <cell r="O916">
            <v>632.71981242672916</v>
          </cell>
        </row>
        <row r="917">
          <cell r="B917">
            <v>725.34358827245819</v>
          </cell>
          <cell r="F917">
            <v>658.07548248339197</v>
          </cell>
          <cell r="K917">
            <v>664.56268509378094</v>
          </cell>
          <cell r="O917">
            <v>632.99921844470498</v>
          </cell>
        </row>
        <row r="918">
          <cell r="B918">
            <v>725.40052146100686</v>
          </cell>
          <cell r="F918">
            <v>658.39074973134029</v>
          </cell>
          <cell r="K918">
            <v>664.58440276406714</v>
          </cell>
          <cell r="O918">
            <v>633.2659241891364</v>
          </cell>
        </row>
        <row r="919">
          <cell r="B919">
            <v>725.55184612537028</v>
          </cell>
          <cell r="F919">
            <v>658.54597579132462</v>
          </cell>
          <cell r="K919">
            <v>664.63474827245807</v>
          </cell>
          <cell r="O919">
            <v>633.39390386869866</v>
          </cell>
        </row>
        <row r="920">
          <cell r="B920">
            <v>725.70623854886492</v>
          </cell>
          <cell r="F920">
            <v>658.8489816236812</v>
          </cell>
          <cell r="K920">
            <v>664.69397828232979</v>
          </cell>
          <cell r="O920">
            <v>633.65181711606101</v>
          </cell>
        </row>
        <row r="921">
          <cell r="B921">
            <v>725.85220358835147</v>
          </cell>
          <cell r="F921">
            <v>659.0011852286051</v>
          </cell>
          <cell r="K921">
            <v>664.73938795656466</v>
          </cell>
          <cell r="O921">
            <v>633.77686596326703</v>
          </cell>
        </row>
        <row r="922">
          <cell r="B922">
            <v>725.97958562191502</v>
          </cell>
          <cell r="F922">
            <v>659.29623077373981</v>
          </cell>
          <cell r="K922">
            <v>664.77690029614996</v>
          </cell>
          <cell r="O922">
            <v>634.02403282532248</v>
          </cell>
        </row>
        <row r="923">
          <cell r="B923">
            <v>726.11928495557731</v>
          </cell>
          <cell r="F923">
            <v>659.44337968933178</v>
          </cell>
          <cell r="K923">
            <v>664.81046396841055</v>
          </cell>
          <cell r="O923">
            <v>634.1441969519343</v>
          </cell>
        </row>
        <row r="924">
          <cell r="B924">
            <v>726.26618620927945</v>
          </cell>
          <cell r="F924">
            <v>659.59053701641278</v>
          </cell>
          <cell r="K924">
            <v>664.86278381046407</v>
          </cell>
          <cell r="O924">
            <v>634.26436107854636</v>
          </cell>
        </row>
        <row r="925">
          <cell r="B925">
            <v>726.40564141658444</v>
          </cell>
          <cell r="F925">
            <v>659.8744678096914</v>
          </cell>
          <cell r="K925">
            <v>664.90523198420533</v>
          </cell>
          <cell r="O925">
            <v>634.50078155529513</v>
          </cell>
        </row>
        <row r="926">
          <cell r="B926">
            <v>726.548522117473</v>
          </cell>
          <cell r="F926">
            <v>660.01656880128951</v>
          </cell>
          <cell r="K926">
            <v>664.94471865745322</v>
          </cell>
          <cell r="O926">
            <v>634.616060961313</v>
          </cell>
        </row>
        <row r="927">
          <cell r="B927">
            <v>726.68368606120418</v>
          </cell>
          <cell r="F927">
            <v>660.15156529894489</v>
          </cell>
          <cell r="K927">
            <v>664.98321816386965</v>
          </cell>
          <cell r="O927">
            <v>634.7245017584994</v>
          </cell>
        </row>
        <row r="928">
          <cell r="B928">
            <v>726.84385245804538</v>
          </cell>
          <cell r="F928">
            <v>660.42348707991403</v>
          </cell>
          <cell r="K928">
            <v>665.03849950641654</v>
          </cell>
          <cell r="O928">
            <v>634.94626807346617</v>
          </cell>
        </row>
        <row r="929">
          <cell r="B929">
            <v>726.9856032379073</v>
          </cell>
          <cell r="F929">
            <v>660.55444126611962</v>
          </cell>
          <cell r="K929">
            <v>665.0799605133268</v>
          </cell>
          <cell r="O929">
            <v>635.05080109417747</v>
          </cell>
        </row>
        <row r="930">
          <cell r="B930">
            <v>727.13168282329707</v>
          </cell>
          <cell r="F930">
            <v>660.81217904943333</v>
          </cell>
          <cell r="K930">
            <v>665.12537018756166</v>
          </cell>
          <cell r="O930">
            <v>635.25889019148099</v>
          </cell>
        </row>
        <row r="931">
          <cell r="B931">
            <v>727.28101359328718</v>
          </cell>
          <cell r="F931">
            <v>660.94328260550992</v>
          </cell>
          <cell r="K931">
            <v>665.17374136229023</v>
          </cell>
          <cell r="O931">
            <v>635.36049237983582</v>
          </cell>
        </row>
        <row r="932">
          <cell r="B932">
            <v>727.42388150049362</v>
          </cell>
          <cell r="F932">
            <v>661.18784989253606</v>
          </cell>
          <cell r="K932">
            <v>665.21618953603161</v>
          </cell>
          <cell r="O932">
            <v>635.55588120359505</v>
          </cell>
        </row>
        <row r="933">
          <cell r="B933">
            <v>727.57764541954612</v>
          </cell>
          <cell r="F933">
            <v>661.31071581672518</v>
          </cell>
          <cell r="K933">
            <v>665.26554787759142</v>
          </cell>
          <cell r="O933">
            <v>635.65259867135592</v>
          </cell>
        </row>
        <row r="934">
          <cell r="B934">
            <v>727.72818481243837</v>
          </cell>
          <cell r="F934">
            <v>661.43663774912068</v>
          </cell>
          <cell r="K934">
            <v>665.31194471865751</v>
          </cell>
          <cell r="O934">
            <v>635.75224697147314</v>
          </cell>
        </row>
        <row r="935">
          <cell r="B935">
            <v>727.77540100691022</v>
          </cell>
          <cell r="F935">
            <v>661.55863075420075</v>
          </cell>
          <cell r="K935">
            <v>665.32773938795663</v>
          </cell>
          <cell r="O935">
            <v>635.84505666275879</v>
          </cell>
        </row>
        <row r="936">
          <cell r="B936">
            <v>727.87424437314905</v>
          </cell>
          <cell r="F936">
            <v>661.79119613130138</v>
          </cell>
          <cell r="K936">
            <v>665.36031589338597</v>
          </cell>
          <cell r="O936">
            <v>636.02579132473625</v>
          </cell>
        </row>
        <row r="937">
          <cell r="B937">
            <v>728.0128439289241</v>
          </cell>
          <cell r="F937">
            <v>661.91002969421652</v>
          </cell>
          <cell r="K937">
            <v>665.39881539980263</v>
          </cell>
          <cell r="O937">
            <v>636.1186010160219</v>
          </cell>
        </row>
        <row r="938">
          <cell r="B938">
            <v>728.1557754590325</v>
          </cell>
          <cell r="F938">
            <v>662.13145034681509</v>
          </cell>
          <cell r="K938">
            <v>665.44126357354389</v>
          </cell>
          <cell r="O938">
            <v>636.28858929269234</v>
          </cell>
        </row>
        <row r="939">
          <cell r="B939">
            <v>728.29539188055276</v>
          </cell>
          <cell r="F939">
            <v>662.24230148007052</v>
          </cell>
          <cell r="K939">
            <v>665.48371174728527</v>
          </cell>
          <cell r="O939">
            <v>636.37065259867143</v>
          </cell>
        </row>
        <row r="940">
          <cell r="B940">
            <v>728.44059496051329</v>
          </cell>
          <cell r="F940">
            <v>662.35302700273542</v>
          </cell>
          <cell r="K940">
            <v>665.52517275419541</v>
          </cell>
          <cell r="O940">
            <v>636.45564673700665</v>
          </cell>
        </row>
        <row r="941">
          <cell r="B941">
            <v>728.58239669299121</v>
          </cell>
          <cell r="F941">
            <v>662.57144560375139</v>
          </cell>
          <cell r="K941">
            <v>665.56959526159926</v>
          </cell>
          <cell r="O941">
            <v>636.62270418132084</v>
          </cell>
        </row>
        <row r="942">
          <cell r="B942">
            <v>728.71880703849945</v>
          </cell>
          <cell r="F942">
            <v>662.67927159046485</v>
          </cell>
          <cell r="K942">
            <v>665.60908193484693</v>
          </cell>
          <cell r="O942">
            <v>636.70183665494324</v>
          </cell>
        </row>
        <row r="943">
          <cell r="B943">
            <v>728.84990941757155</v>
          </cell>
          <cell r="F943">
            <v>662.89379200859719</v>
          </cell>
          <cell r="K943">
            <v>665.64067127344526</v>
          </cell>
          <cell r="O943">
            <v>636.86205549042597</v>
          </cell>
        </row>
        <row r="944">
          <cell r="B944">
            <v>728.97228736426462</v>
          </cell>
          <cell r="F944">
            <v>662.99756900644786</v>
          </cell>
          <cell r="K944">
            <v>665.66732477788753</v>
          </cell>
          <cell r="O944">
            <v>636.93728018757326</v>
          </cell>
        </row>
        <row r="945">
          <cell r="B945">
            <v>729.10773194965441</v>
          </cell>
          <cell r="F945">
            <v>663.09715000976951</v>
          </cell>
          <cell r="K945">
            <v>665.70286278381036</v>
          </cell>
          <cell r="O945">
            <v>637.01152794060181</v>
          </cell>
        </row>
        <row r="946">
          <cell r="B946">
            <v>729.24435285784784</v>
          </cell>
          <cell r="F946">
            <v>663.20182113130124</v>
          </cell>
          <cell r="K946">
            <v>665.73642645607106</v>
          </cell>
          <cell r="O946">
            <v>637.0906604142242</v>
          </cell>
        </row>
        <row r="947">
          <cell r="B947">
            <v>729.39288017769013</v>
          </cell>
          <cell r="F947">
            <v>663.30663257131698</v>
          </cell>
          <cell r="K947">
            <v>665.78084896347491</v>
          </cell>
          <cell r="O947">
            <v>637.16686205549047</v>
          </cell>
        </row>
        <row r="948">
          <cell r="B948">
            <v>729.55007389437321</v>
          </cell>
          <cell r="F948">
            <v>663.40738185814769</v>
          </cell>
          <cell r="K948">
            <v>665.83316880552809</v>
          </cell>
          <cell r="O948">
            <v>637.23915592028141</v>
          </cell>
        </row>
        <row r="949">
          <cell r="B949">
            <v>729.6996267719644</v>
          </cell>
          <cell r="F949">
            <v>663.50495037123881</v>
          </cell>
          <cell r="K949">
            <v>665.88153998025666</v>
          </cell>
          <cell r="O949">
            <v>637.31144978507234</v>
          </cell>
        </row>
        <row r="950">
          <cell r="B950">
            <v>729.84170407699912</v>
          </cell>
          <cell r="F950">
            <v>663.60354107561545</v>
          </cell>
          <cell r="K950">
            <v>665.92003948667332</v>
          </cell>
          <cell r="O950">
            <v>637.38472059398202</v>
          </cell>
        </row>
        <row r="951">
          <cell r="B951">
            <v>729.97397073050354</v>
          </cell>
          <cell r="F951">
            <v>663.70952866354048</v>
          </cell>
          <cell r="K951">
            <v>665.95261599210266</v>
          </cell>
          <cell r="O951">
            <v>637.45896834701057</v>
          </cell>
        </row>
        <row r="952">
          <cell r="B952">
            <v>730.11823448667337</v>
          </cell>
          <cell r="F952">
            <v>663.89758206330589</v>
          </cell>
          <cell r="K952">
            <v>665.99308983218179</v>
          </cell>
          <cell r="O952">
            <v>637.59671746776075</v>
          </cell>
        </row>
        <row r="953">
          <cell r="B953">
            <v>730.14137775913116</v>
          </cell>
          <cell r="F953">
            <v>663.99734752833137</v>
          </cell>
          <cell r="K953">
            <v>665.99901283316876</v>
          </cell>
          <cell r="O953">
            <v>637.66803438843294</v>
          </cell>
        </row>
        <row r="954">
          <cell r="B954">
            <v>730.26142802073059</v>
          </cell>
          <cell r="F954">
            <v>664.09610137749121</v>
          </cell>
          <cell r="K954">
            <v>666.03257650542946</v>
          </cell>
          <cell r="O954">
            <v>637.73837436498627</v>
          </cell>
        </row>
        <row r="955">
          <cell r="B955">
            <v>730.40996309970387</v>
          </cell>
          <cell r="F955">
            <v>664.19167181027751</v>
          </cell>
          <cell r="K955">
            <v>666.0799605133268</v>
          </cell>
          <cell r="O955">
            <v>637.80871434153971</v>
          </cell>
        </row>
        <row r="956">
          <cell r="B956">
            <v>730.56067722112539</v>
          </cell>
          <cell r="F956">
            <v>664.28534958968339</v>
          </cell>
          <cell r="K956">
            <v>666.12931885488649</v>
          </cell>
          <cell r="O956">
            <v>637.87416959749896</v>
          </cell>
        </row>
        <row r="957">
          <cell r="B957">
            <v>730.70390856367226</v>
          </cell>
          <cell r="F957">
            <v>664.38005003907779</v>
          </cell>
          <cell r="K957">
            <v>666.16880552813427</v>
          </cell>
          <cell r="O957">
            <v>637.94060179757719</v>
          </cell>
        </row>
        <row r="958">
          <cell r="B958">
            <v>730.8406540720631</v>
          </cell>
          <cell r="F958">
            <v>664.47258323563892</v>
          </cell>
          <cell r="K958">
            <v>666.20236920039486</v>
          </cell>
          <cell r="O958">
            <v>638.00801094177416</v>
          </cell>
        </row>
        <row r="959">
          <cell r="B959">
            <v>730.96982798617978</v>
          </cell>
          <cell r="F959">
            <v>664.56206864497847</v>
          </cell>
          <cell r="K959">
            <v>666.22902270483723</v>
          </cell>
          <cell r="O959">
            <v>638.07248925361466</v>
          </cell>
        </row>
        <row r="960">
          <cell r="B960">
            <v>731.11309205330713</v>
          </cell>
          <cell r="F960">
            <v>664.65692239155919</v>
          </cell>
          <cell r="K960">
            <v>666.2685093780849</v>
          </cell>
          <cell r="O960">
            <v>638.13599062133642</v>
          </cell>
        </row>
        <row r="961">
          <cell r="B961">
            <v>731.24336727541959</v>
          </cell>
          <cell r="F961">
            <v>664.74859085580317</v>
          </cell>
          <cell r="K961">
            <v>666.2961500493584</v>
          </cell>
          <cell r="O961">
            <v>638.19949198905829</v>
          </cell>
        </row>
        <row r="962">
          <cell r="B962">
            <v>731.38998493583415</v>
          </cell>
          <cell r="F962">
            <v>664.84114356193822</v>
          </cell>
          <cell r="K962">
            <v>666.33563672260607</v>
          </cell>
          <cell r="O962">
            <v>638.26690113325515</v>
          </cell>
        </row>
        <row r="963">
          <cell r="B963">
            <v>731.52886739881524</v>
          </cell>
          <cell r="F963">
            <v>664.93180436694013</v>
          </cell>
          <cell r="K963">
            <v>666.37413622902261</v>
          </cell>
          <cell r="O963">
            <v>638.32942555685815</v>
          </cell>
        </row>
        <row r="964">
          <cell r="B964">
            <v>731.67225747285295</v>
          </cell>
          <cell r="F964">
            <v>665.01941708186791</v>
          </cell>
          <cell r="K964">
            <v>666.41066140177691</v>
          </cell>
          <cell r="O964">
            <v>638.38901914810481</v>
          </cell>
        </row>
        <row r="965">
          <cell r="B965">
            <v>731.79381863277388</v>
          </cell>
          <cell r="F965">
            <v>665.10703456428291</v>
          </cell>
          <cell r="K965">
            <v>666.43336623889434</v>
          </cell>
          <cell r="O965">
            <v>638.44861273935135</v>
          </cell>
        </row>
        <row r="966">
          <cell r="B966">
            <v>731.92522344521228</v>
          </cell>
          <cell r="F966">
            <v>665.28839071903087</v>
          </cell>
          <cell r="K966">
            <v>666.46199407699908</v>
          </cell>
          <cell r="O966">
            <v>638.57366158655725</v>
          </cell>
        </row>
        <row r="967">
          <cell r="B967">
            <v>732.06089431391911</v>
          </cell>
          <cell r="F967">
            <v>665.37282957209857</v>
          </cell>
          <cell r="K967">
            <v>666.49753208292202</v>
          </cell>
          <cell r="O967">
            <v>638.6332551778039</v>
          </cell>
        </row>
        <row r="968">
          <cell r="B968">
            <v>732.18906392892393</v>
          </cell>
          <cell r="F968">
            <v>665.45944817311442</v>
          </cell>
          <cell r="K968">
            <v>666.52319842053305</v>
          </cell>
          <cell r="O968">
            <v>638.69187182493158</v>
          </cell>
        </row>
        <row r="969">
          <cell r="B969">
            <v>732.3204949555776</v>
          </cell>
          <cell r="F969">
            <v>665.54694939917943</v>
          </cell>
          <cell r="K969">
            <v>666.55182625863779</v>
          </cell>
          <cell r="O969">
            <v>638.7543962485347</v>
          </cell>
        </row>
        <row r="970">
          <cell r="B970">
            <v>732.42542902270486</v>
          </cell>
          <cell r="F970">
            <v>665.63866704767486</v>
          </cell>
          <cell r="K970">
            <v>666.57453109575522</v>
          </cell>
          <cell r="O970">
            <v>638.81789761625635</v>
          </cell>
        </row>
        <row r="971">
          <cell r="B971">
            <v>732.45185580947691</v>
          </cell>
          <cell r="F971">
            <v>665.72631777549816</v>
          </cell>
          <cell r="K971">
            <v>666.58341559723601</v>
          </cell>
          <cell r="O971">
            <v>638.87749120750289</v>
          </cell>
        </row>
        <row r="972">
          <cell r="B972">
            <v>732.60391668805539</v>
          </cell>
          <cell r="F972">
            <v>665.80976055099643</v>
          </cell>
          <cell r="K972">
            <v>666.63079960513335</v>
          </cell>
          <cell r="O972">
            <v>638.93610785463068</v>
          </cell>
        </row>
        <row r="973">
          <cell r="B973">
            <v>732.72677472852911</v>
          </cell>
          <cell r="F973">
            <v>665.90366969030867</v>
          </cell>
          <cell r="K973">
            <v>666.64856860809471</v>
          </cell>
          <cell r="O973">
            <v>638.99863227823357</v>
          </cell>
        </row>
        <row r="974">
          <cell r="B974">
            <v>732.86258238894379</v>
          </cell>
          <cell r="F974">
            <v>665.99337103360688</v>
          </cell>
          <cell r="K974">
            <v>666.68114511352428</v>
          </cell>
          <cell r="O974">
            <v>639.06017975771783</v>
          </cell>
        </row>
        <row r="975">
          <cell r="B975">
            <v>733.0005704442251</v>
          </cell>
          <cell r="F975">
            <v>666.07988169206737</v>
          </cell>
          <cell r="K975">
            <v>666.71569595261599</v>
          </cell>
          <cell r="O975">
            <v>639.12172723720209</v>
          </cell>
        </row>
        <row r="976">
          <cell r="B976">
            <v>733.15492818361326</v>
          </cell>
          <cell r="F976">
            <v>666.16857438452507</v>
          </cell>
          <cell r="K976">
            <v>666.76209279368231</v>
          </cell>
          <cell r="O976">
            <v>639.18229777256738</v>
          </cell>
        </row>
        <row r="977">
          <cell r="B977">
            <v>733.30821468904253</v>
          </cell>
          <cell r="F977">
            <v>666.25843166764355</v>
          </cell>
          <cell r="K977">
            <v>666.80750246791706</v>
          </cell>
          <cell r="O977">
            <v>639.24091441969517</v>
          </cell>
        </row>
        <row r="978">
          <cell r="B978">
            <v>733.45282911154982</v>
          </cell>
          <cell r="F978">
            <v>666.34597430636961</v>
          </cell>
          <cell r="K978">
            <v>666.84501480750248</v>
          </cell>
          <cell r="O978">
            <v>639.30343884329807</v>
          </cell>
        </row>
        <row r="979">
          <cell r="B979">
            <v>733.59311147087851</v>
          </cell>
          <cell r="F979">
            <v>666.43162661195777</v>
          </cell>
          <cell r="K979">
            <v>666.87857847976306</v>
          </cell>
          <cell r="O979">
            <v>639.36107854630711</v>
          </cell>
        </row>
        <row r="980">
          <cell r="B980">
            <v>733.71913265054297</v>
          </cell>
          <cell r="F980">
            <v>666.52048062231336</v>
          </cell>
          <cell r="K980">
            <v>666.90523198420533</v>
          </cell>
          <cell r="O980">
            <v>639.41871824931616</v>
          </cell>
        </row>
        <row r="981">
          <cell r="B981">
            <v>733.87037267522214</v>
          </cell>
          <cell r="F981">
            <v>666.60716082942554</v>
          </cell>
          <cell r="K981">
            <v>666.94570582428435</v>
          </cell>
          <cell r="O981">
            <v>639.47733489644395</v>
          </cell>
        </row>
        <row r="982">
          <cell r="B982">
            <v>734.00843755676215</v>
          </cell>
          <cell r="F982">
            <v>666.69370332160997</v>
          </cell>
          <cell r="K982">
            <v>666.98025666337617</v>
          </cell>
          <cell r="O982">
            <v>639.5388823759281</v>
          </cell>
        </row>
        <row r="983">
          <cell r="B983">
            <v>734.14651280355395</v>
          </cell>
          <cell r="F983">
            <v>666.78155378077361</v>
          </cell>
          <cell r="K983">
            <v>667.01480750246799</v>
          </cell>
          <cell r="O983">
            <v>639.59554513481817</v>
          </cell>
        </row>
        <row r="984">
          <cell r="B984">
            <v>734.28793366238904</v>
          </cell>
          <cell r="F984">
            <v>666.8651925703399</v>
          </cell>
          <cell r="K984">
            <v>667.04935834155981</v>
          </cell>
          <cell r="O984">
            <v>639.6512309495896</v>
          </cell>
        </row>
        <row r="985">
          <cell r="B985">
            <v>734.42595484205333</v>
          </cell>
          <cell r="F985">
            <v>666.94578017291906</v>
          </cell>
          <cell r="K985">
            <v>667.08687068114511</v>
          </cell>
          <cell r="O985">
            <v>639.70398593200457</v>
          </cell>
        </row>
        <row r="986">
          <cell r="B986">
            <v>734.54993109081943</v>
          </cell>
          <cell r="F986">
            <v>667.02724753810082</v>
          </cell>
          <cell r="K986">
            <v>667.10858835143154</v>
          </cell>
          <cell r="O986">
            <v>639.76064869089487</v>
          </cell>
        </row>
        <row r="987">
          <cell r="B987">
            <v>734.68703356367234</v>
          </cell>
          <cell r="F987">
            <v>667.11497381789763</v>
          </cell>
          <cell r="K987">
            <v>667.13919052319841</v>
          </cell>
          <cell r="O987">
            <v>639.82024228214152</v>
          </cell>
        </row>
        <row r="988">
          <cell r="B988">
            <v>734.77875345508392</v>
          </cell>
          <cell r="F988">
            <v>667.19979227725685</v>
          </cell>
          <cell r="K988">
            <v>667.16189536031584</v>
          </cell>
          <cell r="O988">
            <v>639.87397420867535</v>
          </cell>
        </row>
        <row r="989">
          <cell r="B989">
            <v>734.82414552319847</v>
          </cell>
          <cell r="F989">
            <v>667.28447204474401</v>
          </cell>
          <cell r="K989">
            <v>667.16979269496551</v>
          </cell>
          <cell r="O989">
            <v>639.93063696756542</v>
          </cell>
        </row>
        <row r="990">
          <cell r="B990">
            <v>734.94713046396851</v>
          </cell>
          <cell r="F990">
            <v>667.36813760257917</v>
          </cell>
          <cell r="K990">
            <v>667.18756169792698</v>
          </cell>
          <cell r="O990">
            <v>639.98632278233686</v>
          </cell>
        </row>
        <row r="991">
          <cell r="B991">
            <v>735.07548545903251</v>
          </cell>
          <cell r="F991">
            <v>667.4529702520515</v>
          </cell>
          <cell r="K991">
            <v>667.21322803553801</v>
          </cell>
          <cell r="O991">
            <v>640.04005470887057</v>
          </cell>
        </row>
        <row r="992">
          <cell r="B992">
            <v>735.22139783810451</v>
          </cell>
          <cell r="F992">
            <v>667.5324256203595</v>
          </cell>
          <cell r="K992">
            <v>667.24876604146095</v>
          </cell>
          <cell r="O992">
            <v>640.09476357952326</v>
          </cell>
        </row>
        <row r="993">
          <cell r="B993">
            <v>735.3594880700889</v>
          </cell>
          <cell r="F993">
            <v>667.61828631301285</v>
          </cell>
          <cell r="K993">
            <v>667.28627838104649</v>
          </cell>
          <cell r="O993">
            <v>640.14947245017584</v>
          </cell>
        </row>
        <row r="994">
          <cell r="B994">
            <v>735.49011808489661</v>
          </cell>
          <cell r="F994">
            <v>667.70298871629541</v>
          </cell>
          <cell r="K994">
            <v>667.31095755182639</v>
          </cell>
          <cell r="O994">
            <v>640.20613520906602</v>
          </cell>
        </row>
        <row r="995">
          <cell r="B995">
            <v>735.6284451628826</v>
          </cell>
          <cell r="F995">
            <v>667.79075248143818</v>
          </cell>
          <cell r="K995">
            <v>667.3395853899309</v>
          </cell>
          <cell r="O995">
            <v>640.26572880031267</v>
          </cell>
        </row>
        <row r="996">
          <cell r="B996">
            <v>735.77860935834144</v>
          </cell>
          <cell r="F996">
            <v>667.87444508597116</v>
          </cell>
          <cell r="K996">
            <v>667.38499506416576</v>
          </cell>
          <cell r="O996">
            <v>640.32141461508411</v>
          </cell>
        </row>
        <row r="997">
          <cell r="B997">
            <v>735.91586866732496</v>
          </cell>
          <cell r="F997">
            <v>667.95406606096128</v>
          </cell>
          <cell r="K997">
            <v>667.41263573543938</v>
          </cell>
          <cell r="O997">
            <v>640.37319265338022</v>
          </cell>
        </row>
        <row r="998">
          <cell r="B998">
            <v>736.04544504935825</v>
          </cell>
          <cell r="F998">
            <v>668.03791236811264</v>
          </cell>
          <cell r="K998">
            <v>667.43632773938793</v>
          </cell>
          <cell r="O998">
            <v>640.4259476357953</v>
          </cell>
        </row>
        <row r="999">
          <cell r="B999">
            <v>736.19027191510372</v>
          </cell>
          <cell r="F999">
            <v>668.11841593395866</v>
          </cell>
          <cell r="K999">
            <v>667.47384007897335</v>
          </cell>
          <cell r="O999">
            <v>640.48163345056673</v>
          </cell>
        </row>
        <row r="1000">
          <cell r="B1000">
            <v>736.33075461500493</v>
          </cell>
          <cell r="F1000">
            <v>668.20110694607274</v>
          </cell>
          <cell r="K1000">
            <v>667.50740375123394</v>
          </cell>
          <cell r="O1000">
            <v>640.53634232121919</v>
          </cell>
        </row>
        <row r="1001">
          <cell r="B1001">
            <v>736.46253490621905</v>
          </cell>
          <cell r="F1001">
            <v>668.28496692555689</v>
          </cell>
          <cell r="K1001">
            <v>667.53307008884497</v>
          </cell>
          <cell r="O1001">
            <v>640.58909730363428</v>
          </cell>
        </row>
        <row r="1002">
          <cell r="B1002">
            <v>736.60746428430423</v>
          </cell>
          <cell r="F1002">
            <v>668.36359000097696</v>
          </cell>
          <cell r="K1002">
            <v>667.5676209279369</v>
          </cell>
          <cell r="O1002">
            <v>640.63989839781163</v>
          </cell>
        </row>
        <row r="1003">
          <cell r="B1003">
            <v>736.74035140671288</v>
          </cell>
          <cell r="F1003">
            <v>668.44207145369285</v>
          </cell>
          <cell r="K1003">
            <v>667.59427443237917</v>
          </cell>
          <cell r="O1003">
            <v>640.69363032434546</v>
          </cell>
        </row>
        <row r="1004">
          <cell r="B1004">
            <v>736.88748060217165</v>
          </cell>
          <cell r="F1004">
            <v>668.5217218151621</v>
          </cell>
          <cell r="K1004">
            <v>667.63079960513323</v>
          </cell>
          <cell r="O1004">
            <v>640.74540836264157</v>
          </cell>
        </row>
        <row r="1005">
          <cell r="B1005">
            <v>737.03230368706795</v>
          </cell>
          <cell r="F1005">
            <v>668.60152228898016</v>
          </cell>
          <cell r="K1005">
            <v>667.67127344521214</v>
          </cell>
          <cell r="O1005">
            <v>640.79425556858155</v>
          </cell>
        </row>
        <row r="1006">
          <cell r="B1006">
            <v>737.08210288252712</v>
          </cell>
          <cell r="F1006">
            <v>668.672879982415</v>
          </cell>
          <cell r="K1006">
            <v>667.68311944718664</v>
          </cell>
          <cell r="O1006">
            <v>640.84114888628369</v>
          </cell>
        </row>
        <row r="1007">
          <cell r="B1007">
            <v>737.15874886969391</v>
          </cell>
          <cell r="F1007">
            <v>668.75152304611163</v>
          </cell>
          <cell r="K1007">
            <v>667.68904244817372</v>
          </cell>
          <cell r="O1007">
            <v>640.89194998046105</v>
          </cell>
        </row>
        <row r="1008">
          <cell r="B1008">
            <v>737.29180839091794</v>
          </cell>
          <cell r="F1008">
            <v>668.83235543180933</v>
          </cell>
          <cell r="K1008">
            <v>667.70977295162879</v>
          </cell>
          <cell r="O1008">
            <v>640.94177413051978</v>
          </cell>
        </row>
        <row r="1009">
          <cell r="B1009">
            <v>737.42678269990142</v>
          </cell>
          <cell r="F1009">
            <v>668.91217280187573</v>
          </cell>
          <cell r="K1009">
            <v>667.74432379072073</v>
          </cell>
          <cell r="O1009">
            <v>640.99062133645953</v>
          </cell>
        </row>
        <row r="1010">
          <cell r="B1010">
            <v>737.57403226061206</v>
          </cell>
          <cell r="F1010">
            <v>668.98660370750292</v>
          </cell>
          <cell r="K1010">
            <v>667.77788746298131</v>
          </cell>
          <cell r="O1010">
            <v>641.04044548651814</v>
          </cell>
        </row>
        <row r="1011">
          <cell r="B1011">
            <v>737.69280481243834</v>
          </cell>
          <cell r="F1011">
            <v>669.06628269831981</v>
          </cell>
          <cell r="K1011">
            <v>667.79170779861795</v>
          </cell>
          <cell r="O1011">
            <v>641.09222352481447</v>
          </cell>
        </row>
        <row r="1012">
          <cell r="B1012">
            <v>737.82576011846004</v>
          </cell>
          <cell r="F1012">
            <v>669.14596583137939</v>
          </cell>
          <cell r="K1012">
            <v>667.81836130306021</v>
          </cell>
          <cell r="O1012">
            <v>641.14400156311058</v>
          </cell>
        </row>
        <row r="1013">
          <cell r="B1013">
            <v>737.9642445310958</v>
          </cell>
          <cell r="F1013">
            <v>669.22681977334889</v>
          </cell>
          <cell r="K1013">
            <v>667.84698914116495</v>
          </cell>
          <cell r="O1013">
            <v>641.19382571316919</v>
          </cell>
        </row>
        <row r="1014">
          <cell r="B1014">
            <v>738.09939872655491</v>
          </cell>
          <cell r="F1014">
            <v>669.30228545330215</v>
          </cell>
          <cell r="K1014">
            <v>667.87561697926958</v>
          </cell>
          <cell r="O1014">
            <v>641.24462680734666</v>
          </cell>
        </row>
        <row r="1015">
          <cell r="B1015">
            <v>738.21935227048357</v>
          </cell>
          <cell r="F1015">
            <v>669.38824658069564</v>
          </cell>
          <cell r="K1015">
            <v>667.88746298124374</v>
          </cell>
          <cell r="O1015">
            <v>641.29933567799924</v>
          </cell>
        </row>
        <row r="1016">
          <cell r="B1016">
            <v>738.36550028627835</v>
          </cell>
          <cell r="F1016">
            <v>669.47202563501378</v>
          </cell>
          <cell r="K1016">
            <v>667.9230009871668</v>
          </cell>
          <cell r="O1016">
            <v>641.35502149277067</v>
          </cell>
        </row>
        <row r="1017">
          <cell r="B1017">
            <v>738.4985624383022</v>
          </cell>
          <cell r="F1017">
            <v>669.55478933177017</v>
          </cell>
          <cell r="K1017">
            <v>667.94669299111558</v>
          </cell>
          <cell r="O1017">
            <v>641.40973036342325</v>
          </cell>
        </row>
        <row r="1018">
          <cell r="B1018">
            <v>738.63709014313918</v>
          </cell>
          <cell r="F1018">
            <v>669.63449785072282</v>
          </cell>
          <cell r="K1018">
            <v>667.9753208292201</v>
          </cell>
          <cell r="O1018">
            <v>641.46150840171936</v>
          </cell>
        </row>
        <row r="1019">
          <cell r="B1019">
            <v>738.7635530108588</v>
          </cell>
          <cell r="F1019">
            <v>669.88078804220402</v>
          </cell>
          <cell r="K1019">
            <v>667.99605133267528</v>
          </cell>
          <cell r="O1019">
            <v>641.62368112543959</v>
          </cell>
        </row>
        <row r="1020">
          <cell r="B1020">
            <v>738.89451865251715</v>
          </cell>
          <cell r="F1020">
            <v>670.13221758499424</v>
          </cell>
          <cell r="K1020">
            <v>668.01480750246787</v>
          </cell>
          <cell r="O1020">
            <v>641.7907385697539</v>
          </cell>
        </row>
        <row r="1021">
          <cell r="B1021">
            <v>739.02973077986178</v>
          </cell>
          <cell r="F1021">
            <v>670.38194509574055</v>
          </cell>
          <cell r="K1021">
            <v>668.0434353405725</v>
          </cell>
          <cell r="O1021">
            <v>641.94998046111766</v>
          </cell>
        </row>
        <row r="1022">
          <cell r="B1022">
            <v>739.16392325765048</v>
          </cell>
          <cell r="F1022">
            <v>670.6232522567409</v>
          </cell>
          <cell r="K1022">
            <v>668.06811451135241</v>
          </cell>
          <cell r="O1022">
            <v>642.10726846424382</v>
          </cell>
        </row>
        <row r="1023">
          <cell r="B1023">
            <v>739.30467790720616</v>
          </cell>
          <cell r="F1023">
            <v>670.86897889800707</v>
          </cell>
          <cell r="K1023">
            <v>668.09871668311939</v>
          </cell>
          <cell r="O1023">
            <v>642.26260257913248</v>
          </cell>
        </row>
        <row r="1024">
          <cell r="B1024">
            <v>739.32799809476819</v>
          </cell>
          <cell r="F1024">
            <v>671.10321887456041</v>
          </cell>
          <cell r="K1024">
            <v>668.1016781836131</v>
          </cell>
          <cell r="O1024">
            <v>642.41305197342717</v>
          </cell>
        </row>
        <row r="1025">
          <cell r="B1025">
            <v>739.43226891411643</v>
          </cell>
          <cell r="F1025">
            <v>671.34683195584205</v>
          </cell>
          <cell r="K1025">
            <v>668.1204343534057</v>
          </cell>
          <cell r="O1025">
            <v>642.56936303243447</v>
          </cell>
        </row>
        <row r="1026">
          <cell r="B1026">
            <v>739.57304157453109</v>
          </cell>
          <cell r="F1026">
            <v>671.58742165885121</v>
          </cell>
          <cell r="K1026">
            <v>668.1510365251728</v>
          </cell>
          <cell r="O1026">
            <v>642.72274325908563</v>
          </cell>
        </row>
        <row r="1027">
          <cell r="B1027">
            <v>739.71928826752219</v>
          </cell>
          <cell r="F1027">
            <v>671.83519629249702</v>
          </cell>
          <cell r="K1027">
            <v>668.18657453109574</v>
          </cell>
          <cell r="O1027">
            <v>642.88296209456814</v>
          </cell>
        </row>
        <row r="1028">
          <cell r="B1028">
            <v>739.85018221125392</v>
          </cell>
          <cell r="F1028">
            <v>672.08009978995688</v>
          </cell>
          <cell r="K1028">
            <v>668.21125370187576</v>
          </cell>
          <cell r="O1028">
            <v>643.03731926533794</v>
          </cell>
        </row>
        <row r="1029">
          <cell r="B1029">
            <v>739.97567971372166</v>
          </cell>
          <cell r="F1029">
            <v>672.32197983587332</v>
          </cell>
          <cell r="K1029">
            <v>668.228035538006</v>
          </cell>
          <cell r="O1029">
            <v>643.18874560375139</v>
          </cell>
        </row>
        <row r="1030">
          <cell r="B1030">
            <v>740.11539570582431</v>
          </cell>
          <cell r="F1030">
            <v>672.55149069949198</v>
          </cell>
          <cell r="K1030">
            <v>668.25765054294186</v>
          </cell>
          <cell r="O1030">
            <v>643.33137944509576</v>
          </cell>
        </row>
        <row r="1031">
          <cell r="B1031">
            <v>740.25074727541971</v>
          </cell>
          <cell r="F1031">
            <v>672.78308009964837</v>
          </cell>
          <cell r="K1031">
            <v>668.28331688055289</v>
          </cell>
          <cell r="O1031">
            <v>643.47596717467775</v>
          </cell>
        </row>
        <row r="1032">
          <cell r="B1032">
            <v>740.39157522211258</v>
          </cell>
          <cell r="F1032">
            <v>673.01572720789386</v>
          </cell>
          <cell r="K1032">
            <v>668.31391905231987</v>
          </cell>
          <cell r="O1032">
            <v>643.62153184837837</v>
          </cell>
        </row>
        <row r="1033">
          <cell r="B1033">
            <v>740.52256884501469</v>
          </cell>
          <cell r="F1033">
            <v>673.25351912368114</v>
          </cell>
          <cell r="K1033">
            <v>668.33563672260607</v>
          </cell>
          <cell r="O1033">
            <v>643.77198124267295</v>
          </cell>
        </row>
        <row r="1034">
          <cell r="B1034">
            <v>740.66560285291223</v>
          </cell>
          <cell r="F1034">
            <v>673.4862396248534</v>
          </cell>
          <cell r="K1034">
            <v>668.36821322803553</v>
          </cell>
          <cell r="O1034">
            <v>643.91754591637357</v>
          </cell>
        </row>
        <row r="1035">
          <cell r="B1035">
            <v>740.79776583909188</v>
          </cell>
          <cell r="F1035">
            <v>673.72104037221573</v>
          </cell>
          <cell r="K1035">
            <v>668.38795656465948</v>
          </cell>
          <cell r="O1035">
            <v>644.06506447831191</v>
          </cell>
        </row>
        <row r="1036">
          <cell r="B1036">
            <v>740.92112195459026</v>
          </cell>
          <cell r="F1036">
            <v>673.9558779992185</v>
          </cell>
          <cell r="K1036">
            <v>668.40276406712724</v>
          </cell>
          <cell r="O1036">
            <v>644.21258304025014</v>
          </cell>
        </row>
        <row r="1037">
          <cell r="B1037">
            <v>741.06533581441261</v>
          </cell>
          <cell r="F1037">
            <v>674.19601865963273</v>
          </cell>
          <cell r="K1037">
            <v>668.43336623889434</v>
          </cell>
          <cell r="O1037">
            <v>644.36205549042597</v>
          </cell>
        </row>
        <row r="1038">
          <cell r="B1038">
            <v>741.1909516535045</v>
          </cell>
          <cell r="F1038">
            <v>674.41866344275104</v>
          </cell>
          <cell r="K1038">
            <v>668.4471865745312</v>
          </cell>
          <cell r="O1038">
            <v>644.49785072293867</v>
          </cell>
        </row>
        <row r="1039">
          <cell r="B1039">
            <v>741.3176668114512</v>
          </cell>
          <cell r="F1039">
            <v>674.65887930343877</v>
          </cell>
          <cell r="K1039">
            <v>668.46199407699908</v>
          </cell>
          <cell r="O1039">
            <v>644.6473231731145</v>
          </cell>
        </row>
        <row r="1040">
          <cell r="B1040">
            <v>741.46294279368215</v>
          </cell>
          <cell r="F1040">
            <v>674.88025923212194</v>
          </cell>
          <cell r="K1040">
            <v>668.49654491609078</v>
          </cell>
          <cell r="O1040">
            <v>644.78800312622116</v>
          </cell>
        </row>
        <row r="1041">
          <cell r="B1041">
            <v>741.56852051826263</v>
          </cell>
          <cell r="F1041">
            <v>675.11952676826888</v>
          </cell>
          <cell r="K1041">
            <v>668.51036525172753</v>
          </cell>
          <cell r="O1041">
            <v>644.93649863227824</v>
          </cell>
        </row>
        <row r="1042">
          <cell r="B1042">
            <v>741.58967090819374</v>
          </cell>
          <cell r="F1042">
            <v>675.35269616060953</v>
          </cell>
          <cell r="K1042">
            <v>668.51135241855889</v>
          </cell>
          <cell r="O1042">
            <v>645.07913247362251</v>
          </cell>
        </row>
        <row r="1043">
          <cell r="B1043">
            <v>741.71744222606117</v>
          </cell>
          <cell r="F1043">
            <v>675.60022350527549</v>
          </cell>
          <cell r="K1043">
            <v>668.53010858835137</v>
          </cell>
          <cell r="O1043">
            <v>645.23544353262992</v>
          </cell>
        </row>
        <row r="1044">
          <cell r="B1044">
            <v>741.85513468904242</v>
          </cell>
          <cell r="F1044">
            <v>675.83756102969915</v>
          </cell>
          <cell r="K1044">
            <v>668.55478775913127</v>
          </cell>
          <cell r="O1044">
            <v>645.3819851504494</v>
          </cell>
        </row>
        <row r="1045">
          <cell r="B1045">
            <v>741.97864911154977</v>
          </cell>
          <cell r="F1045">
            <v>676.07477851699878</v>
          </cell>
          <cell r="K1045">
            <v>668.56367226061195</v>
          </cell>
          <cell r="O1045">
            <v>645.53145760062523</v>
          </cell>
        </row>
        <row r="1046">
          <cell r="B1046">
            <v>742.10862953603146</v>
          </cell>
          <cell r="F1046">
            <v>676.30077717858524</v>
          </cell>
          <cell r="K1046">
            <v>668.58440276406702</v>
          </cell>
          <cell r="O1046">
            <v>645.67018366549428</v>
          </cell>
        </row>
        <row r="1047">
          <cell r="B1047">
            <v>742.23746532576502</v>
          </cell>
          <cell r="F1047">
            <v>676.53208640093771</v>
          </cell>
          <cell r="K1047">
            <v>668.60710760118457</v>
          </cell>
          <cell r="O1047">
            <v>645.81086361860093</v>
          </cell>
        </row>
        <row r="1048">
          <cell r="B1048">
            <v>742.38291387956565</v>
          </cell>
          <cell r="F1048">
            <v>676.76122598182883</v>
          </cell>
          <cell r="K1048">
            <v>668.63573543928919</v>
          </cell>
          <cell r="O1048">
            <v>645.95252051582645</v>
          </cell>
        </row>
        <row r="1049">
          <cell r="B1049">
            <v>742.50962727541958</v>
          </cell>
          <cell r="F1049">
            <v>676.99772611371645</v>
          </cell>
          <cell r="K1049">
            <v>668.65350444225078</v>
          </cell>
          <cell r="O1049">
            <v>646.0980851895273</v>
          </cell>
        </row>
        <row r="1050">
          <cell r="B1050">
            <v>742.64736428430399</v>
          </cell>
          <cell r="F1050">
            <v>677.23324029894491</v>
          </cell>
          <cell r="K1050">
            <v>668.67818361303057</v>
          </cell>
          <cell r="O1050">
            <v>646.24267291910905</v>
          </cell>
        </row>
        <row r="1051">
          <cell r="B1051">
            <v>742.78949555774909</v>
          </cell>
          <cell r="F1051">
            <v>677.4708399179367</v>
          </cell>
          <cell r="K1051">
            <v>668.7068114511352</v>
          </cell>
          <cell r="O1051">
            <v>646.38921453692853</v>
          </cell>
        </row>
        <row r="1052">
          <cell r="B1052">
            <v>742.91079911154998</v>
          </cell>
          <cell r="F1052">
            <v>677.69926121043375</v>
          </cell>
          <cell r="K1052">
            <v>668.71668311944723</v>
          </cell>
          <cell r="O1052">
            <v>646.52696365767883</v>
          </cell>
        </row>
        <row r="1053">
          <cell r="B1053">
            <v>743.04197762586386</v>
          </cell>
          <cell r="F1053">
            <v>677.94512928390009</v>
          </cell>
          <cell r="K1053">
            <v>668.73543928923993</v>
          </cell>
          <cell r="O1053">
            <v>646.68132082844863</v>
          </cell>
        </row>
        <row r="1054">
          <cell r="B1054">
            <v>743.18084146100693</v>
          </cell>
          <cell r="F1054">
            <v>678.17141456623676</v>
          </cell>
          <cell r="K1054">
            <v>668.76110562685096</v>
          </cell>
          <cell r="O1054">
            <v>646.82004689331768</v>
          </cell>
        </row>
        <row r="1055">
          <cell r="B1055">
            <v>743.31422785784798</v>
          </cell>
          <cell r="F1055">
            <v>678.40285662368115</v>
          </cell>
          <cell r="K1055">
            <v>668.78183613030603</v>
          </cell>
          <cell r="O1055">
            <v>646.96365767878081</v>
          </cell>
        </row>
        <row r="1056">
          <cell r="B1056">
            <v>743.44652375123405</v>
          </cell>
          <cell r="F1056">
            <v>678.62646194802653</v>
          </cell>
          <cell r="K1056">
            <v>668.80157946692998</v>
          </cell>
          <cell r="O1056">
            <v>647.09359124658067</v>
          </cell>
        </row>
        <row r="1057">
          <cell r="B1057">
            <v>743.57997524185589</v>
          </cell>
          <cell r="F1057">
            <v>678.85506365767878</v>
          </cell>
          <cell r="K1057">
            <v>668.81934846989145</v>
          </cell>
          <cell r="O1057">
            <v>647.23134036733109</v>
          </cell>
        </row>
        <row r="1058">
          <cell r="B1058">
            <v>743.71672581441271</v>
          </cell>
          <cell r="F1058">
            <v>679.07857715904652</v>
          </cell>
          <cell r="K1058">
            <v>668.84007897334652</v>
          </cell>
          <cell r="O1058">
            <v>647.36420476748731</v>
          </cell>
        </row>
        <row r="1059">
          <cell r="B1059">
            <v>743.81664515301077</v>
          </cell>
          <cell r="F1059">
            <v>679.30401235345846</v>
          </cell>
          <cell r="K1059">
            <v>668.86377097729508</v>
          </cell>
          <cell r="O1059">
            <v>647.50195388823761</v>
          </cell>
        </row>
        <row r="1060">
          <cell r="B1060">
            <v>743.85892187561694</v>
          </cell>
          <cell r="F1060">
            <v>679.5316951299335</v>
          </cell>
          <cell r="K1060">
            <v>668.86870681145115</v>
          </cell>
          <cell r="O1060">
            <v>647.63872606486905</v>
          </cell>
        </row>
        <row r="1061">
          <cell r="B1061">
            <v>743.98360966436337</v>
          </cell>
          <cell r="F1061">
            <v>679.76027529308328</v>
          </cell>
          <cell r="K1061">
            <v>668.87857847976318</v>
          </cell>
          <cell r="O1061">
            <v>647.77940601797582</v>
          </cell>
        </row>
        <row r="1062">
          <cell r="B1062">
            <v>744.11264358341566</v>
          </cell>
          <cell r="F1062">
            <v>679.98068824247764</v>
          </cell>
          <cell r="K1062">
            <v>668.89536031589353</v>
          </cell>
          <cell r="O1062">
            <v>647.91227041813215</v>
          </cell>
        </row>
        <row r="1063">
          <cell r="B1063">
            <v>744.22960133761092</v>
          </cell>
          <cell r="F1063">
            <v>680.1990835677999</v>
          </cell>
          <cell r="K1063">
            <v>668.90128331688049</v>
          </cell>
          <cell r="O1063">
            <v>648.04318093005077</v>
          </cell>
        </row>
        <row r="1064">
          <cell r="B1064">
            <v>744.35869361796631</v>
          </cell>
          <cell r="F1064">
            <v>680.41681449785074</v>
          </cell>
          <cell r="K1064">
            <v>668.91510365251725</v>
          </cell>
          <cell r="O1064">
            <v>648.16725283313792</v>
          </cell>
        </row>
        <row r="1065">
          <cell r="B1065">
            <v>744.49208793188541</v>
          </cell>
          <cell r="F1065">
            <v>680.64758382180548</v>
          </cell>
          <cell r="K1065">
            <v>668.9387956564658</v>
          </cell>
          <cell r="O1065">
            <v>648.3098866744823</v>
          </cell>
        </row>
        <row r="1066">
          <cell r="B1066">
            <v>744.63542759131292</v>
          </cell>
          <cell r="F1066">
            <v>680.87445045916377</v>
          </cell>
          <cell r="K1066">
            <v>668.96841066140178</v>
          </cell>
          <cell r="O1066">
            <v>648.44568190699488</v>
          </cell>
        </row>
        <row r="1067">
          <cell r="B1067">
            <v>744.76453812438297</v>
          </cell>
          <cell r="F1067">
            <v>681.10118726553344</v>
          </cell>
          <cell r="K1067">
            <v>668.98223099703841</v>
          </cell>
          <cell r="O1067">
            <v>648.58440797186404</v>
          </cell>
        </row>
        <row r="1068">
          <cell r="B1068">
            <v>744.89800246791708</v>
          </cell>
          <cell r="F1068">
            <v>681.32299396737017</v>
          </cell>
          <cell r="K1068">
            <v>669.0029615004936</v>
          </cell>
          <cell r="O1068">
            <v>648.71531848378277</v>
          </cell>
        </row>
        <row r="1069">
          <cell r="B1069">
            <v>745.03376657453111</v>
          </cell>
          <cell r="F1069">
            <v>681.54774750879255</v>
          </cell>
          <cell r="K1069">
            <v>669.01974333662383</v>
          </cell>
          <cell r="O1069">
            <v>648.85209066041432</v>
          </cell>
        </row>
        <row r="1070">
          <cell r="B1070">
            <v>745.16174669792701</v>
          </cell>
          <cell r="F1070">
            <v>681.77270128956627</v>
          </cell>
          <cell r="K1070">
            <v>669.03553800592306</v>
          </cell>
          <cell r="O1070">
            <v>648.9859320046894</v>
          </cell>
        </row>
        <row r="1071">
          <cell r="B1071">
            <v>745.29523030602172</v>
          </cell>
          <cell r="F1071">
            <v>682.00401476162563</v>
          </cell>
          <cell r="K1071">
            <v>669.05626850937813</v>
          </cell>
          <cell r="O1071">
            <v>649.12270418132084</v>
          </cell>
        </row>
        <row r="1072">
          <cell r="B1072">
            <v>745.4265670286278</v>
          </cell>
          <cell r="F1072">
            <v>682.22082672430633</v>
          </cell>
          <cell r="K1072">
            <v>669.07206317867713</v>
          </cell>
          <cell r="O1072">
            <v>649.24872997264549</v>
          </cell>
        </row>
        <row r="1073">
          <cell r="B1073">
            <v>745.55566366732478</v>
          </cell>
          <cell r="F1073">
            <v>682.44588493552169</v>
          </cell>
          <cell r="K1073">
            <v>669.08884501480748</v>
          </cell>
          <cell r="O1073">
            <v>649.38257131692069</v>
          </cell>
        </row>
        <row r="1074">
          <cell r="B1074">
            <v>745.68811137216198</v>
          </cell>
          <cell r="F1074">
            <v>682.6701182590856</v>
          </cell>
          <cell r="K1074">
            <v>669.10562685093794</v>
          </cell>
          <cell r="O1074">
            <v>649.51250488472056</v>
          </cell>
        </row>
        <row r="1075">
          <cell r="B1075">
            <v>745.80841664363277</v>
          </cell>
          <cell r="F1075">
            <v>682.8991865719031</v>
          </cell>
          <cell r="K1075">
            <v>669.11451135241862</v>
          </cell>
          <cell r="O1075">
            <v>649.65318483782733</v>
          </cell>
        </row>
        <row r="1076">
          <cell r="B1076">
            <v>745.92758017769006</v>
          </cell>
          <cell r="F1076">
            <v>683.11921422919113</v>
          </cell>
          <cell r="K1076">
            <v>669.12537018756166</v>
          </cell>
          <cell r="O1076">
            <v>649.78214146150844</v>
          </cell>
        </row>
        <row r="1077">
          <cell r="B1077">
            <v>745.97653196446197</v>
          </cell>
          <cell r="F1077">
            <v>683.34852015435717</v>
          </cell>
          <cell r="K1077">
            <v>669.13326752221121</v>
          </cell>
          <cell r="O1077">
            <v>649.91989058225874</v>
          </cell>
        </row>
        <row r="1078">
          <cell r="B1078">
            <v>746.06884753208283</v>
          </cell>
          <cell r="F1078">
            <v>683.57152966002343</v>
          </cell>
          <cell r="K1078">
            <v>669.15004935834156</v>
          </cell>
          <cell r="O1078">
            <v>650.05470887065258</v>
          </cell>
        </row>
        <row r="1079">
          <cell r="B1079">
            <v>746.186962922014</v>
          </cell>
          <cell r="F1079">
            <v>683.80621200175858</v>
          </cell>
          <cell r="K1079">
            <v>669.15695952615999</v>
          </cell>
          <cell r="O1079">
            <v>650.19441187964048</v>
          </cell>
        </row>
        <row r="1080">
          <cell r="B1080">
            <v>746.32163807996051</v>
          </cell>
          <cell r="F1080">
            <v>684.01935290152414</v>
          </cell>
          <cell r="K1080">
            <v>669.17571569595259</v>
          </cell>
          <cell r="O1080">
            <v>650.31359906213368</v>
          </cell>
        </row>
        <row r="1081">
          <cell r="B1081">
            <v>746.45631961500499</v>
          </cell>
          <cell r="F1081">
            <v>684.23749546697923</v>
          </cell>
          <cell r="K1081">
            <v>669.1944718657453</v>
          </cell>
          <cell r="O1081">
            <v>650.44060179757707</v>
          </cell>
        </row>
        <row r="1082">
          <cell r="B1082">
            <v>746.58439967917082</v>
          </cell>
          <cell r="F1082">
            <v>684.44230922235249</v>
          </cell>
          <cell r="K1082">
            <v>669.20730503455081</v>
          </cell>
          <cell r="O1082">
            <v>650.55490425947642</v>
          </cell>
        </row>
        <row r="1083">
          <cell r="B1083">
            <v>746.70371391905223</v>
          </cell>
          <cell r="F1083">
            <v>684.57555860687762</v>
          </cell>
          <cell r="K1083">
            <v>669.20927936821317</v>
          </cell>
          <cell r="O1083">
            <v>650.6320828448612</v>
          </cell>
        </row>
        <row r="1084">
          <cell r="B1084">
            <v>746.81854002467935</v>
          </cell>
          <cell r="F1084">
            <v>684.65109503712392</v>
          </cell>
          <cell r="K1084">
            <v>669.21322803553812</v>
          </cell>
          <cell r="O1084">
            <v>650.67604533020722</v>
          </cell>
        </row>
        <row r="1085">
          <cell r="B1085">
            <v>746.93997827245801</v>
          </cell>
          <cell r="F1085">
            <v>684.86710767878071</v>
          </cell>
          <cell r="K1085">
            <v>669.22309970384993</v>
          </cell>
          <cell r="O1085">
            <v>650.80402500976936</v>
          </cell>
        </row>
        <row r="1086">
          <cell r="B1086">
            <v>747.0713777887463</v>
          </cell>
          <cell r="F1086">
            <v>685.08418051484944</v>
          </cell>
          <cell r="K1086">
            <v>669.23889437314904</v>
          </cell>
          <cell r="O1086">
            <v>650.93298163345048</v>
          </cell>
        </row>
        <row r="1087">
          <cell r="B1087">
            <v>747.20057839091817</v>
          </cell>
          <cell r="F1087">
            <v>685.29871148397808</v>
          </cell>
          <cell r="K1087">
            <v>669.25271470878579</v>
          </cell>
          <cell r="O1087">
            <v>651.05021492770607</v>
          </cell>
        </row>
        <row r="1088">
          <cell r="B1088">
            <v>747.3364763573544</v>
          </cell>
          <cell r="F1088">
            <v>685.51824718640103</v>
          </cell>
          <cell r="K1088">
            <v>669.26653504442254</v>
          </cell>
          <cell r="O1088">
            <v>651.1752637749122</v>
          </cell>
        </row>
        <row r="1089">
          <cell r="B1089">
            <v>747.4601740572557</v>
          </cell>
          <cell r="F1089">
            <v>685.71090246189908</v>
          </cell>
          <cell r="K1089">
            <v>669.27541954590333</v>
          </cell>
          <cell r="O1089">
            <v>651.27784290738566</v>
          </cell>
        </row>
        <row r="1090">
          <cell r="B1090">
            <v>747.59045221125382</v>
          </cell>
          <cell r="F1090">
            <v>685.94335930050806</v>
          </cell>
          <cell r="K1090">
            <v>669.29318854886492</v>
          </cell>
          <cell r="O1090">
            <v>651.40582258694803</v>
          </cell>
        </row>
        <row r="1091">
          <cell r="B1091">
            <v>747.72632651530114</v>
          </cell>
          <cell r="F1091">
            <v>686.17397028135997</v>
          </cell>
          <cell r="K1091">
            <v>669.30997038499515</v>
          </cell>
          <cell r="O1091">
            <v>651.54747948417355</v>
          </cell>
        </row>
        <row r="1092">
          <cell r="B1092">
            <v>747.85227972852908</v>
          </cell>
          <cell r="F1092">
            <v>686.36757318288392</v>
          </cell>
          <cell r="K1092">
            <v>669.3178677196446</v>
          </cell>
          <cell r="O1092">
            <v>651.65396639312235</v>
          </cell>
        </row>
        <row r="1093">
          <cell r="B1093">
            <v>747.98375154985206</v>
          </cell>
          <cell r="F1093">
            <v>686.58898751465426</v>
          </cell>
          <cell r="K1093">
            <v>669.33070088845022</v>
          </cell>
          <cell r="O1093">
            <v>651.80539273153579</v>
          </cell>
        </row>
        <row r="1094">
          <cell r="B1094">
            <v>748.10746779861813</v>
          </cell>
          <cell r="F1094">
            <v>686.77304147127791</v>
          </cell>
          <cell r="K1094">
            <v>669.33958538993102</v>
          </cell>
          <cell r="O1094">
            <v>651.89038686987112</v>
          </cell>
        </row>
        <row r="1095">
          <cell r="B1095">
            <v>748.12975471865752</v>
          </cell>
          <cell r="F1095">
            <v>686.9898804708871</v>
          </cell>
          <cell r="K1095">
            <v>669.34155972359338</v>
          </cell>
          <cell r="O1095">
            <v>652.04669792887853</v>
          </cell>
        </row>
        <row r="1096">
          <cell r="B1096">
            <v>748.23894784797642</v>
          </cell>
          <cell r="F1096">
            <v>687.1926908753419</v>
          </cell>
          <cell r="K1096">
            <v>669.35241855873653</v>
          </cell>
          <cell r="O1096">
            <v>652.14634622899575</v>
          </cell>
        </row>
        <row r="1097">
          <cell r="B1097">
            <v>748.36377453109583</v>
          </cell>
          <cell r="F1097">
            <v>687.49162895662369</v>
          </cell>
          <cell r="K1097">
            <v>669.36229022704845</v>
          </cell>
          <cell r="O1097">
            <v>652.3309886674482</v>
          </cell>
        </row>
        <row r="1098">
          <cell r="B1098">
            <v>748.49747068114516</v>
          </cell>
          <cell r="F1098">
            <v>687.59856131301285</v>
          </cell>
          <cell r="K1098">
            <v>669.37709772951632</v>
          </cell>
          <cell r="O1098">
            <v>652.37983587338806</v>
          </cell>
        </row>
        <row r="1099">
          <cell r="B1099">
            <v>748.62896396841063</v>
          </cell>
          <cell r="F1099">
            <v>687.86049826103931</v>
          </cell>
          <cell r="K1099">
            <v>669.38993089832184</v>
          </cell>
          <cell r="O1099">
            <v>652.54787026182089</v>
          </cell>
        </row>
        <row r="1100">
          <cell r="B1100">
            <v>748.76267013820325</v>
          </cell>
          <cell r="F1100">
            <v>688.04247985052746</v>
          </cell>
          <cell r="K1100">
            <v>669.40473840078971</v>
          </cell>
          <cell r="O1100">
            <v>652.65240328253219</v>
          </cell>
        </row>
        <row r="1101">
          <cell r="B1101">
            <v>748.88758048371176</v>
          </cell>
          <cell r="F1101">
            <v>688.28355680930065</v>
          </cell>
          <cell r="K1101">
            <v>669.40868706811455</v>
          </cell>
          <cell r="O1101">
            <v>652.788198515045</v>
          </cell>
        </row>
        <row r="1102">
          <cell r="B1102">
            <v>749.01356337117477</v>
          </cell>
          <cell r="F1102">
            <v>688.45820687768673</v>
          </cell>
          <cell r="K1102">
            <v>669.4165844027641</v>
          </cell>
          <cell r="O1102">
            <v>652.88882375928108</v>
          </cell>
        </row>
        <row r="1103">
          <cell r="B1103">
            <v>749.13841132773939</v>
          </cell>
          <cell r="F1103">
            <v>688.67445230070336</v>
          </cell>
          <cell r="K1103">
            <v>669.42645607107602</v>
          </cell>
          <cell r="O1103">
            <v>653.00410316529894</v>
          </cell>
        </row>
        <row r="1104">
          <cell r="B1104">
            <v>749.26443254689048</v>
          </cell>
          <cell r="F1104">
            <v>688.88900351699886</v>
          </cell>
          <cell r="K1104">
            <v>669.43139190523209</v>
          </cell>
          <cell r="O1104">
            <v>653.13012895662371</v>
          </cell>
        </row>
        <row r="1105">
          <cell r="B1105">
            <v>749.38047797630793</v>
          </cell>
          <cell r="F1105">
            <v>689.08177007620156</v>
          </cell>
          <cell r="K1105">
            <v>669.43040473840074</v>
          </cell>
          <cell r="O1105">
            <v>653.23856975381</v>
          </cell>
        </row>
        <row r="1106">
          <cell r="B1106">
            <v>749.5108911401777</v>
          </cell>
          <cell r="F1106">
            <v>689.31151015044952</v>
          </cell>
          <cell r="K1106">
            <v>669.44225074037513</v>
          </cell>
          <cell r="O1106">
            <v>653.36654943337248</v>
          </cell>
        </row>
        <row r="1107">
          <cell r="B1107">
            <v>749.63688681145118</v>
          </cell>
          <cell r="F1107">
            <v>689.49385082063293</v>
          </cell>
          <cell r="K1107">
            <v>669.45014807502469</v>
          </cell>
          <cell r="O1107">
            <v>653.4681516217272</v>
          </cell>
        </row>
        <row r="1108">
          <cell r="B1108">
            <v>749.76399082922012</v>
          </cell>
          <cell r="F1108">
            <v>689.71385351699894</v>
          </cell>
          <cell r="K1108">
            <v>669.45903257650536</v>
          </cell>
          <cell r="O1108">
            <v>653.59613130128957</v>
          </cell>
        </row>
        <row r="1109">
          <cell r="B1109">
            <v>749.87893464955596</v>
          </cell>
          <cell r="F1109">
            <v>689.91412403282538</v>
          </cell>
          <cell r="K1109">
            <v>669.45705824284312</v>
          </cell>
          <cell r="O1109">
            <v>653.70847987495119</v>
          </cell>
        </row>
        <row r="1110">
          <cell r="B1110">
            <v>750.00711934847004</v>
          </cell>
          <cell r="F1110">
            <v>690.12817913247363</v>
          </cell>
          <cell r="K1110">
            <v>669.46989141164863</v>
          </cell>
          <cell r="O1110">
            <v>653.82766705744427</v>
          </cell>
        </row>
        <row r="1111">
          <cell r="B1111">
            <v>750.13091315399788</v>
          </cell>
          <cell r="F1111">
            <v>690.32644518855011</v>
          </cell>
          <cell r="K1111">
            <v>669.47581441263571</v>
          </cell>
          <cell r="O1111">
            <v>653.93806174286829</v>
          </cell>
        </row>
        <row r="1112">
          <cell r="B1112">
            <v>750.23904953603164</v>
          </cell>
          <cell r="F1112">
            <v>690.52612213755367</v>
          </cell>
          <cell r="K1112">
            <v>669.48568608094774</v>
          </cell>
          <cell r="O1112">
            <v>654.04357170769833</v>
          </cell>
        </row>
        <row r="1113">
          <cell r="B1113">
            <v>750.26690662882527</v>
          </cell>
          <cell r="F1113">
            <v>690.73511170379049</v>
          </cell>
          <cell r="K1113">
            <v>669.48963474827247</v>
          </cell>
          <cell r="O1113">
            <v>654.15787416959745</v>
          </cell>
        </row>
        <row r="1114">
          <cell r="B1114">
            <v>750.40287690029618</v>
          </cell>
          <cell r="F1114">
            <v>690.95032234271207</v>
          </cell>
          <cell r="K1114">
            <v>669.50641658440281</v>
          </cell>
          <cell r="O1114">
            <v>654.27803829620962</v>
          </cell>
        </row>
        <row r="1115">
          <cell r="B1115">
            <v>750.53666754195444</v>
          </cell>
          <cell r="F1115">
            <v>691.14973502833141</v>
          </cell>
          <cell r="K1115">
            <v>669.51826258637698</v>
          </cell>
          <cell r="O1115">
            <v>654.38940992575226</v>
          </cell>
        </row>
        <row r="1116">
          <cell r="B1116">
            <v>750.6505128479763</v>
          </cell>
          <cell r="F1116">
            <v>691.35554391363826</v>
          </cell>
          <cell r="K1116">
            <v>669.51530108588349</v>
          </cell>
          <cell r="O1116">
            <v>654.50371238765149</v>
          </cell>
        </row>
        <row r="1117">
          <cell r="B1117">
            <v>750.78098837117477</v>
          </cell>
          <cell r="F1117">
            <v>691.55209381594375</v>
          </cell>
          <cell r="K1117">
            <v>669.52418558736429</v>
          </cell>
          <cell r="O1117">
            <v>654.60922235248142</v>
          </cell>
        </row>
        <row r="1118">
          <cell r="B1118">
            <v>750.90701228035539</v>
          </cell>
          <cell r="F1118">
            <v>691.76760487495108</v>
          </cell>
          <cell r="K1118">
            <v>669.53208292201384</v>
          </cell>
          <cell r="O1118">
            <v>654.72645564673689</v>
          </cell>
        </row>
        <row r="1119">
          <cell r="B1119">
            <v>751.03857555281343</v>
          </cell>
          <cell r="F1119">
            <v>691.97556798065659</v>
          </cell>
          <cell r="K1119">
            <v>669.54491609081936</v>
          </cell>
          <cell r="O1119">
            <v>654.84271199687385</v>
          </cell>
        </row>
        <row r="1120">
          <cell r="B1120">
            <v>751.17125080947687</v>
          </cell>
          <cell r="F1120">
            <v>692.19303094958968</v>
          </cell>
          <cell r="K1120">
            <v>669.55873642645611</v>
          </cell>
          <cell r="O1120">
            <v>654.96483001172328</v>
          </cell>
        </row>
        <row r="1121">
          <cell r="B1121">
            <v>751.29952507403743</v>
          </cell>
          <cell r="F1121">
            <v>692.39571525498241</v>
          </cell>
          <cell r="K1121">
            <v>669.56564659427443</v>
          </cell>
          <cell r="O1121">
            <v>655.07913247362251</v>
          </cell>
        </row>
        <row r="1122">
          <cell r="B1122">
            <v>751.39565004442261</v>
          </cell>
          <cell r="F1122">
            <v>692.58293736811254</v>
          </cell>
          <cell r="K1122">
            <v>669.54689042448183</v>
          </cell>
          <cell r="O1122">
            <v>655.17878077373973</v>
          </cell>
        </row>
        <row r="1123">
          <cell r="B1123">
            <v>751.5117127344522</v>
          </cell>
          <cell r="F1123">
            <v>692.7798357268465</v>
          </cell>
          <cell r="K1123">
            <v>669.54590325765059</v>
          </cell>
          <cell r="O1123">
            <v>655.28135990621342</v>
          </cell>
        </row>
        <row r="1124">
          <cell r="B1124">
            <v>751.63223099703862</v>
          </cell>
          <cell r="F1124">
            <v>692.97555081574842</v>
          </cell>
          <cell r="K1124">
            <v>669.54590325765059</v>
          </cell>
          <cell r="O1124">
            <v>655.38589292692461</v>
          </cell>
        </row>
        <row r="1125">
          <cell r="B1125">
            <v>751.75383499506438</v>
          </cell>
          <cell r="F1125">
            <v>693.17937971864012</v>
          </cell>
          <cell r="K1125">
            <v>669.54985192497543</v>
          </cell>
          <cell r="O1125">
            <v>655.50117233294259</v>
          </cell>
        </row>
        <row r="1126">
          <cell r="B1126">
            <v>751.88211377591301</v>
          </cell>
          <cell r="F1126">
            <v>693.37429514458779</v>
          </cell>
          <cell r="K1126">
            <v>669.55676209279363</v>
          </cell>
          <cell r="O1126">
            <v>655.60179757717867</v>
          </cell>
        </row>
        <row r="1127">
          <cell r="B1127">
            <v>752.00263399308983</v>
          </cell>
          <cell r="F1127">
            <v>693.5826714536928</v>
          </cell>
          <cell r="K1127">
            <v>669.55676209279363</v>
          </cell>
          <cell r="O1127">
            <v>655.71512309495893</v>
          </cell>
        </row>
        <row r="1128">
          <cell r="B1128">
            <v>752.11760971372166</v>
          </cell>
          <cell r="F1128">
            <v>693.77643083235625</v>
          </cell>
          <cell r="K1128">
            <v>669.55182625863767</v>
          </cell>
          <cell r="O1128">
            <v>655.81770222743251</v>
          </cell>
        </row>
        <row r="1129">
          <cell r="B1129">
            <v>752.25365612043424</v>
          </cell>
          <cell r="F1129">
            <v>693.98176545525598</v>
          </cell>
          <cell r="K1129">
            <v>669.56564659427443</v>
          </cell>
          <cell r="O1129">
            <v>655.92809691285663</v>
          </cell>
        </row>
        <row r="1130">
          <cell r="B1130">
            <v>752.33844077986191</v>
          </cell>
          <cell r="F1130">
            <v>694.18573821805398</v>
          </cell>
          <cell r="K1130">
            <v>669.56959526159926</v>
          </cell>
          <cell r="O1130">
            <v>656.04337631887461</v>
          </cell>
        </row>
        <row r="1131">
          <cell r="B1131">
            <v>752.37863502467917</v>
          </cell>
          <cell r="F1131">
            <v>694.39648053927317</v>
          </cell>
          <cell r="K1131">
            <v>669.56663376110566</v>
          </cell>
          <cell r="O1131">
            <v>656.15572489253611</v>
          </cell>
        </row>
        <row r="1132">
          <cell r="B1132">
            <v>752.50692307996053</v>
          </cell>
          <cell r="F1132">
            <v>694.58378898007027</v>
          </cell>
          <cell r="K1132">
            <v>669.57354392892398</v>
          </cell>
          <cell r="O1132">
            <v>656.25830402500969</v>
          </cell>
        </row>
        <row r="1133">
          <cell r="B1133">
            <v>752.62300785784794</v>
          </cell>
          <cell r="F1133">
            <v>694.77044677608444</v>
          </cell>
          <cell r="K1133">
            <v>669.56959526159926</v>
          </cell>
          <cell r="O1133">
            <v>656.35404454865181</v>
          </cell>
        </row>
        <row r="1134">
          <cell r="B1134">
            <v>752.74464017769014</v>
          </cell>
          <cell r="F1134">
            <v>694.96661725283309</v>
          </cell>
          <cell r="K1134">
            <v>669.5705824284305</v>
          </cell>
          <cell r="O1134">
            <v>656.45564673700665</v>
          </cell>
        </row>
        <row r="1135">
          <cell r="B1135">
            <v>752.85848513326766</v>
          </cell>
          <cell r="F1135">
            <v>695.16178077373968</v>
          </cell>
          <cell r="K1135">
            <v>669.5676209279369</v>
          </cell>
          <cell r="O1135">
            <v>656.55627198124262</v>
          </cell>
        </row>
        <row r="1136">
          <cell r="B1136">
            <v>752.98787098716684</v>
          </cell>
          <cell r="F1136">
            <v>695.34833587338801</v>
          </cell>
          <cell r="K1136">
            <v>669.57847976307994</v>
          </cell>
          <cell r="O1136">
            <v>656.65494333724109</v>
          </cell>
        </row>
        <row r="1137">
          <cell r="B1137">
            <v>753.1239565350445</v>
          </cell>
          <cell r="F1137">
            <v>695.55493352872213</v>
          </cell>
          <cell r="K1137">
            <v>669.58933859822321</v>
          </cell>
          <cell r="O1137">
            <v>656.76631496678397</v>
          </cell>
        </row>
        <row r="1138">
          <cell r="B1138">
            <v>753.24668713721621</v>
          </cell>
          <cell r="F1138">
            <v>695.74671436107872</v>
          </cell>
          <cell r="K1138">
            <v>669.59427443237905</v>
          </cell>
          <cell r="O1138">
            <v>656.86987104337641</v>
          </cell>
        </row>
        <row r="1139">
          <cell r="B1139">
            <v>753.37725802073044</v>
          </cell>
          <cell r="F1139">
            <v>695.93852108245403</v>
          </cell>
          <cell r="K1139">
            <v>669.59427443237905</v>
          </cell>
          <cell r="O1139">
            <v>656.97342711996873</v>
          </cell>
        </row>
        <row r="1140">
          <cell r="B1140">
            <v>753.49997587857843</v>
          </cell>
          <cell r="F1140">
            <v>696.13260406408756</v>
          </cell>
          <cell r="K1140">
            <v>669.60217176702861</v>
          </cell>
          <cell r="O1140">
            <v>657.07600625244243</v>
          </cell>
        </row>
        <row r="1141">
          <cell r="B1141">
            <v>753.59271367226063</v>
          </cell>
          <cell r="F1141">
            <v>696.32999960922234</v>
          </cell>
          <cell r="K1141">
            <v>669.58045409674241</v>
          </cell>
          <cell r="O1141">
            <v>657.178585384916</v>
          </cell>
        </row>
        <row r="1142">
          <cell r="B1142">
            <v>753.71882274432369</v>
          </cell>
          <cell r="F1142">
            <v>696.53052868307918</v>
          </cell>
          <cell r="K1142">
            <v>669.57946692991118</v>
          </cell>
          <cell r="O1142">
            <v>657.28409534974594</v>
          </cell>
        </row>
        <row r="1143">
          <cell r="B1143">
            <v>753.8627276209279</v>
          </cell>
          <cell r="F1143">
            <v>696.7236576787808</v>
          </cell>
          <cell r="K1143">
            <v>669.59131293188545</v>
          </cell>
          <cell r="O1143">
            <v>657.38569753810089</v>
          </cell>
        </row>
        <row r="1144">
          <cell r="B1144">
            <v>753.97989286771963</v>
          </cell>
          <cell r="F1144">
            <v>696.92095521688168</v>
          </cell>
          <cell r="K1144">
            <v>669.59427443237905</v>
          </cell>
          <cell r="O1144">
            <v>657.49120750293082</v>
          </cell>
        </row>
        <row r="1145">
          <cell r="B1145">
            <v>754.09598550839087</v>
          </cell>
          <cell r="F1145">
            <v>697.12571082454087</v>
          </cell>
          <cell r="K1145">
            <v>669.58736426456073</v>
          </cell>
          <cell r="O1145">
            <v>657.60062524423597</v>
          </cell>
        </row>
        <row r="1146">
          <cell r="B1146">
            <v>754.21092728529129</v>
          </cell>
          <cell r="F1146">
            <v>697.31356101992958</v>
          </cell>
          <cell r="K1146">
            <v>669.58835143139197</v>
          </cell>
          <cell r="O1146">
            <v>657.70027354435319</v>
          </cell>
        </row>
        <row r="1147">
          <cell r="B1147">
            <v>754.30476272458054</v>
          </cell>
          <cell r="F1147">
            <v>697.51197651426344</v>
          </cell>
          <cell r="K1147">
            <v>669.5646594274433</v>
          </cell>
          <cell r="O1147">
            <v>657.8067604533021</v>
          </cell>
        </row>
        <row r="1148">
          <cell r="B1148">
            <v>754.38056013820346</v>
          </cell>
          <cell r="F1148">
            <v>697.70042203985929</v>
          </cell>
          <cell r="K1148">
            <v>669.58736426456073</v>
          </cell>
          <cell r="O1148">
            <v>657.89761625635015</v>
          </cell>
        </row>
        <row r="1149">
          <cell r="B1149">
            <v>754.4186106811452</v>
          </cell>
          <cell r="F1149">
            <v>697.89474723524825</v>
          </cell>
          <cell r="K1149">
            <v>669.55873642645611</v>
          </cell>
          <cell r="O1149">
            <v>658.00019538882384</v>
          </cell>
        </row>
        <row r="1150">
          <cell r="B1150">
            <v>754.55137875123398</v>
          </cell>
          <cell r="F1150">
            <v>698.08306284193043</v>
          </cell>
          <cell r="K1150">
            <v>669.56663376110566</v>
          </cell>
          <cell r="O1150">
            <v>658.09398202422824</v>
          </cell>
        </row>
        <row r="1151">
          <cell r="B1151">
            <v>754.68191451135249</v>
          </cell>
          <cell r="F1151">
            <v>698.20983862837045</v>
          </cell>
          <cell r="K1151">
            <v>669.57551826258646</v>
          </cell>
          <cell r="O1151">
            <v>658.15455255959364</v>
          </cell>
        </row>
        <row r="1152">
          <cell r="B1152">
            <v>754.82584515794667</v>
          </cell>
          <cell r="F1152">
            <v>698.2724402110199</v>
          </cell>
          <cell r="K1152">
            <v>669.58440276406714</v>
          </cell>
          <cell r="O1152">
            <v>658.1887456037515</v>
          </cell>
        </row>
        <row r="1153">
          <cell r="B1153">
            <v>754.956396396841</v>
          </cell>
          <cell r="F1153">
            <v>698.46166144978508</v>
          </cell>
          <cell r="K1153">
            <v>669.59032576505433</v>
          </cell>
          <cell r="O1153">
            <v>658.28644001563111</v>
          </cell>
        </row>
        <row r="1154">
          <cell r="B1154">
            <v>755.04351847976307</v>
          </cell>
          <cell r="F1154">
            <v>698.65627340758101</v>
          </cell>
          <cell r="K1154">
            <v>669.56367226061207</v>
          </cell>
          <cell r="O1154">
            <v>658.38608831574834</v>
          </cell>
        </row>
        <row r="1155">
          <cell r="B1155">
            <v>755.13621322803556</v>
          </cell>
          <cell r="F1155">
            <v>698.85280397127792</v>
          </cell>
          <cell r="K1155">
            <v>669.53603158933856</v>
          </cell>
          <cell r="O1155">
            <v>658.49062133645953</v>
          </cell>
        </row>
        <row r="1156">
          <cell r="B1156">
            <v>755.2489418065154</v>
          </cell>
          <cell r="F1156">
            <v>699.03881010160228</v>
          </cell>
          <cell r="K1156">
            <v>669.52615992102665</v>
          </cell>
          <cell r="O1156">
            <v>658.58831574833926</v>
          </cell>
        </row>
        <row r="1157">
          <cell r="B1157">
            <v>755.40288168805546</v>
          </cell>
          <cell r="F1157">
            <v>699.22709701055101</v>
          </cell>
          <cell r="K1157">
            <v>669.54985192497543</v>
          </cell>
          <cell r="O1157">
            <v>658.68503321610001</v>
          </cell>
        </row>
        <row r="1158">
          <cell r="B1158">
            <v>755.51000361303056</v>
          </cell>
          <cell r="F1158">
            <v>699.40174318581467</v>
          </cell>
          <cell r="K1158">
            <v>669.55281342546891</v>
          </cell>
          <cell r="O1158">
            <v>658.77198124267284</v>
          </cell>
        </row>
        <row r="1159">
          <cell r="B1159">
            <v>755.57254242843032</v>
          </cell>
          <cell r="F1159">
            <v>699.57781304220384</v>
          </cell>
          <cell r="K1159">
            <v>669.52813425468901</v>
          </cell>
          <cell r="O1159">
            <v>658.8540445486517</v>
          </cell>
        </row>
        <row r="1160">
          <cell r="B1160">
            <v>755.70196611056269</v>
          </cell>
          <cell r="F1160">
            <v>699.75891002344679</v>
          </cell>
          <cell r="K1160">
            <v>669.53899308983216</v>
          </cell>
          <cell r="O1160">
            <v>658.94392340758111</v>
          </cell>
        </row>
        <row r="1161">
          <cell r="B1161">
            <v>755.81687884007908</v>
          </cell>
          <cell r="F1161">
            <v>699.9402127784291</v>
          </cell>
          <cell r="K1161">
            <v>669.55478775913139</v>
          </cell>
          <cell r="O1161">
            <v>659.03087143415394</v>
          </cell>
        </row>
        <row r="1162">
          <cell r="B1162">
            <v>755.90281936821316</v>
          </cell>
          <cell r="F1162">
            <v>700.13362661195788</v>
          </cell>
          <cell r="K1162">
            <v>669.54491609081936</v>
          </cell>
          <cell r="O1162">
            <v>659.13540445486524</v>
          </cell>
        </row>
        <row r="1163">
          <cell r="B1163">
            <v>755.98653522704842</v>
          </cell>
          <cell r="F1163">
            <v>700.32450101602194</v>
          </cell>
          <cell r="K1163">
            <v>669.52714708785788</v>
          </cell>
          <cell r="O1163">
            <v>659.22821414615089</v>
          </cell>
        </row>
        <row r="1164">
          <cell r="B1164">
            <v>756.09588264067111</v>
          </cell>
          <cell r="F1164">
            <v>700.51051869871037</v>
          </cell>
          <cell r="K1164">
            <v>669.53504442250733</v>
          </cell>
          <cell r="O1164">
            <v>659.32883939038686</v>
          </cell>
        </row>
        <row r="1165">
          <cell r="B1165">
            <v>756.20076685587355</v>
          </cell>
          <cell r="F1165">
            <v>700.69173582454073</v>
          </cell>
          <cell r="K1165">
            <v>669.54491609081936</v>
          </cell>
          <cell r="O1165">
            <v>659.41871824931604</v>
          </cell>
        </row>
        <row r="1166">
          <cell r="B1166">
            <v>756.28447717670292</v>
          </cell>
          <cell r="F1166">
            <v>700.87541849355216</v>
          </cell>
          <cell r="K1166">
            <v>669.52418558736429</v>
          </cell>
          <cell r="O1166">
            <v>659.50468933177024</v>
          </cell>
        </row>
        <row r="1167">
          <cell r="B1167">
            <v>756.35924793188565</v>
          </cell>
          <cell r="F1167">
            <v>701.048375908558</v>
          </cell>
          <cell r="K1167">
            <v>669.51332675222125</v>
          </cell>
          <cell r="O1167">
            <v>659.5867526377491</v>
          </cell>
        </row>
        <row r="1168">
          <cell r="B1168">
            <v>756.3737552813426</v>
          </cell>
          <cell r="F1168">
            <v>701.22239314185231</v>
          </cell>
          <cell r="K1168">
            <v>669.51135241855877</v>
          </cell>
          <cell r="O1168">
            <v>659.66979288784682</v>
          </cell>
        </row>
        <row r="1169">
          <cell r="B1169">
            <v>756.46637559229998</v>
          </cell>
          <cell r="F1169">
            <v>701.4038851846426</v>
          </cell>
          <cell r="K1169">
            <v>669.50148075024674</v>
          </cell>
          <cell r="O1169">
            <v>659.75674091441977</v>
          </cell>
        </row>
        <row r="1170">
          <cell r="B1170">
            <v>756.56010919545906</v>
          </cell>
          <cell r="F1170">
            <v>701.58625644783115</v>
          </cell>
          <cell r="K1170">
            <v>669.48963474827247</v>
          </cell>
          <cell r="O1170">
            <v>659.8475967174677</v>
          </cell>
        </row>
        <row r="1171">
          <cell r="B1171">
            <v>756.66499611549864</v>
          </cell>
          <cell r="F1171">
            <v>701.83574938452534</v>
          </cell>
          <cell r="K1171">
            <v>669.48766041461022</v>
          </cell>
          <cell r="O1171">
            <v>659.97362250879257</v>
          </cell>
        </row>
        <row r="1172">
          <cell r="B1172">
            <v>756.76765083909186</v>
          </cell>
          <cell r="F1172">
            <v>702.02355496287623</v>
          </cell>
          <cell r="K1172">
            <v>669.48667324777887</v>
          </cell>
          <cell r="O1172">
            <v>660.06643220007822</v>
          </cell>
        </row>
        <row r="1173">
          <cell r="B1173">
            <v>756.86360915597231</v>
          </cell>
          <cell r="F1173">
            <v>702.20722889800697</v>
          </cell>
          <cell r="K1173">
            <v>669.47976307996043</v>
          </cell>
          <cell r="O1173">
            <v>660.15533411488855</v>
          </cell>
        </row>
        <row r="1174">
          <cell r="B1174">
            <v>756.95398448173728</v>
          </cell>
          <cell r="F1174">
            <v>702.38640298944904</v>
          </cell>
          <cell r="K1174">
            <v>669.46791707798616</v>
          </cell>
          <cell r="O1174">
            <v>660.2461899179367</v>
          </cell>
        </row>
        <row r="1175">
          <cell r="B1175">
            <v>757.06779568608101</v>
          </cell>
          <cell r="F1175">
            <v>702.62686569460732</v>
          </cell>
          <cell r="K1175">
            <v>669.47087857847987</v>
          </cell>
          <cell r="O1175">
            <v>660.36049237983582</v>
          </cell>
        </row>
        <row r="1176">
          <cell r="B1176">
            <v>757.16151743336627</v>
          </cell>
          <cell r="F1176">
            <v>702.87152814576007</v>
          </cell>
          <cell r="K1176">
            <v>669.46495557749267</v>
          </cell>
          <cell r="O1176">
            <v>660.47870261821026</v>
          </cell>
        </row>
        <row r="1177">
          <cell r="B1177">
            <v>757.25299620927933</v>
          </cell>
          <cell r="F1177">
            <v>703.11812926924586</v>
          </cell>
          <cell r="K1177">
            <v>669.44817374136233</v>
          </cell>
          <cell r="O1177">
            <v>660.60179757717867</v>
          </cell>
        </row>
        <row r="1178">
          <cell r="B1178">
            <v>757.34224231984217</v>
          </cell>
          <cell r="F1178">
            <v>703.36061351113722</v>
          </cell>
          <cell r="K1178">
            <v>669.43534057255681</v>
          </cell>
          <cell r="O1178">
            <v>660.72098475967175</v>
          </cell>
        </row>
        <row r="1179">
          <cell r="B1179">
            <v>757.43259765547862</v>
          </cell>
          <cell r="F1179">
            <v>703.52934935521682</v>
          </cell>
          <cell r="K1179">
            <v>669.42053307008871</v>
          </cell>
          <cell r="O1179">
            <v>660.80500195388822</v>
          </cell>
        </row>
        <row r="1180">
          <cell r="B1180">
            <v>757.53859205330684</v>
          </cell>
          <cell r="F1180">
            <v>703.71217966002337</v>
          </cell>
          <cell r="K1180">
            <v>669.42250740375118</v>
          </cell>
          <cell r="O1180">
            <v>660.89292692457991</v>
          </cell>
        </row>
        <row r="1181">
          <cell r="B1181">
            <v>757.64123528134257</v>
          </cell>
          <cell r="F1181">
            <v>703.89191258792505</v>
          </cell>
          <cell r="K1181">
            <v>669.42152023692006</v>
          </cell>
          <cell r="O1181">
            <v>660.97792106291536</v>
          </cell>
        </row>
        <row r="1182">
          <cell r="B1182">
            <v>757.73046923988159</v>
          </cell>
          <cell r="F1182">
            <v>704.12081912368092</v>
          </cell>
          <cell r="K1182">
            <v>669.40868706811455</v>
          </cell>
          <cell r="O1182">
            <v>661.08733880422028</v>
          </cell>
        </row>
        <row r="1183">
          <cell r="B1183">
            <v>757.8252756021717</v>
          </cell>
          <cell r="F1183">
            <v>704.29436019929665</v>
          </cell>
          <cell r="K1183">
            <v>669.39486673247779</v>
          </cell>
          <cell r="O1183">
            <v>661.16647127784302</v>
          </cell>
        </row>
        <row r="1184">
          <cell r="B1184">
            <v>757.92790784304043</v>
          </cell>
          <cell r="F1184">
            <v>704.35306884525198</v>
          </cell>
          <cell r="K1184">
            <v>669.39091806515296</v>
          </cell>
          <cell r="O1184">
            <v>661.19675654552555</v>
          </cell>
        </row>
        <row r="1185">
          <cell r="B1185">
            <v>758.03613498519246</v>
          </cell>
          <cell r="F1185">
            <v>704.52957717858533</v>
          </cell>
          <cell r="K1185">
            <v>669.39486673247779</v>
          </cell>
          <cell r="O1185">
            <v>661.28175068386088</v>
          </cell>
        </row>
        <row r="1186">
          <cell r="B1186">
            <v>758.14099488647582</v>
          </cell>
          <cell r="F1186">
            <v>704.70298472059403</v>
          </cell>
          <cell r="K1186">
            <v>669.38993089832184</v>
          </cell>
          <cell r="O1186">
            <v>661.36381398983974</v>
          </cell>
        </row>
        <row r="1187">
          <cell r="B1187">
            <v>758.22574859822316</v>
          </cell>
          <cell r="F1187">
            <v>704.9396789273153</v>
          </cell>
          <cell r="K1187">
            <v>669.37611056268508</v>
          </cell>
          <cell r="O1187">
            <v>661.47420867526375</v>
          </cell>
        </row>
        <row r="1188">
          <cell r="B1188">
            <v>758.29822924481743</v>
          </cell>
          <cell r="F1188">
            <v>705.17745419109019</v>
          </cell>
          <cell r="K1188">
            <v>669.36327739387957</v>
          </cell>
          <cell r="O1188">
            <v>661.58558030480651</v>
          </cell>
        </row>
        <row r="1189">
          <cell r="B1189">
            <v>758.31607343040469</v>
          </cell>
          <cell r="F1189">
            <v>705.41404403575621</v>
          </cell>
          <cell r="K1189">
            <v>669.3613030602171</v>
          </cell>
          <cell r="O1189">
            <v>661.69890582258699</v>
          </cell>
        </row>
        <row r="1190">
          <cell r="B1190">
            <v>758.41310461006913</v>
          </cell>
          <cell r="F1190">
            <v>705.65484017194217</v>
          </cell>
          <cell r="K1190">
            <v>669.35241855873653</v>
          </cell>
          <cell r="O1190">
            <v>661.81613911684246</v>
          </cell>
        </row>
        <row r="1191">
          <cell r="B1191">
            <v>758.50230224086874</v>
          </cell>
          <cell r="F1191">
            <v>705.8989870066431</v>
          </cell>
          <cell r="K1191">
            <v>669.33662388943731</v>
          </cell>
          <cell r="O1191">
            <v>661.93337241109805</v>
          </cell>
        </row>
        <row r="1192">
          <cell r="B1192">
            <v>758.59709881539982</v>
          </cell>
          <cell r="F1192">
            <v>706.13986579230163</v>
          </cell>
          <cell r="K1192">
            <v>669.32872655478775</v>
          </cell>
          <cell r="O1192">
            <v>662.05060570535363</v>
          </cell>
        </row>
        <row r="1193">
          <cell r="B1193">
            <v>758.69859649555769</v>
          </cell>
          <cell r="F1193">
            <v>706.37330609124649</v>
          </cell>
          <cell r="K1193">
            <v>669.32379072063179</v>
          </cell>
          <cell r="O1193">
            <v>662.163931223134</v>
          </cell>
        </row>
        <row r="1194">
          <cell r="B1194">
            <v>758.79561603158936</v>
          </cell>
          <cell r="F1194">
            <v>706.61113864790934</v>
          </cell>
          <cell r="K1194">
            <v>669.314906219151</v>
          </cell>
          <cell r="O1194">
            <v>662.27823368503323</v>
          </cell>
        </row>
        <row r="1195">
          <cell r="B1195">
            <v>758.89264407699909</v>
          </cell>
          <cell r="F1195">
            <v>706.78584457796001</v>
          </cell>
          <cell r="K1195">
            <v>669.30898321816392</v>
          </cell>
          <cell r="O1195">
            <v>662.36127393513084</v>
          </cell>
        </row>
        <row r="1196">
          <cell r="B1196">
            <v>758.98741954096738</v>
          </cell>
          <cell r="F1196">
            <v>707.02601626611965</v>
          </cell>
          <cell r="K1196">
            <v>669.29812438302076</v>
          </cell>
          <cell r="O1196">
            <v>662.47459945291132</v>
          </cell>
        </row>
        <row r="1197">
          <cell r="B1197">
            <v>759.07772548864762</v>
          </cell>
          <cell r="F1197">
            <v>707.25248766608058</v>
          </cell>
          <cell r="K1197">
            <v>669.28627838104637</v>
          </cell>
          <cell r="O1197">
            <v>662.57815552950376</v>
          </cell>
        </row>
        <row r="1198">
          <cell r="B1198">
            <v>759.16241603158937</v>
          </cell>
          <cell r="F1198">
            <v>707.47795232512703</v>
          </cell>
          <cell r="K1198">
            <v>669.26653504442254</v>
          </cell>
          <cell r="O1198">
            <v>662.68073466197734</v>
          </cell>
        </row>
        <row r="1199">
          <cell r="B1199">
            <v>759.24375402270505</v>
          </cell>
          <cell r="F1199">
            <v>707.70866866940207</v>
          </cell>
          <cell r="K1199">
            <v>669.24679170779871</v>
          </cell>
          <cell r="O1199">
            <v>662.788198515045</v>
          </cell>
        </row>
        <row r="1200">
          <cell r="B1200">
            <v>759.33961871668328</v>
          </cell>
          <cell r="F1200">
            <v>707.93316266119575</v>
          </cell>
          <cell r="K1200">
            <v>669.23395853899319</v>
          </cell>
          <cell r="O1200">
            <v>662.88980070339971</v>
          </cell>
        </row>
        <row r="1201">
          <cell r="B1201">
            <v>759.43997472852914</v>
          </cell>
          <cell r="F1201">
            <v>708.16223511137173</v>
          </cell>
          <cell r="K1201">
            <v>669.22803553800588</v>
          </cell>
          <cell r="O1201">
            <v>662.98944900351705</v>
          </cell>
        </row>
        <row r="1202">
          <cell r="B1202">
            <v>759.53808805528126</v>
          </cell>
          <cell r="F1202">
            <v>708.39429109026946</v>
          </cell>
          <cell r="K1202">
            <v>669.22013820335633</v>
          </cell>
          <cell r="O1202">
            <v>663.09495896834687</v>
          </cell>
        </row>
        <row r="1203">
          <cell r="B1203">
            <v>759.62835498519246</v>
          </cell>
          <cell r="F1203">
            <v>708.61784977530272</v>
          </cell>
          <cell r="K1203">
            <v>669.20533070088834</v>
          </cell>
          <cell r="O1203">
            <v>663.19558421258296</v>
          </cell>
        </row>
        <row r="1204">
          <cell r="B1204">
            <v>759.720858598223</v>
          </cell>
          <cell r="F1204">
            <v>708.83831160121144</v>
          </cell>
          <cell r="K1204">
            <v>669.19249753208283</v>
          </cell>
          <cell r="O1204">
            <v>663.29327862446269</v>
          </cell>
        </row>
        <row r="1205">
          <cell r="B1205">
            <v>759.80661614017788</v>
          </cell>
          <cell r="F1205">
            <v>709.05776342321224</v>
          </cell>
          <cell r="K1205">
            <v>669.17077986179675</v>
          </cell>
          <cell r="O1205">
            <v>663.38999609222356</v>
          </cell>
        </row>
        <row r="1206">
          <cell r="B1206">
            <v>759.89462592793689</v>
          </cell>
          <cell r="F1206">
            <v>709.28701709652194</v>
          </cell>
          <cell r="K1206">
            <v>669.1539980256664</v>
          </cell>
          <cell r="O1206">
            <v>663.48964439234067</v>
          </cell>
        </row>
        <row r="1207">
          <cell r="B1207">
            <v>759.98935748272447</v>
          </cell>
          <cell r="F1207">
            <v>709.51593903868684</v>
          </cell>
          <cell r="K1207">
            <v>669.14313919052313</v>
          </cell>
          <cell r="O1207">
            <v>663.59515435717071</v>
          </cell>
        </row>
        <row r="1208">
          <cell r="B1208">
            <v>760.09189824284294</v>
          </cell>
          <cell r="F1208">
            <v>709.73967431125436</v>
          </cell>
          <cell r="K1208">
            <v>669.13326752221121</v>
          </cell>
          <cell r="O1208">
            <v>663.6957796014068</v>
          </cell>
        </row>
        <row r="1209">
          <cell r="B1209">
            <v>760.18776332675225</v>
          </cell>
          <cell r="F1209">
            <v>709.96344480265736</v>
          </cell>
          <cell r="K1209">
            <v>669.12635735439289</v>
          </cell>
          <cell r="O1209">
            <v>663.79640484564288</v>
          </cell>
        </row>
        <row r="1210">
          <cell r="B1210">
            <v>760.29256080947687</v>
          </cell>
          <cell r="F1210">
            <v>710.13352404747945</v>
          </cell>
          <cell r="K1210">
            <v>669.12142152023694</v>
          </cell>
          <cell r="O1210">
            <v>663.87162954279017</v>
          </cell>
        </row>
        <row r="1211">
          <cell r="B1211">
            <v>760.39288924975313</v>
          </cell>
          <cell r="F1211">
            <v>710.18934063599067</v>
          </cell>
          <cell r="K1211">
            <v>669.11549851924974</v>
          </cell>
          <cell r="O1211">
            <v>663.89898397811646</v>
          </cell>
        </row>
        <row r="1212">
          <cell r="B1212">
            <v>760.47748744323792</v>
          </cell>
          <cell r="F1212">
            <v>710.41109144196957</v>
          </cell>
          <cell r="K1212">
            <v>669.09279368213231</v>
          </cell>
          <cell r="O1212">
            <v>663.99765533411494</v>
          </cell>
        </row>
        <row r="1213">
          <cell r="B1213">
            <v>760.56656677196429</v>
          </cell>
          <cell r="F1213">
            <v>710.64037889800704</v>
          </cell>
          <cell r="K1213">
            <v>669.07403751233949</v>
          </cell>
          <cell r="O1213">
            <v>664.10023446658852</v>
          </cell>
        </row>
        <row r="1214">
          <cell r="B1214">
            <v>760.65568321816374</v>
          </cell>
          <cell r="F1214">
            <v>710.87406988569762</v>
          </cell>
          <cell r="K1214">
            <v>669.06120434353397</v>
          </cell>
          <cell r="O1214">
            <v>664.20379054318096</v>
          </cell>
        </row>
        <row r="1215">
          <cell r="B1215">
            <v>760.74477352418558</v>
          </cell>
          <cell r="F1215">
            <v>711.10533915592043</v>
          </cell>
          <cell r="K1215">
            <v>669.04540967423497</v>
          </cell>
          <cell r="O1215">
            <v>664.31125439624861</v>
          </cell>
        </row>
        <row r="1216">
          <cell r="B1216">
            <v>760.8338587759132</v>
          </cell>
          <cell r="F1216">
            <v>711.32286468347024</v>
          </cell>
          <cell r="K1216">
            <v>669.02961500493586</v>
          </cell>
          <cell r="O1216">
            <v>664.40894880812823</v>
          </cell>
        </row>
        <row r="1217">
          <cell r="B1217">
            <v>760.921816189536</v>
          </cell>
          <cell r="F1217">
            <v>711.55248324052354</v>
          </cell>
          <cell r="K1217">
            <v>669.01283316880551</v>
          </cell>
          <cell r="O1217">
            <v>664.50859710824534</v>
          </cell>
        </row>
        <row r="1218">
          <cell r="B1218">
            <v>761.01199026653489</v>
          </cell>
          <cell r="F1218">
            <v>711.77130747362253</v>
          </cell>
          <cell r="K1218">
            <v>668.99506416584393</v>
          </cell>
          <cell r="O1218">
            <v>664.60433763188746</v>
          </cell>
        </row>
        <row r="1219">
          <cell r="B1219">
            <v>761.09769048864769</v>
          </cell>
          <cell r="F1219">
            <v>711.99139580890972</v>
          </cell>
          <cell r="K1219">
            <v>668.97630799605145</v>
          </cell>
          <cell r="O1219">
            <v>664.69812426729186</v>
          </cell>
        </row>
        <row r="1220">
          <cell r="B1220">
            <v>761.18787775913131</v>
          </cell>
          <cell r="F1220">
            <v>712.20733138921469</v>
          </cell>
          <cell r="K1220">
            <v>668.96150049358334</v>
          </cell>
          <cell r="O1220">
            <v>664.78800312622127</v>
          </cell>
        </row>
        <row r="1221">
          <cell r="B1221">
            <v>761.2769113228037</v>
          </cell>
          <cell r="F1221">
            <v>712.41874413833523</v>
          </cell>
          <cell r="K1221">
            <v>668.94274432379075</v>
          </cell>
          <cell r="O1221">
            <v>664.87983587338806</v>
          </cell>
        </row>
        <row r="1222">
          <cell r="B1222">
            <v>761.36032075518267</v>
          </cell>
          <cell r="F1222">
            <v>712.62723116940208</v>
          </cell>
          <cell r="K1222">
            <v>668.91905231984208</v>
          </cell>
          <cell r="O1222">
            <v>664.96580695584214</v>
          </cell>
        </row>
        <row r="1223">
          <cell r="B1223">
            <v>761.4437223692006</v>
          </cell>
          <cell r="F1223">
            <v>712.83784256545528</v>
          </cell>
          <cell r="K1223">
            <v>668.89536031589353</v>
          </cell>
          <cell r="O1223">
            <v>665.05373192653383</v>
          </cell>
        </row>
        <row r="1224">
          <cell r="B1224">
            <v>761.52489571569606</v>
          </cell>
          <cell r="F1224">
            <v>713.06037274325911</v>
          </cell>
          <cell r="K1224">
            <v>668.87265547877598</v>
          </cell>
          <cell r="O1224">
            <v>665.14654161781948</v>
          </cell>
        </row>
        <row r="1225">
          <cell r="B1225">
            <v>761.61615047877592</v>
          </cell>
          <cell r="F1225">
            <v>713.27542108733883</v>
          </cell>
          <cell r="K1225">
            <v>668.85587364264563</v>
          </cell>
          <cell r="O1225">
            <v>665.23544353263003</v>
          </cell>
        </row>
        <row r="1226">
          <cell r="B1226">
            <v>761.70515123395865</v>
          </cell>
          <cell r="F1226">
            <v>713.48575984759657</v>
          </cell>
          <cell r="K1226">
            <v>668.83711747285304</v>
          </cell>
          <cell r="O1226">
            <v>665.32923016803431</v>
          </cell>
        </row>
        <row r="1227">
          <cell r="B1227">
            <v>761.79861429417576</v>
          </cell>
          <cell r="F1227">
            <v>713.69982391559188</v>
          </cell>
          <cell r="K1227">
            <v>668.81934846989145</v>
          </cell>
          <cell r="O1227">
            <v>665.417155138726</v>
          </cell>
        </row>
        <row r="1228">
          <cell r="B1228">
            <v>761.88425873642655</v>
          </cell>
          <cell r="F1228">
            <v>713.91915967174668</v>
          </cell>
          <cell r="K1228">
            <v>668.80059230009874</v>
          </cell>
          <cell r="O1228">
            <v>665.50996483001165</v>
          </cell>
        </row>
        <row r="1229">
          <cell r="B1229">
            <v>761.96536802073058</v>
          </cell>
          <cell r="F1229">
            <v>714.14586611957793</v>
          </cell>
          <cell r="K1229">
            <v>668.77492596248771</v>
          </cell>
          <cell r="O1229">
            <v>665.60961313012888</v>
          </cell>
        </row>
        <row r="1230">
          <cell r="B1230">
            <v>762.05212414116477</v>
          </cell>
          <cell r="F1230">
            <v>714.36841500586149</v>
          </cell>
          <cell r="K1230">
            <v>668.75715695952613</v>
          </cell>
          <cell r="O1230">
            <v>665.70535365377089</v>
          </cell>
        </row>
        <row r="1231">
          <cell r="B1231">
            <v>762.14224969397821</v>
          </cell>
          <cell r="F1231">
            <v>714.58976641266122</v>
          </cell>
          <cell r="K1231">
            <v>668.74234945705825</v>
          </cell>
          <cell r="O1231">
            <v>665.80304806565073</v>
          </cell>
        </row>
        <row r="1232">
          <cell r="B1232">
            <v>762.22558732477796</v>
          </cell>
          <cell r="F1232">
            <v>714.79856760453299</v>
          </cell>
          <cell r="K1232">
            <v>668.7186574531097</v>
          </cell>
          <cell r="O1232">
            <v>665.88901914810469</v>
          </cell>
        </row>
        <row r="1233">
          <cell r="B1233">
            <v>762.30219758144131</v>
          </cell>
          <cell r="F1233">
            <v>715.0138753907778</v>
          </cell>
          <cell r="K1233">
            <v>668.69200394866732</v>
          </cell>
          <cell r="O1233">
            <v>665.97792106291524</v>
          </cell>
        </row>
        <row r="1234">
          <cell r="B1234">
            <v>762.39452339091827</v>
          </cell>
          <cell r="F1234">
            <v>715.2252021150839</v>
          </cell>
          <cell r="K1234">
            <v>668.67620927936832</v>
          </cell>
          <cell r="O1234">
            <v>666.05998436889399</v>
          </cell>
        </row>
        <row r="1235">
          <cell r="B1235">
            <v>762.48459261599214</v>
          </cell>
          <cell r="F1235">
            <v>715.45019929660032</v>
          </cell>
          <cell r="K1235">
            <v>668.65844027640674</v>
          </cell>
          <cell r="O1235">
            <v>666.15474794841737</v>
          </cell>
        </row>
        <row r="1236">
          <cell r="B1236">
            <v>762.57127843040473</v>
          </cell>
          <cell r="F1236">
            <v>715.60500813794454</v>
          </cell>
          <cell r="K1236">
            <v>668.63770977295167</v>
          </cell>
          <cell r="O1236">
            <v>666.21824931613912</v>
          </cell>
        </row>
        <row r="1237">
          <cell r="B1237">
            <v>762.66580455577491</v>
          </cell>
          <cell r="F1237">
            <v>715.6633220007817</v>
          </cell>
          <cell r="K1237">
            <v>668.62092793682132</v>
          </cell>
          <cell r="O1237">
            <v>666.24462680734666</v>
          </cell>
        </row>
        <row r="1238">
          <cell r="B1238">
            <v>762.75694642152018</v>
          </cell>
          <cell r="F1238">
            <v>715.86999576494725</v>
          </cell>
          <cell r="K1238">
            <v>668.60118460019737</v>
          </cell>
          <cell r="O1238">
            <v>666.33157483391949</v>
          </cell>
        </row>
        <row r="1239">
          <cell r="B1239">
            <v>762.83798058242837</v>
          </cell>
          <cell r="F1239">
            <v>716.07409830011716</v>
          </cell>
          <cell r="K1239">
            <v>668.57551826258634</v>
          </cell>
          <cell r="O1239">
            <v>666.40679953106678</v>
          </cell>
        </row>
        <row r="1240">
          <cell r="B1240">
            <v>762.91450023198411</v>
          </cell>
          <cell r="F1240">
            <v>716.27069653184844</v>
          </cell>
          <cell r="K1240">
            <v>668.54590325765048</v>
          </cell>
          <cell r="O1240">
            <v>666.47811645173897</v>
          </cell>
        </row>
        <row r="1241">
          <cell r="B1241">
            <v>762.99664347482712</v>
          </cell>
          <cell r="F1241">
            <v>716.47868912661193</v>
          </cell>
          <cell r="K1241">
            <v>668.52122408687069</v>
          </cell>
          <cell r="O1241">
            <v>666.56311059007419</v>
          </cell>
        </row>
        <row r="1242">
          <cell r="B1242">
            <v>763.0787785735439</v>
          </cell>
          <cell r="F1242">
            <v>716.6984469372801</v>
          </cell>
          <cell r="K1242">
            <v>668.49654491609078</v>
          </cell>
          <cell r="O1242">
            <v>666.65592028135984</v>
          </cell>
        </row>
        <row r="1243">
          <cell r="B1243">
            <v>763.15748586377106</v>
          </cell>
          <cell r="F1243">
            <v>716.90334947245003</v>
          </cell>
          <cell r="K1243">
            <v>668.4659427443238</v>
          </cell>
          <cell r="O1243">
            <v>666.7379835873387</v>
          </cell>
        </row>
        <row r="1244">
          <cell r="B1244">
            <v>763.24073074037517</v>
          </cell>
          <cell r="F1244">
            <v>717.11056420476757</v>
          </cell>
          <cell r="K1244">
            <v>668.44225074037513</v>
          </cell>
          <cell r="O1244">
            <v>666.81906994919893</v>
          </cell>
        </row>
        <row r="1245">
          <cell r="B1245">
            <v>763.33520123395851</v>
          </cell>
          <cell r="F1245">
            <v>717.31780812817522</v>
          </cell>
          <cell r="K1245">
            <v>668.42546890424478</v>
          </cell>
          <cell r="O1245">
            <v>666.90015631105905</v>
          </cell>
        </row>
        <row r="1246">
          <cell r="B1246">
            <v>763.40828401776923</v>
          </cell>
          <cell r="F1246">
            <v>717.53138710433768</v>
          </cell>
          <cell r="K1246">
            <v>668.39289239881555</v>
          </cell>
          <cell r="O1246">
            <v>666.98710433763199</v>
          </cell>
        </row>
        <row r="1247">
          <cell r="B1247">
            <v>763.47684540967418</v>
          </cell>
          <cell r="F1247">
            <v>717.74499738178986</v>
          </cell>
          <cell r="K1247">
            <v>668.35636722606114</v>
          </cell>
          <cell r="O1247">
            <v>667.07405236420482</v>
          </cell>
        </row>
        <row r="1248">
          <cell r="B1248">
            <v>763.55437548864768</v>
          </cell>
          <cell r="F1248">
            <v>717.95109786049238</v>
          </cell>
          <cell r="K1248">
            <v>668.32477788746303</v>
          </cell>
          <cell r="O1248">
            <v>667.15709261430243</v>
          </cell>
        </row>
        <row r="1249">
          <cell r="B1249">
            <v>763.64768677196446</v>
          </cell>
          <cell r="F1249">
            <v>718.16056360394668</v>
          </cell>
          <cell r="K1249">
            <v>668.30700888450144</v>
          </cell>
          <cell r="O1249">
            <v>667.24013286440004</v>
          </cell>
        </row>
        <row r="1250">
          <cell r="B1250">
            <v>763.65983980256658</v>
          </cell>
          <cell r="F1250">
            <v>718.36777429660015</v>
          </cell>
          <cell r="K1250">
            <v>668.30009871668312</v>
          </cell>
          <cell r="O1250">
            <v>667.32415005861662</v>
          </cell>
        </row>
        <row r="1251">
          <cell r="B1251">
            <v>763.73322397334653</v>
          </cell>
          <cell r="F1251">
            <v>718.57204035756149</v>
          </cell>
          <cell r="K1251">
            <v>668.29121421520244</v>
          </cell>
          <cell r="O1251">
            <v>667.40230558812027</v>
          </cell>
        </row>
        <row r="1252">
          <cell r="B1252">
            <v>763.81524060710751</v>
          </cell>
          <cell r="F1252">
            <v>718.78264668815939</v>
          </cell>
          <cell r="K1252">
            <v>668.26357354392894</v>
          </cell>
          <cell r="O1252">
            <v>667.48632278233674</v>
          </cell>
        </row>
        <row r="1253">
          <cell r="B1253">
            <v>763.90176178183606</v>
          </cell>
          <cell r="F1253">
            <v>718.98678883352864</v>
          </cell>
          <cell r="K1253">
            <v>668.23988153998027</v>
          </cell>
          <cell r="O1253">
            <v>667.56740914419697</v>
          </cell>
        </row>
        <row r="1254">
          <cell r="B1254">
            <v>763.97482088351433</v>
          </cell>
          <cell r="F1254">
            <v>719.19008812524419</v>
          </cell>
          <cell r="K1254">
            <v>668.21026653504441</v>
          </cell>
          <cell r="O1254">
            <v>667.64458772958187</v>
          </cell>
        </row>
        <row r="1255">
          <cell r="B1255">
            <v>764.05008260612033</v>
          </cell>
          <cell r="F1255">
            <v>719.38604738667459</v>
          </cell>
          <cell r="K1255">
            <v>668.17966436327731</v>
          </cell>
          <cell r="O1255">
            <v>667.71492770613531</v>
          </cell>
        </row>
        <row r="1256">
          <cell r="B1256">
            <v>764.14100138203355</v>
          </cell>
          <cell r="F1256">
            <v>719.60134258987875</v>
          </cell>
          <cell r="K1256">
            <v>668.15399802566628</v>
          </cell>
          <cell r="O1256">
            <v>667.79699101211406</v>
          </cell>
        </row>
        <row r="1257">
          <cell r="B1257">
            <v>764.22297133267534</v>
          </cell>
          <cell r="F1257">
            <v>719.80911793669395</v>
          </cell>
          <cell r="K1257">
            <v>668.12635735439301</v>
          </cell>
          <cell r="O1257">
            <v>667.87514654161771</v>
          </cell>
        </row>
        <row r="1258">
          <cell r="B1258">
            <v>764.31062590325746</v>
          </cell>
          <cell r="F1258">
            <v>720.00410465025402</v>
          </cell>
          <cell r="K1258">
            <v>668.10661401776895</v>
          </cell>
          <cell r="O1258">
            <v>667.9445095740524</v>
          </cell>
        </row>
        <row r="1259">
          <cell r="B1259">
            <v>764.39483750246791</v>
          </cell>
          <cell r="F1259">
            <v>720.19174349355228</v>
          </cell>
          <cell r="K1259">
            <v>668.08094768015792</v>
          </cell>
          <cell r="O1259">
            <v>668.00703399765541</v>
          </cell>
        </row>
        <row r="1260">
          <cell r="B1260">
            <v>764.45988507403763</v>
          </cell>
          <cell r="F1260">
            <v>720.37904472450191</v>
          </cell>
          <cell r="K1260">
            <v>668.04146100691025</v>
          </cell>
          <cell r="O1260">
            <v>668.07542008597125</v>
          </cell>
        </row>
        <row r="1261">
          <cell r="B1261">
            <v>764.52943884501485</v>
          </cell>
          <cell r="F1261">
            <v>720.59324912075033</v>
          </cell>
          <cell r="K1261">
            <v>668.0059230009872</v>
          </cell>
          <cell r="O1261">
            <v>668.1594372801876</v>
          </cell>
        </row>
        <row r="1262">
          <cell r="B1262">
            <v>764.61922035538009</v>
          </cell>
          <cell r="F1262">
            <v>720.79044417252828</v>
          </cell>
          <cell r="K1262">
            <v>667.98223099703853</v>
          </cell>
          <cell r="O1262">
            <v>668.23075420085968</v>
          </cell>
        </row>
        <row r="1263">
          <cell r="B1263">
            <v>764.69887289239898</v>
          </cell>
          <cell r="F1263">
            <v>720.98450301387265</v>
          </cell>
          <cell r="K1263">
            <v>667.95261599210278</v>
          </cell>
          <cell r="O1263">
            <v>668.29914028917551</v>
          </cell>
        </row>
        <row r="1264">
          <cell r="B1264">
            <v>764.77065450148086</v>
          </cell>
          <cell r="F1264">
            <v>721.17102810668246</v>
          </cell>
          <cell r="K1264">
            <v>667.91905231984208</v>
          </cell>
          <cell r="O1264">
            <v>668.36361860101613</v>
          </cell>
        </row>
        <row r="1265">
          <cell r="B1265">
            <v>764.8491038894374</v>
          </cell>
          <cell r="F1265">
            <v>721.37356960726845</v>
          </cell>
          <cell r="K1265">
            <v>667.8854886475815</v>
          </cell>
          <cell r="O1265">
            <v>668.43982024228205</v>
          </cell>
        </row>
        <row r="1266">
          <cell r="B1266">
            <v>764.92414956071059</v>
          </cell>
          <cell r="F1266">
            <v>721.58827527842914</v>
          </cell>
          <cell r="K1266">
            <v>667.8489634748272</v>
          </cell>
          <cell r="O1266">
            <v>668.51797577178593</v>
          </cell>
        </row>
        <row r="1267">
          <cell r="B1267">
            <v>765.00036668311952</v>
          </cell>
          <cell r="F1267">
            <v>721.78963950762022</v>
          </cell>
          <cell r="K1267">
            <v>667.81638696939785</v>
          </cell>
          <cell r="O1267">
            <v>668.59613130128957</v>
          </cell>
        </row>
        <row r="1268">
          <cell r="B1268">
            <v>765.0709177690029</v>
          </cell>
          <cell r="F1268">
            <v>721.9941956135209</v>
          </cell>
          <cell r="K1268">
            <v>667.77887462981244</v>
          </cell>
          <cell r="O1268">
            <v>668.67721766314969</v>
          </cell>
        </row>
        <row r="1269">
          <cell r="B1269">
            <v>765.15282240868692</v>
          </cell>
          <cell r="F1269">
            <v>722.17961120554924</v>
          </cell>
          <cell r="K1269">
            <v>667.75419545903253</v>
          </cell>
          <cell r="O1269">
            <v>668.74364986322792</v>
          </cell>
        </row>
        <row r="1270">
          <cell r="B1270">
            <v>765.23800221618944</v>
          </cell>
          <cell r="F1270">
            <v>722.37613672332952</v>
          </cell>
          <cell r="K1270">
            <v>667.72655478775914</v>
          </cell>
          <cell r="O1270">
            <v>668.81105900742489</v>
          </cell>
        </row>
        <row r="1271">
          <cell r="B1271">
            <v>765.24785179664366</v>
          </cell>
          <cell r="F1271">
            <v>722.57356424384534</v>
          </cell>
          <cell r="K1271">
            <v>667.71767028627835</v>
          </cell>
          <cell r="O1271">
            <v>668.88237592809696</v>
          </cell>
        </row>
        <row r="1272">
          <cell r="B1272">
            <v>765.30291747285287</v>
          </cell>
          <cell r="F1272">
            <v>722.77295034193037</v>
          </cell>
          <cell r="K1272">
            <v>667.68706811451136</v>
          </cell>
          <cell r="O1272">
            <v>668.95857756936289</v>
          </cell>
        </row>
        <row r="1273">
          <cell r="B1273">
            <v>765.37234631293188</v>
          </cell>
          <cell r="F1273">
            <v>722.97148544353252</v>
          </cell>
          <cell r="K1273">
            <v>667.6515301085883</v>
          </cell>
          <cell r="O1273">
            <v>669.03087143415394</v>
          </cell>
        </row>
        <row r="1274">
          <cell r="B1274">
            <v>765.44623332675224</v>
          </cell>
          <cell r="F1274">
            <v>723.17110245701463</v>
          </cell>
          <cell r="K1274">
            <v>667.61697926949648</v>
          </cell>
          <cell r="O1274">
            <v>669.10414224306385</v>
          </cell>
        </row>
        <row r="1275">
          <cell r="B1275">
            <v>765.51105268015795</v>
          </cell>
          <cell r="F1275">
            <v>723.36247500000002</v>
          </cell>
          <cell r="K1275">
            <v>667.57453109575511</v>
          </cell>
          <cell r="O1275">
            <v>669.16666666666674</v>
          </cell>
        </row>
        <row r="1276">
          <cell r="B1276">
            <v>765.57585760118468</v>
          </cell>
          <cell r="F1276">
            <v>723.5633769050412</v>
          </cell>
          <cell r="K1276">
            <v>667.53208292201384</v>
          </cell>
          <cell r="O1276">
            <v>669.23798358733893</v>
          </cell>
        </row>
        <row r="1277">
          <cell r="B1277">
            <v>765.64404506416577</v>
          </cell>
          <cell r="F1277">
            <v>723.75462011039474</v>
          </cell>
          <cell r="K1277">
            <v>667.49259624876606</v>
          </cell>
          <cell r="O1277">
            <v>669.30343884329818</v>
          </cell>
        </row>
        <row r="1278">
          <cell r="B1278">
            <v>765.71555636722599</v>
          </cell>
          <cell r="F1278">
            <v>723.93637748632261</v>
          </cell>
          <cell r="K1278">
            <v>667.45310957551828</v>
          </cell>
          <cell r="O1278">
            <v>669.36010160218825</v>
          </cell>
        </row>
        <row r="1279">
          <cell r="B1279">
            <v>765.8074419151036</v>
          </cell>
          <cell r="F1279">
            <v>724.11586494724509</v>
          </cell>
          <cell r="K1279">
            <v>667.43139190523198</v>
          </cell>
          <cell r="O1279">
            <v>669.41774130519741</v>
          </cell>
        </row>
        <row r="1280">
          <cell r="B1280">
            <v>765.89145146100691</v>
          </cell>
          <cell r="F1280">
            <v>724.30928941969523</v>
          </cell>
          <cell r="K1280">
            <v>667.40572556762095</v>
          </cell>
          <cell r="O1280">
            <v>669.48515044939427</v>
          </cell>
        </row>
        <row r="1281">
          <cell r="B1281">
            <v>765.95845719151043</v>
          </cell>
          <cell r="F1281">
            <v>724.50379528135988</v>
          </cell>
          <cell r="K1281">
            <v>667.36525172754205</v>
          </cell>
          <cell r="O1281">
            <v>669.55353653770999</v>
          </cell>
        </row>
        <row r="1282">
          <cell r="B1282">
            <v>766.02091646594261</v>
          </cell>
          <cell r="F1282">
            <v>724.70484577960133</v>
          </cell>
          <cell r="K1282">
            <v>667.32082922013808</v>
          </cell>
          <cell r="O1282">
            <v>669.62485345838218</v>
          </cell>
        </row>
        <row r="1283">
          <cell r="B1283">
            <v>766.08222729516297</v>
          </cell>
          <cell r="F1283">
            <v>724.89852028135999</v>
          </cell>
          <cell r="K1283">
            <v>667.27541954590333</v>
          </cell>
          <cell r="O1283">
            <v>669.68933177022279</v>
          </cell>
        </row>
        <row r="1284">
          <cell r="B1284">
            <v>766.14578970384991</v>
          </cell>
          <cell r="F1284">
            <v>725.09239440211024</v>
          </cell>
          <cell r="K1284">
            <v>667.23198420533072</v>
          </cell>
          <cell r="O1284">
            <v>669.75087924970694</v>
          </cell>
        </row>
        <row r="1285">
          <cell r="B1285">
            <v>766.21607433366239</v>
          </cell>
          <cell r="F1285">
            <v>725.29140564673696</v>
          </cell>
          <cell r="K1285">
            <v>667.1915103652517</v>
          </cell>
          <cell r="O1285">
            <v>669.82024228214141</v>
          </cell>
        </row>
        <row r="1286">
          <cell r="B1286">
            <v>766.29541563672262</v>
          </cell>
          <cell r="F1286">
            <v>725.48391903087145</v>
          </cell>
          <cell r="K1286">
            <v>667.15893385982235</v>
          </cell>
          <cell r="O1286">
            <v>669.88667448221963</v>
          </cell>
        </row>
        <row r="1287">
          <cell r="B1287">
            <v>766.38154970385006</v>
          </cell>
          <cell r="F1287">
            <v>725.67663147713938</v>
          </cell>
          <cell r="K1287">
            <v>667.13228035538009</v>
          </cell>
          <cell r="O1287">
            <v>669.95017584994127</v>
          </cell>
        </row>
        <row r="1288">
          <cell r="B1288">
            <v>766.445057591313</v>
          </cell>
          <cell r="F1288">
            <v>725.85931721375539</v>
          </cell>
          <cell r="K1288">
            <v>667.08884501480748</v>
          </cell>
          <cell r="O1288">
            <v>670.01367721766314</v>
          </cell>
        </row>
        <row r="1289">
          <cell r="B1289">
            <v>766.49607271470882</v>
          </cell>
          <cell r="F1289">
            <v>726.05313425166082</v>
          </cell>
          <cell r="K1289">
            <v>667.03455083909182</v>
          </cell>
          <cell r="O1289">
            <v>670.07815552950376</v>
          </cell>
        </row>
        <row r="1290">
          <cell r="B1290">
            <v>766.56295281342557</v>
          </cell>
          <cell r="F1290">
            <v>726.24803388042199</v>
          </cell>
          <cell r="K1290">
            <v>666.99407699901292</v>
          </cell>
          <cell r="O1290">
            <v>670.14361078546301</v>
          </cell>
        </row>
        <row r="1291">
          <cell r="B1291">
            <v>766.61960686080954</v>
          </cell>
          <cell r="F1291">
            <v>726.42495617917132</v>
          </cell>
          <cell r="K1291">
            <v>666.94471865745311</v>
          </cell>
          <cell r="O1291">
            <v>670.19245799140276</v>
          </cell>
        </row>
        <row r="1292">
          <cell r="B1292">
            <v>766.64246286278376</v>
          </cell>
          <cell r="F1292">
            <v>726.6080771590465</v>
          </cell>
          <cell r="K1292">
            <v>666.92398815399804</v>
          </cell>
          <cell r="O1292">
            <v>670.25009769441192</v>
          </cell>
        </row>
        <row r="1293">
          <cell r="B1293">
            <v>766.68071347482726</v>
          </cell>
          <cell r="F1293">
            <v>726.78045252051584</v>
          </cell>
          <cell r="K1293">
            <v>666.89634748272465</v>
          </cell>
          <cell r="O1293">
            <v>670.30089878858928</v>
          </cell>
        </row>
        <row r="1294">
          <cell r="B1294">
            <v>766.74868427443255</v>
          </cell>
          <cell r="F1294">
            <v>726.97332192751082</v>
          </cell>
          <cell r="K1294">
            <v>666.85686080947687</v>
          </cell>
          <cell r="O1294">
            <v>670.36440015631104</v>
          </cell>
        </row>
        <row r="1295">
          <cell r="B1295">
            <v>766.81550644126366</v>
          </cell>
          <cell r="F1295">
            <v>727.17469181320814</v>
          </cell>
          <cell r="K1295">
            <v>666.81638696939797</v>
          </cell>
          <cell r="O1295">
            <v>670.43571707698311</v>
          </cell>
        </row>
        <row r="1296">
          <cell r="B1296">
            <v>766.87777334649559</v>
          </cell>
          <cell r="F1296">
            <v>727.36337044255572</v>
          </cell>
          <cell r="K1296">
            <v>666.771964461994</v>
          </cell>
          <cell r="O1296">
            <v>670.49531066822976</v>
          </cell>
        </row>
        <row r="1297">
          <cell r="B1297">
            <v>766.92973221125362</v>
          </cell>
          <cell r="F1297">
            <v>727.53158590269629</v>
          </cell>
          <cell r="K1297">
            <v>666.71569595261599</v>
          </cell>
          <cell r="O1297">
            <v>670.54220398593202</v>
          </cell>
        </row>
        <row r="1298">
          <cell r="B1298">
            <v>766.99416430898316</v>
          </cell>
          <cell r="F1298">
            <v>727.70317072098464</v>
          </cell>
          <cell r="K1298">
            <v>666.67028627838101</v>
          </cell>
          <cell r="O1298">
            <v>670.58909730363416</v>
          </cell>
        </row>
        <row r="1299">
          <cell r="B1299">
            <v>767.05744461994084</v>
          </cell>
          <cell r="F1299">
            <v>727.87689307346625</v>
          </cell>
          <cell r="K1299">
            <v>666.62388943731492</v>
          </cell>
          <cell r="O1299">
            <v>670.63794450957403</v>
          </cell>
        </row>
        <row r="1300">
          <cell r="B1300">
            <v>767.12184475814411</v>
          </cell>
          <cell r="F1300">
            <v>728.06476346228976</v>
          </cell>
          <cell r="K1300">
            <v>666.57847976307994</v>
          </cell>
          <cell r="O1300">
            <v>670.69363032434535</v>
          </cell>
        </row>
        <row r="1301">
          <cell r="B1301">
            <v>767.20092410661402</v>
          </cell>
          <cell r="F1301">
            <v>728.23941172332934</v>
          </cell>
          <cell r="K1301">
            <v>666.54294175715688</v>
          </cell>
          <cell r="O1301">
            <v>670.74638530676043</v>
          </cell>
        </row>
        <row r="1302">
          <cell r="B1302">
            <v>767.2652939585389</v>
          </cell>
          <cell r="F1302">
            <v>728.41743244431416</v>
          </cell>
          <cell r="K1302">
            <v>666.49753208292202</v>
          </cell>
          <cell r="O1302">
            <v>670.7991402891754</v>
          </cell>
        </row>
        <row r="1303">
          <cell r="B1303">
            <v>767.32964791707809</v>
          </cell>
          <cell r="F1303">
            <v>728.61474200859709</v>
          </cell>
          <cell r="K1303">
            <v>666.45212240868716</v>
          </cell>
          <cell r="O1303">
            <v>670.86654943337248</v>
          </cell>
        </row>
        <row r="1304">
          <cell r="B1304">
            <v>767.40202152023699</v>
          </cell>
          <cell r="F1304">
            <v>728.81436995896831</v>
          </cell>
          <cell r="K1304">
            <v>666.4165844027641</v>
          </cell>
          <cell r="O1304">
            <v>670.93298163345048</v>
          </cell>
        </row>
        <row r="1305">
          <cell r="B1305">
            <v>767.47316722606126</v>
          </cell>
          <cell r="F1305">
            <v>729.00977751074629</v>
          </cell>
          <cell r="K1305">
            <v>666.37709772951632</v>
          </cell>
          <cell r="O1305">
            <v>670.99550605705349</v>
          </cell>
        </row>
        <row r="1306">
          <cell r="B1306">
            <v>767.52845934847005</v>
          </cell>
          <cell r="F1306">
            <v>729.19425189527158</v>
          </cell>
          <cell r="K1306">
            <v>666.3267522211255</v>
          </cell>
          <cell r="O1306">
            <v>671.05412270418128</v>
          </cell>
        </row>
        <row r="1307">
          <cell r="B1307">
            <v>767.58706573543918</v>
          </cell>
          <cell r="F1307">
            <v>729.37450033216101</v>
          </cell>
          <cell r="K1307">
            <v>666.27640671273434</v>
          </cell>
          <cell r="O1307">
            <v>671.10883157483397</v>
          </cell>
        </row>
        <row r="1308">
          <cell r="B1308">
            <v>767.64906683119466</v>
          </cell>
          <cell r="F1308">
            <v>729.55404646346233</v>
          </cell>
          <cell r="K1308">
            <v>666.22902270483723</v>
          </cell>
          <cell r="O1308">
            <v>671.15670183665497</v>
          </cell>
        </row>
        <row r="1309">
          <cell r="B1309">
            <v>767.71446419052302</v>
          </cell>
          <cell r="F1309">
            <v>729.72919263384131</v>
          </cell>
          <cell r="K1309">
            <v>666.18460019743327</v>
          </cell>
          <cell r="O1309">
            <v>671.20359515435723</v>
          </cell>
        </row>
        <row r="1310">
          <cell r="B1310">
            <v>767.76724759131309</v>
          </cell>
          <cell r="F1310">
            <v>729.9093289468542</v>
          </cell>
          <cell r="K1310">
            <v>666.12635735439301</v>
          </cell>
          <cell r="O1310">
            <v>671.26123485736616</v>
          </cell>
        </row>
        <row r="1311">
          <cell r="B1311">
            <v>767.82228596742345</v>
          </cell>
          <cell r="F1311">
            <v>730.09177955255961</v>
          </cell>
          <cell r="K1311">
            <v>666.07008884501477</v>
          </cell>
          <cell r="O1311">
            <v>671.31789761625635</v>
          </cell>
        </row>
        <row r="1312">
          <cell r="B1312">
            <v>767.88080288252718</v>
          </cell>
          <cell r="F1312">
            <v>730.27318790543188</v>
          </cell>
          <cell r="K1312">
            <v>666.01974333662383</v>
          </cell>
          <cell r="O1312">
            <v>671.37358343102778</v>
          </cell>
        </row>
        <row r="1313">
          <cell r="B1313">
            <v>767.91018177690023</v>
          </cell>
          <cell r="F1313">
            <v>730.31721475674078</v>
          </cell>
          <cell r="K1313">
            <v>665.99901283316876</v>
          </cell>
          <cell r="O1313">
            <v>671.38628370457207</v>
          </cell>
        </row>
        <row r="1314">
          <cell r="B1314">
            <v>767.93913191016793</v>
          </cell>
          <cell r="F1314">
            <v>730.43727383743669</v>
          </cell>
          <cell r="K1314">
            <v>665.96347482724593</v>
          </cell>
          <cell r="O1314">
            <v>671.41949980461129</v>
          </cell>
        </row>
        <row r="1315">
          <cell r="B1315">
            <v>767.98508854886472</v>
          </cell>
          <cell r="F1315">
            <v>730.61603600039075</v>
          </cell>
          <cell r="K1315">
            <v>665.90227048371173</v>
          </cell>
          <cell r="O1315">
            <v>671.46346228995696</v>
          </cell>
        </row>
        <row r="1316">
          <cell r="B1316">
            <v>768.02305306021719</v>
          </cell>
          <cell r="F1316">
            <v>730.79890012700275</v>
          </cell>
          <cell r="K1316">
            <v>665.83415597235933</v>
          </cell>
          <cell r="O1316">
            <v>671.51426338413444</v>
          </cell>
        </row>
        <row r="1317">
          <cell r="B1317">
            <v>768.07001681145118</v>
          </cell>
          <cell r="F1317">
            <v>730.96656095154356</v>
          </cell>
          <cell r="K1317">
            <v>665.77097729516288</v>
          </cell>
          <cell r="O1317">
            <v>671.55724892536148</v>
          </cell>
        </row>
        <row r="1318">
          <cell r="B1318">
            <v>768.11923587364265</v>
          </cell>
          <cell r="F1318">
            <v>731.14308036342322</v>
          </cell>
          <cell r="K1318">
            <v>665.70977295162891</v>
          </cell>
          <cell r="O1318">
            <v>671.60218835482613</v>
          </cell>
        </row>
        <row r="1319">
          <cell r="B1319">
            <v>768.17193986179677</v>
          </cell>
          <cell r="F1319">
            <v>731.32353769050405</v>
          </cell>
          <cell r="K1319">
            <v>665.65449160908202</v>
          </cell>
          <cell r="O1319">
            <v>671.6568972254787</v>
          </cell>
        </row>
        <row r="1320">
          <cell r="B1320">
            <v>768.23251000987182</v>
          </cell>
          <cell r="F1320">
            <v>731.5041815357564</v>
          </cell>
          <cell r="K1320">
            <v>665.60315893385996</v>
          </cell>
          <cell r="O1320">
            <v>671.70867526377504</v>
          </cell>
        </row>
        <row r="1321">
          <cell r="B1321">
            <v>768.28517571569603</v>
          </cell>
          <cell r="F1321">
            <v>731.6772293864791</v>
          </cell>
          <cell r="K1321">
            <v>665.54787759131295</v>
          </cell>
          <cell r="O1321">
            <v>671.75654552559593</v>
          </cell>
        </row>
        <row r="1322">
          <cell r="B1322">
            <v>768.34228926456069</v>
          </cell>
          <cell r="F1322">
            <v>731.85135873388049</v>
          </cell>
          <cell r="K1322">
            <v>665.4935834155973</v>
          </cell>
          <cell r="O1322">
            <v>671.80539273153579</v>
          </cell>
        </row>
        <row r="1323">
          <cell r="B1323">
            <v>768.39140392398815</v>
          </cell>
          <cell r="F1323">
            <v>732.03099382571304</v>
          </cell>
          <cell r="K1323">
            <v>665.43237907206321</v>
          </cell>
          <cell r="O1323">
            <v>671.85619382571315</v>
          </cell>
        </row>
        <row r="1324">
          <cell r="B1324">
            <v>768.42795562685103</v>
          </cell>
          <cell r="F1324">
            <v>732.20818710433741</v>
          </cell>
          <cell r="K1324">
            <v>665.36031589338597</v>
          </cell>
          <cell r="O1324">
            <v>671.91090269636561</v>
          </cell>
        </row>
        <row r="1325">
          <cell r="B1325">
            <v>768.47027699901264</v>
          </cell>
          <cell r="F1325">
            <v>732.39088894099257</v>
          </cell>
          <cell r="K1325">
            <v>665.29615004935829</v>
          </cell>
          <cell r="O1325">
            <v>671.96756545525591</v>
          </cell>
        </row>
        <row r="1326">
          <cell r="B1326">
            <v>768.51029505429415</v>
          </cell>
          <cell r="F1326">
            <v>732.56632158069579</v>
          </cell>
          <cell r="K1326">
            <v>665.23000987166836</v>
          </cell>
          <cell r="O1326">
            <v>672.01445877295828</v>
          </cell>
        </row>
        <row r="1327">
          <cell r="B1327">
            <v>768.54449092300104</v>
          </cell>
          <cell r="F1327">
            <v>732.73628096912864</v>
          </cell>
          <cell r="K1327">
            <v>665.15597235932876</v>
          </cell>
          <cell r="O1327">
            <v>672.05939820242293</v>
          </cell>
        </row>
        <row r="1328">
          <cell r="B1328">
            <v>768.58788330700895</v>
          </cell>
          <cell r="F1328">
            <v>732.89683311840565</v>
          </cell>
          <cell r="K1328">
            <v>665.09279368213231</v>
          </cell>
          <cell r="O1328">
            <v>672.09261430246193</v>
          </cell>
        </row>
        <row r="1329">
          <cell r="B1329">
            <v>768.63353548371174</v>
          </cell>
          <cell r="F1329">
            <v>733.07141332551782</v>
          </cell>
          <cell r="K1329">
            <v>665.03158933859822</v>
          </cell>
          <cell r="O1329">
            <v>672.13559984368896</v>
          </cell>
        </row>
        <row r="1330">
          <cell r="B1330">
            <v>768.67916623889437</v>
          </cell>
          <cell r="F1330">
            <v>733.24141946072689</v>
          </cell>
          <cell r="K1330">
            <v>664.97038499506425</v>
          </cell>
          <cell r="O1330">
            <v>672.18053927315361</v>
          </cell>
        </row>
        <row r="1331">
          <cell r="B1331">
            <v>768.7145038894372</v>
          </cell>
          <cell r="F1331">
            <v>733.42669103165292</v>
          </cell>
          <cell r="K1331">
            <v>664.90029615004926</v>
          </cell>
          <cell r="O1331">
            <v>672.23329425556858</v>
          </cell>
        </row>
        <row r="1332">
          <cell r="B1332">
            <v>768.75085820829213</v>
          </cell>
          <cell r="F1332">
            <v>733.58377557151232</v>
          </cell>
          <cell r="K1332">
            <v>664.82823297137213</v>
          </cell>
          <cell r="O1332">
            <v>672.26944118796405</v>
          </cell>
        </row>
        <row r="1333">
          <cell r="B1333">
            <v>768.79517815893405</v>
          </cell>
          <cell r="F1333">
            <v>733.76834281946071</v>
          </cell>
          <cell r="K1333">
            <v>664.76307996051344</v>
          </cell>
          <cell r="O1333">
            <v>672.31535756154744</v>
          </cell>
        </row>
        <row r="1334">
          <cell r="B1334">
            <v>768.81930799605152</v>
          </cell>
          <cell r="F1334">
            <v>733.94284301484981</v>
          </cell>
          <cell r="K1334">
            <v>664.72359328726566</v>
          </cell>
          <cell r="O1334">
            <v>672.36127393513107</v>
          </cell>
        </row>
        <row r="1335">
          <cell r="B1335">
            <v>768.83376549851926</v>
          </cell>
          <cell r="F1335">
            <v>734.10119898397807</v>
          </cell>
          <cell r="K1335">
            <v>664.69299111549856</v>
          </cell>
          <cell r="O1335">
            <v>672.39546697928881</v>
          </cell>
        </row>
        <row r="1336">
          <cell r="B1336">
            <v>768.87004358835122</v>
          </cell>
          <cell r="F1336">
            <v>734.26292941090276</v>
          </cell>
          <cell r="K1336">
            <v>664.6209279368212</v>
          </cell>
          <cell r="O1336">
            <v>672.42966002344667</v>
          </cell>
        </row>
        <row r="1337">
          <cell r="B1337">
            <v>768.91076067127347</v>
          </cell>
          <cell r="F1337">
            <v>734.43000728800314</v>
          </cell>
          <cell r="K1337">
            <v>664.54985192497531</v>
          </cell>
          <cell r="O1337">
            <v>672.4687377881985</v>
          </cell>
        </row>
        <row r="1338">
          <cell r="B1338">
            <v>768.94013247778878</v>
          </cell>
          <cell r="F1338">
            <v>734.60259645369285</v>
          </cell>
          <cell r="K1338">
            <v>664.47186574531099</v>
          </cell>
          <cell r="O1338">
            <v>672.50976944118793</v>
          </cell>
        </row>
        <row r="1339">
          <cell r="B1339">
            <v>768.97975913129324</v>
          </cell>
          <cell r="F1339">
            <v>734.64780004396255</v>
          </cell>
          <cell r="K1339">
            <v>664.40276406712735</v>
          </cell>
          <cell r="O1339">
            <v>672.52344665885107</v>
          </cell>
        </row>
        <row r="1340">
          <cell r="B1340">
            <v>769.0250745310957</v>
          </cell>
          <cell r="F1340">
            <v>734.78144439234063</v>
          </cell>
          <cell r="K1340">
            <v>664.33859822309967</v>
          </cell>
          <cell r="O1340">
            <v>672.55959359124654</v>
          </cell>
        </row>
        <row r="1341">
          <cell r="B1341">
            <v>769.05322329713738</v>
          </cell>
          <cell r="F1341">
            <v>734.96655523642039</v>
          </cell>
          <cell r="K1341">
            <v>664.25962487660422</v>
          </cell>
          <cell r="O1341">
            <v>672.61821023837433</v>
          </cell>
        </row>
        <row r="1342">
          <cell r="B1342">
            <v>769.08248671273441</v>
          </cell>
          <cell r="F1342">
            <v>735.14346632473632</v>
          </cell>
          <cell r="K1342">
            <v>664.18163869693979</v>
          </cell>
          <cell r="O1342">
            <v>672.66314966783898</v>
          </cell>
        </row>
        <row r="1343">
          <cell r="B1343">
            <v>769.11858159921019</v>
          </cell>
          <cell r="F1343">
            <v>735.31825874364984</v>
          </cell>
          <cell r="K1343">
            <v>664.10957551826255</v>
          </cell>
          <cell r="O1343">
            <v>672.70613520906602</v>
          </cell>
        </row>
        <row r="1344">
          <cell r="B1344">
            <v>769.14882320829213</v>
          </cell>
          <cell r="F1344">
            <v>735.48099976064873</v>
          </cell>
          <cell r="K1344">
            <v>664.02961500493586</v>
          </cell>
          <cell r="O1344">
            <v>672.7442360296991</v>
          </cell>
        </row>
        <row r="1345">
          <cell r="B1345">
            <v>769.15867237907207</v>
          </cell>
          <cell r="F1345">
            <v>735.6439137162954</v>
          </cell>
          <cell r="K1345">
            <v>663.93780848963479</v>
          </cell>
          <cell r="O1345">
            <v>672.77940601797582</v>
          </cell>
        </row>
        <row r="1346">
          <cell r="B1346">
            <v>769.18885342546912</v>
          </cell>
          <cell r="F1346">
            <v>735.81538796893312</v>
          </cell>
          <cell r="K1346">
            <v>663.85784797630811</v>
          </cell>
          <cell r="O1346">
            <v>672.82239155920274</v>
          </cell>
        </row>
        <row r="1347">
          <cell r="B1347">
            <v>769.23387660414608</v>
          </cell>
          <cell r="F1347">
            <v>735.99574398202435</v>
          </cell>
          <cell r="K1347">
            <v>663.79072063178683</v>
          </cell>
          <cell r="O1347">
            <v>672.8673309886675</v>
          </cell>
        </row>
        <row r="1348">
          <cell r="B1348">
            <v>769.25404519249753</v>
          </cell>
          <cell r="F1348">
            <v>736.16420266705745</v>
          </cell>
          <cell r="K1348">
            <v>663.71076011846003</v>
          </cell>
          <cell r="O1348">
            <v>672.90445486518172</v>
          </cell>
        </row>
        <row r="1349">
          <cell r="B1349">
            <v>769.27841941263569</v>
          </cell>
          <cell r="F1349">
            <v>736.32151237788196</v>
          </cell>
          <cell r="K1349">
            <v>663.62586377097728</v>
          </cell>
          <cell r="O1349">
            <v>672.94060179757719</v>
          </cell>
        </row>
        <row r="1350">
          <cell r="B1350">
            <v>769.31317859328715</v>
          </cell>
          <cell r="F1350">
            <v>736.48663364595541</v>
          </cell>
          <cell r="K1350">
            <v>663.55281342546891</v>
          </cell>
          <cell r="O1350">
            <v>672.9777256740914</v>
          </cell>
        </row>
        <row r="1351">
          <cell r="B1351">
            <v>769.3238731095754</v>
          </cell>
          <cell r="F1351">
            <v>736.65085642829217</v>
          </cell>
          <cell r="K1351">
            <v>663.45903257650536</v>
          </cell>
          <cell r="O1351">
            <v>673.0109417741304</v>
          </cell>
        </row>
        <row r="1352">
          <cell r="B1352">
            <v>769.33338900296155</v>
          </cell>
          <cell r="F1352">
            <v>736.82043938061724</v>
          </cell>
          <cell r="K1352">
            <v>663.36426456071081</v>
          </cell>
          <cell r="O1352">
            <v>673.04904259476348</v>
          </cell>
        </row>
        <row r="1353">
          <cell r="B1353">
            <v>769.36896931391902</v>
          </cell>
          <cell r="F1353">
            <v>736.96251292497072</v>
          </cell>
          <cell r="K1353">
            <v>663.28627838104637</v>
          </cell>
          <cell r="O1353">
            <v>673.07737397420863</v>
          </cell>
        </row>
        <row r="1354">
          <cell r="B1354">
            <v>769.403614042448</v>
          </cell>
          <cell r="F1354">
            <v>737.12677274325904</v>
          </cell>
          <cell r="K1354">
            <v>663.2132280355379</v>
          </cell>
          <cell r="O1354">
            <v>673.11059007424774</v>
          </cell>
        </row>
        <row r="1355">
          <cell r="B1355">
            <v>769.41357403751226</v>
          </cell>
          <cell r="F1355">
            <v>737.29639539370828</v>
          </cell>
          <cell r="K1355">
            <v>663.15893385982224</v>
          </cell>
          <cell r="O1355">
            <v>673.1486908948807</v>
          </cell>
        </row>
        <row r="1356">
          <cell r="B1356">
            <v>769.42780325765034</v>
          </cell>
          <cell r="F1356">
            <v>737.47015814771407</v>
          </cell>
          <cell r="K1356">
            <v>663.12833168805514</v>
          </cell>
          <cell r="O1356">
            <v>673.19363032434558</v>
          </cell>
        </row>
        <row r="1357">
          <cell r="B1357">
            <v>769.43706836130309</v>
          </cell>
          <cell r="F1357">
            <v>737.63430389800703</v>
          </cell>
          <cell r="K1357">
            <v>663.0306021717671</v>
          </cell>
          <cell r="O1357">
            <v>673.22977725674093</v>
          </cell>
        </row>
        <row r="1358">
          <cell r="B1358">
            <v>769.44310527147081</v>
          </cell>
          <cell r="F1358">
            <v>737.79968817409144</v>
          </cell>
          <cell r="K1358">
            <v>662.93583415597232</v>
          </cell>
          <cell r="O1358">
            <v>673.26397030089879</v>
          </cell>
        </row>
        <row r="1359">
          <cell r="B1359">
            <v>769.44427794669286</v>
          </cell>
          <cell r="F1359">
            <v>737.96080234466592</v>
          </cell>
          <cell r="K1359">
            <v>662.83119447186573</v>
          </cell>
          <cell r="O1359">
            <v>673.29425556858155</v>
          </cell>
        </row>
        <row r="1360">
          <cell r="B1360">
            <v>769.4591654689043</v>
          </cell>
          <cell r="F1360">
            <v>738.12391617819469</v>
          </cell>
          <cell r="K1360">
            <v>662.73840078973353</v>
          </cell>
          <cell r="O1360">
            <v>673.32942555685815</v>
          </cell>
        </row>
        <row r="1361">
          <cell r="B1361">
            <v>769.48548178677186</v>
          </cell>
          <cell r="F1361">
            <v>738.29239870554898</v>
          </cell>
          <cell r="K1361">
            <v>662.65547877591314</v>
          </cell>
          <cell r="O1361">
            <v>673.36948026572884</v>
          </cell>
        </row>
        <row r="1362">
          <cell r="B1362">
            <v>769.4889642201382</v>
          </cell>
          <cell r="F1362">
            <v>738.456610785463</v>
          </cell>
          <cell r="K1362">
            <v>662.55577492596251</v>
          </cell>
          <cell r="O1362">
            <v>673.40562719812419</v>
          </cell>
        </row>
        <row r="1363">
          <cell r="B1363">
            <v>769.50030973346509</v>
          </cell>
          <cell r="F1363">
            <v>738.61639753810095</v>
          </cell>
          <cell r="K1363">
            <v>662.46001974333672</v>
          </cell>
          <cell r="O1363">
            <v>673.44079718640103</v>
          </cell>
        </row>
        <row r="1364">
          <cell r="B1364">
            <v>769.51850095261602</v>
          </cell>
          <cell r="F1364">
            <v>738.77971667643612</v>
          </cell>
          <cell r="K1364">
            <v>662.370187561698</v>
          </cell>
          <cell r="O1364">
            <v>673.47303634232128</v>
          </cell>
        </row>
        <row r="1365">
          <cell r="B1365">
            <v>769.5105366436328</v>
          </cell>
          <cell r="F1365">
            <v>738.86298849648301</v>
          </cell>
          <cell r="K1365">
            <v>662.26357354392894</v>
          </cell>
          <cell r="O1365">
            <v>673.49062133645964</v>
          </cell>
        </row>
        <row r="1366">
          <cell r="B1366">
            <v>769.51145101184613</v>
          </cell>
          <cell r="F1366">
            <v>738.94534372313399</v>
          </cell>
          <cell r="K1366">
            <v>662.15893385982235</v>
          </cell>
          <cell r="O1366">
            <v>673.50429855412267</v>
          </cell>
        </row>
        <row r="1367">
          <cell r="B1367">
            <v>769.52278505922993</v>
          </cell>
          <cell r="F1367">
            <v>739.10746375537315</v>
          </cell>
          <cell r="K1367">
            <v>662.06614017769004</v>
          </cell>
          <cell r="O1367">
            <v>673.53849159828053</v>
          </cell>
        </row>
        <row r="1368">
          <cell r="B1368">
            <v>769.53624799605143</v>
          </cell>
          <cell r="F1368">
            <v>739.26760312622105</v>
          </cell>
          <cell r="K1368">
            <v>661.97235932872661</v>
          </cell>
          <cell r="O1368">
            <v>673.56779992184443</v>
          </cell>
        </row>
        <row r="1369">
          <cell r="B1369">
            <v>769.55656275913122</v>
          </cell>
          <cell r="F1369">
            <v>739.42653048065654</v>
          </cell>
          <cell r="K1369">
            <v>661.88450148075026</v>
          </cell>
          <cell r="O1369">
            <v>673.59906213364593</v>
          </cell>
        </row>
        <row r="1370">
          <cell r="B1370">
            <v>769.57110533070102</v>
          </cell>
          <cell r="F1370">
            <v>739.58669235052764</v>
          </cell>
          <cell r="K1370">
            <v>661.79170779861806</v>
          </cell>
          <cell r="O1370">
            <v>673.62837045720994</v>
          </cell>
        </row>
        <row r="1371">
          <cell r="B1371">
            <v>769.56278712734456</v>
          </cell>
          <cell r="F1371">
            <v>739.75130643806165</v>
          </cell>
          <cell r="K1371">
            <v>661.6821322803554</v>
          </cell>
          <cell r="O1371">
            <v>673.65865572489247</v>
          </cell>
        </row>
        <row r="1372">
          <cell r="B1372">
            <v>769.54395777393881</v>
          </cell>
          <cell r="F1372">
            <v>739.90368106682308</v>
          </cell>
          <cell r="K1372">
            <v>661.56071076011847</v>
          </cell>
          <cell r="O1372">
            <v>673.68698710433773</v>
          </cell>
        </row>
        <row r="1373">
          <cell r="B1373">
            <v>769.55250886969407</v>
          </cell>
          <cell r="F1373">
            <v>740.06494935521675</v>
          </cell>
          <cell r="K1373">
            <v>661.4600197433366</v>
          </cell>
          <cell r="O1373">
            <v>673.71727237202026</v>
          </cell>
        </row>
        <row r="1374">
          <cell r="B1374">
            <v>769.56015142152023</v>
          </cell>
          <cell r="F1374">
            <v>740.22378499413821</v>
          </cell>
          <cell r="K1374">
            <v>661.36426456071081</v>
          </cell>
          <cell r="O1374">
            <v>673.75146541617812</v>
          </cell>
        </row>
        <row r="1375">
          <cell r="B1375">
            <v>769.5480889437315</v>
          </cell>
          <cell r="F1375">
            <v>740.38814889116861</v>
          </cell>
          <cell r="K1375">
            <v>661.24876604146095</v>
          </cell>
          <cell r="O1375">
            <v>673.78761234857382</v>
          </cell>
        </row>
        <row r="1376">
          <cell r="B1376">
            <v>769.54257668805531</v>
          </cell>
          <cell r="F1376">
            <v>740.54960109417743</v>
          </cell>
          <cell r="K1376">
            <v>661.15597235932876</v>
          </cell>
          <cell r="O1376">
            <v>673.81496678389999</v>
          </cell>
        </row>
        <row r="1377">
          <cell r="B1377">
            <v>769.53928939782827</v>
          </cell>
          <cell r="F1377">
            <v>740.70110389800686</v>
          </cell>
          <cell r="K1377">
            <v>661.13326752221133</v>
          </cell>
          <cell r="O1377">
            <v>673.83939038686981</v>
          </cell>
        </row>
        <row r="1378">
          <cell r="B1378">
            <v>769.52814752221116</v>
          </cell>
          <cell r="F1378">
            <v>740.84831949003512</v>
          </cell>
          <cell r="K1378">
            <v>661.015794669299</v>
          </cell>
          <cell r="O1378">
            <v>673.85990621336452</v>
          </cell>
        </row>
        <row r="1379">
          <cell r="B1379">
            <v>769.5194035291214</v>
          </cell>
          <cell r="F1379">
            <v>741.0217647420867</v>
          </cell>
          <cell r="K1379">
            <v>660.90325765054297</v>
          </cell>
          <cell r="O1379">
            <v>673.89507620164125</v>
          </cell>
        </row>
        <row r="1380">
          <cell r="B1380">
            <v>769.52412337611065</v>
          </cell>
          <cell r="F1380">
            <v>741.18496875732728</v>
          </cell>
          <cell r="K1380">
            <v>660.79664363277391</v>
          </cell>
          <cell r="O1380">
            <v>673.93317702227444</v>
          </cell>
        </row>
        <row r="1381">
          <cell r="B1381">
            <v>769.51989518756181</v>
          </cell>
          <cell r="F1381">
            <v>741.34847848769039</v>
          </cell>
          <cell r="K1381">
            <v>660.6880552813426</v>
          </cell>
          <cell r="O1381">
            <v>673.96541617819457</v>
          </cell>
        </row>
        <row r="1382">
          <cell r="B1382">
            <v>769.49377757156958</v>
          </cell>
          <cell r="F1382">
            <v>741.50017761821016</v>
          </cell>
          <cell r="K1382">
            <v>660.56071076011847</v>
          </cell>
          <cell r="O1382">
            <v>673.98690894880804</v>
          </cell>
        </row>
        <row r="1383">
          <cell r="B1383">
            <v>769.46631441263582</v>
          </cell>
          <cell r="F1383">
            <v>741.66615000000002</v>
          </cell>
          <cell r="K1383">
            <v>660.42941757156962</v>
          </cell>
          <cell r="O1383">
            <v>674.01524032825318</v>
          </cell>
        </row>
        <row r="1384">
          <cell r="B1384">
            <v>769.46180807502458</v>
          </cell>
          <cell r="F1384">
            <v>741.829694021102</v>
          </cell>
          <cell r="K1384">
            <v>660.3178677196446</v>
          </cell>
          <cell r="O1384">
            <v>674.04747948417355</v>
          </cell>
        </row>
        <row r="1385">
          <cell r="B1385">
            <v>769.45395831688063</v>
          </cell>
          <cell r="F1385">
            <v>741.9725297967957</v>
          </cell>
          <cell r="K1385">
            <v>660.20631786771969</v>
          </cell>
          <cell r="O1385">
            <v>674.06701836654952</v>
          </cell>
        </row>
        <row r="1386">
          <cell r="B1386">
            <v>769.42535466929894</v>
          </cell>
          <cell r="F1386">
            <v>742.12949846131289</v>
          </cell>
          <cell r="K1386">
            <v>660.07699901283308</v>
          </cell>
          <cell r="O1386">
            <v>674.0963266901133</v>
          </cell>
        </row>
        <row r="1387">
          <cell r="B1387">
            <v>769.40015582428418</v>
          </cell>
          <cell r="F1387">
            <v>742.28016704767504</v>
          </cell>
          <cell r="K1387">
            <v>659.95064165844019</v>
          </cell>
          <cell r="O1387">
            <v>674.11684251660813</v>
          </cell>
        </row>
        <row r="1388">
          <cell r="B1388">
            <v>769.37836342546905</v>
          </cell>
          <cell r="F1388">
            <v>742.4448303048066</v>
          </cell>
          <cell r="K1388">
            <v>659.82724580454101</v>
          </cell>
          <cell r="O1388">
            <v>674.15005861664713</v>
          </cell>
        </row>
        <row r="1389">
          <cell r="B1389">
            <v>769.36327765054307</v>
          </cell>
          <cell r="F1389">
            <v>742.59228859906204</v>
          </cell>
          <cell r="K1389">
            <v>659.70681145113531</v>
          </cell>
          <cell r="O1389">
            <v>674.16764361078549</v>
          </cell>
        </row>
        <row r="1390">
          <cell r="B1390">
            <v>769.35191312931863</v>
          </cell>
          <cell r="F1390">
            <v>742.73301172332958</v>
          </cell>
          <cell r="K1390">
            <v>659.59526159921018</v>
          </cell>
          <cell r="O1390">
            <v>674.18522860492396</v>
          </cell>
        </row>
        <row r="1391">
          <cell r="B1391">
            <v>769.33459295656473</v>
          </cell>
          <cell r="F1391">
            <v>742.8090412270418</v>
          </cell>
          <cell r="K1391">
            <v>659.47581441263583</v>
          </cell>
          <cell r="O1391">
            <v>674.19304415787417</v>
          </cell>
        </row>
        <row r="1392">
          <cell r="B1392">
            <v>769.29748933859833</v>
          </cell>
          <cell r="F1392">
            <v>742.88263612739354</v>
          </cell>
          <cell r="K1392">
            <v>659.33662388943742</v>
          </cell>
          <cell r="O1392">
            <v>674.2047674872997</v>
          </cell>
        </row>
        <row r="1393">
          <cell r="B1393">
            <v>769.26724476308004</v>
          </cell>
          <cell r="F1393">
            <v>743.02810252051586</v>
          </cell>
          <cell r="K1393">
            <v>659.20335636722609</v>
          </cell>
          <cell r="O1393">
            <v>674.2174677608441</v>
          </cell>
        </row>
        <row r="1394">
          <cell r="B1394">
            <v>769.24303268015797</v>
          </cell>
          <cell r="F1394">
            <v>743.17221572391554</v>
          </cell>
          <cell r="K1394">
            <v>659.08094768015792</v>
          </cell>
          <cell r="O1394">
            <v>674.23505275498246</v>
          </cell>
        </row>
        <row r="1395">
          <cell r="B1395">
            <v>769.21170017768998</v>
          </cell>
          <cell r="F1395">
            <v>743.33033659632667</v>
          </cell>
          <cell r="K1395">
            <v>658.94965449160907</v>
          </cell>
          <cell r="O1395">
            <v>674.26533802266511</v>
          </cell>
        </row>
        <row r="1396">
          <cell r="B1396">
            <v>769.17785050345515</v>
          </cell>
          <cell r="F1396">
            <v>743.48645416178192</v>
          </cell>
          <cell r="K1396">
            <v>658.81342546890426</v>
          </cell>
          <cell r="O1396">
            <v>674.29073856975378</v>
          </cell>
        </row>
        <row r="1397">
          <cell r="B1397">
            <v>769.15432337117477</v>
          </cell>
          <cell r="F1397">
            <v>743.6351790738571</v>
          </cell>
          <cell r="K1397">
            <v>658.70582428430407</v>
          </cell>
          <cell r="O1397">
            <v>674.30636967565465</v>
          </cell>
        </row>
        <row r="1398">
          <cell r="B1398">
            <v>769.14180839585401</v>
          </cell>
          <cell r="F1398">
            <v>743.78470984759656</v>
          </cell>
          <cell r="K1398">
            <v>658.67818361303068</v>
          </cell>
          <cell r="O1398">
            <v>674.32883939038675</v>
          </cell>
        </row>
        <row r="1399">
          <cell r="B1399">
            <v>769.10999585389925</v>
          </cell>
          <cell r="F1399">
            <v>743.93317118503319</v>
          </cell>
          <cell r="K1399">
            <v>658.54096742349452</v>
          </cell>
          <cell r="O1399">
            <v>674.35033216100032</v>
          </cell>
        </row>
        <row r="1400">
          <cell r="B1400">
            <v>769.07599087857852</v>
          </cell>
          <cell r="F1400">
            <v>744.09255788393887</v>
          </cell>
          <cell r="K1400">
            <v>658.40473840078971</v>
          </cell>
          <cell r="O1400">
            <v>674.37866354044536</v>
          </cell>
        </row>
        <row r="1401">
          <cell r="B1401">
            <v>769.0432559230012</v>
          </cell>
          <cell r="F1401">
            <v>744.25424925752247</v>
          </cell>
          <cell r="K1401">
            <v>658.27245804540985</v>
          </cell>
          <cell r="O1401">
            <v>674.40601797577187</v>
          </cell>
        </row>
        <row r="1402">
          <cell r="B1402">
            <v>769.00107455577484</v>
          </cell>
          <cell r="F1402">
            <v>744.4061092614304</v>
          </cell>
          <cell r="K1402">
            <v>658.12931885488649</v>
          </cell>
          <cell r="O1402">
            <v>674.42751074638545</v>
          </cell>
        </row>
        <row r="1403">
          <cell r="B1403">
            <v>768.95422416584393</v>
          </cell>
          <cell r="F1403">
            <v>744.55029121727227</v>
          </cell>
          <cell r="K1403">
            <v>657.98223099703841</v>
          </cell>
          <cell r="O1403">
            <v>674.44509574052358</v>
          </cell>
        </row>
        <row r="1404">
          <cell r="B1404">
            <v>768.92099170779852</v>
          </cell>
          <cell r="F1404">
            <v>744.70863877491217</v>
          </cell>
          <cell r="K1404">
            <v>657.84402764067124</v>
          </cell>
          <cell r="O1404">
            <v>674.47245017584999</v>
          </cell>
        </row>
        <row r="1405">
          <cell r="B1405">
            <v>768.87420409674235</v>
          </cell>
          <cell r="F1405">
            <v>744.86497488276677</v>
          </cell>
          <cell r="K1405">
            <v>657.69990128331688</v>
          </cell>
          <cell r="O1405">
            <v>674.49491989058231</v>
          </cell>
        </row>
        <row r="1406">
          <cell r="B1406">
            <v>768.81102919545901</v>
          </cell>
          <cell r="F1406">
            <v>745.0103937866354</v>
          </cell>
          <cell r="K1406">
            <v>657.53899308983216</v>
          </cell>
          <cell r="O1406">
            <v>674.51055099648306</v>
          </cell>
        </row>
        <row r="1407">
          <cell r="B1407">
            <v>768.75489588351434</v>
          </cell>
          <cell r="F1407">
            <v>745.15689787026201</v>
          </cell>
          <cell r="K1407">
            <v>657.38696939782824</v>
          </cell>
          <cell r="O1407">
            <v>674.52715904650267</v>
          </cell>
        </row>
        <row r="1408">
          <cell r="B1408">
            <v>768.7090975913128</v>
          </cell>
          <cell r="F1408">
            <v>745.29463844275108</v>
          </cell>
          <cell r="K1408">
            <v>657.243830207305</v>
          </cell>
          <cell r="O1408">
            <v>674.5388823759281</v>
          </cell>
        </row>
        <row r="1409">
          <cell r="B1409">
            <v>768.67230570582433</v>
          </cell>
          <cell r="F1409">
            <v>745.44452691481035</v>
          </cell>
          <cell r="K1409">
            <v>657.10562685093782</v>
          </cell>
          <cell r="O1409">
            <v>674.5554904259476</v>
          </cell>
        </row>
        <row r="1410">
          <cell r="B1410">
            <v>768.63199642152017</v>
          </cell>
          <cell r="F1410">
            <v>745.58470364888638</v>
          </cell>
          <cell r="K1410">
            <v>656.96446199407694</v>
          </cell>
          <cell r="O1410">
            <v>674.56330597889803</v>
          </cell>
        </row>
        <row r="1411">
          <cell r="B1411">
            <v>768.57084082922006</v>
          </cell>
          <cell r="F1411">
            <v>745.72353763188733</v>
          </cell>
          <cell r="K1411">
            <v>656.8055281342547</v>
          </cell>
          <cell r="O1411">
            <v>674.57600625244231</v>
          </cell>
        </row>
        <row r="1412">
          <cell r="B1412">
            <v>768.51637409674254</v>
          </cell>
          <cell r="F1412">
            <v>745.86790959359132</v>
          </cell>
          <cell r="K1412">
            <v>656.64955577492606</v>
          </cell>
          <cell r="O1412">
            <v>674.59066041422432</v>
          </cell>
        </row>
        <row r="1413">
          <cell r="B1413">
            <v>768.46531313425476</v>
          </cell>
          <cell r="F1413">
            <v>746.01984959945287</v>
          </cell>
          <cell r="K1413">
            <v>656.4965449160909</v>
          </cell>
          <cell r="O1413">
            <v>674.61215318483778</v>
          </cell>
        </row>
        <row r="1414">
          <cell r="B1414">
            <v>768.39819785291218</v>
          </cell>
          <cell r="F1414">
            <v>746.16531453692835</v>
          </cell>
          <cell r="K1414">
            <v>656.33267522211258</v>
          </cell>
          <cell r="O1414">
            <v>674.62778429073853</v>
          </cell>
        </row>
        <row r="1415">
          <cell r="B1415">
            <v>768.33102030108591</v>
          </cell>
          <cell r="F1415">
            <v>746.32496592907398</v>
          </cell>
          <cell r="K1415">
            <v>656.16880552813427</v>
          </cell>
          <cell r="O1415">
            <v>674.65318483782733</v>
          </cell>
        </row>
        <row r="1416">
          <cell r="B1416">
            <v>768.28362227048353</v>
          </cell>
          <cell r="F1416">
            <v>746.46504010355613</v>
          </cell>
          <cell r="K1416">
            <v>656.02467917077979</v>
          </cell>
          <cell r="O1416">
            <v>674.66393122313411</v>
          </cell>
        </row>
        <row r="1417">
          <cell r="B1417">
            <v>768.23810458538969</v>
          </cell>
          <cell r="F1417">
            <v>746.56584915982819</v>
          </cell>
          <cell r="K1417">
            <v>655.87660414610059</v>
          </cell>
          <cell r="O1417">
            <v>674.67272372020329</v>
          </cell>
        </row>
        <row r="1418">
          <cell r="B1418">
            <v>768.15243435340574</v>
          </cell>
          <cell r="F1418">
            <v>746.60619946268059</v>
          </cell>
          <cell r="K1418">
            <v>655.69990128331688</v>
          </cell>
          <cell r="O1418">
            <v>674.67565455255954</v>
          </cell>
        </row>
        <row r="1419">
          <cell r="B1419">
            <v>768.08597721618958</v>
          </cell>
          <cell r="F1419">
            <v>746.75830575420093</v>
          </cell>
          <cell r="K1419">
            <v>655.53405725567632</v>
          </cell>
          <cell r="O1419">
            <v>674.69421649081676</v>
          </cell>
        </row>
        <row r="1420">
          <cell r="B1420">
            <v>768.01521539980263</v>
          </cell>
          <cell r="F1420">
            <v>746.89368064185226</v>
          </cell>
          <cell r="K1420">
            <v>655.370187561698</v>
          </cell>
          <cell r="O1420">
            <v>674.70984759671751</v>
          </cell>
        </row>
        <row r="1421">
          <cell r="B1421">
            <v>767.93860783316882</v>
          </cell>
          <cell r="F1421">
            <v>747.04904542790155</v>
          </cell>
          <cell r="K1421">
            <v>655.20138203356373</v>
          </cell>
          <cell r="O1421">
            <v>674.73134036733097</v>
          </cell>
        </row>
        <row r="1422">
          <cell r="B1422">
            <v>767.87427421520249</v>
          </cell>
          <cell r="F1422">
            <v>747.19455380031263</v>
          </cell>
          <cell r="K1422">
            <v>655.03751233958542</v>
          </cell>
          <cell r="O1422">
            <v>674.74697147323172</v>
          </cell>
        </row>
        <row r="1423">
          <cell r="B1423">
            <v>767.80891712734444</v>
          </cell>
          <cell r="F1423">
            <v>747.34127786733086</v>
          </cell>
          <cell r="K1423">
            <v>654.87561697926947</v>
          </cell>
          <cell r="O1423">
            <v>674.76064869089487</v>
          </cell>
        </row>
        <row r="1424">
          <cell r="B1424">
            <v>767.74581370187559</v>
          </cell>
          <cell r="F1424">
            <v>747.47801289566223</v>
          </cell>
          <cell r="K1424">
            <v>654.71569595261599</v>
          </cell>
          <cell r="O1424">
            <v>674.77139507620154</v>
          </cell>
        </row>
        <row r="1425">
          <cell r="B1425">
            <v>767.67087109575527</v>
          </cell>
          <cell r="F1425">
            <v>747.62449341539661</v>
          </cell>
          <cell r="K1425">
            <v>654.542941757157</v>
          </cell>
          <cell r="O1425">
            <v>674.79093395857763</v>
          </cell>
        </row>
        <row r="1426">
          <cell r="B1426">
            <v>767.58448346495572</v>
          </cell>
          <cell r="F1426">
            <v>747.77664668815953</v>
          </cell>
          <cell r="K1426">
            <v>654.36327739387968</v>
          </cell>
          <cell r="O1426">
            <v>674.80949589683473</v>
          </cell>
        </row>
        <row r="1427">
          <cell r="B1427">
            <v>767.49898215202381</v>
          </cell>
          <cell r="F1427">
            <v>747.91918802266514</v>
          </cell>
          <cell r="K1427">
            <v>654.1816386969399</v>
          </cell>
          <cell r="O1427">
            <v>674.8163345056663</v>
          </cell>
        </row>
        <row r="1428">
          <cell r="B1428">
            <v>767.41129835143147</v>
          </cell>
          <cell r="F1428">
            <v>748.05269270222743</v>
          </cell>
          <cell r="K1428">
            <v>654.00098716683124</v>
          </cell>
          <cell r="O1428">
            <v>674.82415005861674</v>
          </cell>
        </row>
        <row r="1429">
          <cell r="B1429">
            <v>767.33144918065159</v>
          </cell>
          <cell r="F1429">
            <v>748.19728118405624</v>
          </cell>
          <cell r="K1429">
            <v>653.82428430404741</v>
          </cell>
          <cell r="O1429">
            <v>674.83587338804216</v>
          </cell>
        </row>
        <row r="1430">
          <cell r="B1430">
            <v>767.25037235932871</v>
          </cell>
          <cell r="F1430">
            <v>748.34187423798357</v>
          </cell>
          <cell r="K1430">
            <v>653.64659427443235</v>
          </cell>
          <cell r="O1430">
            <v>674.8475967174677</v>
          </cell>
        </row>
        <row r="1431">
          <cell r="B1431">
            <v>767.15552857847979</v>
          </cell>
          <cell r="F1431">
            <v>748.48659555978907</v>
          </cell>
          <cell r="K1431">
            <v>653.4600197433366</v>
          </cell>
          <cell r="O1431">
            <v>674.85638921453699</v>
          </cell>
        </row>
        <row r="1432">
          <cell r="B1432">
            <v>767.05597745310945</v>
          </cell>
          <cell r="F1432">
            <v>748.61686256350151</v>
          </cell>
          <cell r="K1432">
            <v>653.26949654491602</v>
          </cell>
          <cell r="O1432">
            <v>674.86127393513095</v>
          </cell>
        </row>
        <row r="1433">
          <cell r="B1433">
            <v>766.97353097235941</v>
          </cell>
          <cell r="F1433">
            <v>748.74942180539279</v>
          </cell>
          <cell r="K1433">
            <v>653.09081934846995</v>
          </cell>
          <cell r="O1433">
            <v>674.86518171160617</v>
          </cell>
        </row>
        <row r="1434">
          <cell r="B1434">
            <v>766.90145027640676</v>
          </cell>
          <cell r="F1434">
            <v>748.90174036733094</v>
          </cell>
          <cell r="K1434">
            <v>652.92102665350444</v>
          </cell>
          <cell r="O1434">
            <v>674.88081281750681</v>
          </cell>
        </row>
        <row r="1435">
          <cell r="B1435">
            <v>766.80516529121417</v>
          </cell>
          <cell r="F1435">
            <v>749.0440633743649</v>
          </cell>
          <cell r="K1435">
            <v>652.73346495557746</v>
          </cell>
          <cell r="O1435">
            <v>674.8935130910512</v>
          </cell>
        </row>
        <row r="1436">
          <cell r="B1436">
            <v>766.71323163869693</v>
          </cell>
          <cell r="F1436">
            <v>749.18410113813991</v>
          </cell>
          <cell r="K1436">
            <v>652.54689042448172</v>
          </cell>
          <cell r="O1436">
            <v>674.90719030871435</v>
          </cell>
        </row>
        <row r="1437">
          <cell r="B1437">
            <v>766.61912348469889</v>
          </cell>
          <cell r="F1437">
            <v>749.33523177999223</v>
          </cell>
          <cell r="K1437">
            <v>652.3613030602171</v>
          </cell>
          <cell r="O1437">
            <v>674.92477530285271</v>
          </cell>
        </row>
        <row r="1438">
          <cell r="B1438">
            <v>766.52704542941751</v>
          </cell>
          <cell r="F1438">
            <v>749.47986022372015</v>
          </cell>
          <cell r="K1438">
            <v>652.17472852912135</v>
          </cell>
          <cell r="O1438">
            <v>674.93649863227824</v>
          </cell>
        </row>
        <row r="1439">
          <cell r="B1439">
            <v>766.44069685587374</v>
          </cell>
          <cell r="F1439">
            <v>749.62232317311464</v>
          </cell>
          <cell r="K1439">
            <v>651.99308983218168</v>
          </cell>
          <cell r="O1439">
            <v>674.94626807346629</v>
          </cell>
        </row>
        <row r="1440">
          <cell r="B1440">
            <v>766.3336088351432</v>
          </cell>
          <cell r="F1440">
            <v>749.76021080011731</v>
          </cell>
          <cell r="K1440">
            <v>651.79664363277402</v>
          </cell>
          <cell r="O1440">
            <v>674.95799140289182</v>
          </cell>
        </row>
        <row r="1441">
          <cell r="B1441">
            <v>766.22760698914124</v>
          </cell>
          <cell r="F1441">
            <v>749.91027948417343</v>
          </cell>
          <cell r="K1441">
            <v>651.60118460019748</v>
          </cell>
          <cell r="O1441">
            <v>674.97459945291132</v>
          </cell>
        </row>
        <row r="1442">
          <cell r="B1442">
            <v>766.12246586377103</v>
          </cell>
          <cell r="F1442">
            <v>750.05613040250091</v>
          </cell>
          <cell r="K1442">
            <v>651.40375123395859</v>
          </cell>
          <cell r="O1442">
            <v>674.98436889409913</v>
          </cell>
        </row>
        <row r="1443">
          <cell r="B1443">
            <v>766.00586327739381</v>
          </cell>
          <cell r="F1443">
            <v>750.15943184349351</v>
          </cell>
          <cell r="K1443">
            <v>651.19940769990126</v>
          </cell>
          <cell r="O1443">
            <v>674.98925361469321</v>
          </cell>
        </row>
        <row r="1444">
          <cell r="B1444">
            <v>765.89382860809485</v>
          </cell>
          <cell r="F1444">
            <v>750.19414950175849</v>
          </cell>
          <cell r="K1444">
            <v>650.99901283316888</v>
          </cell>
          <cell r="O1444">
            <v>674.99316139116843</v>
          </cell>
        </row>
        <row r="1445">
          <cell r="B1445">
            <v>765.77800227541945</v>
          </cell>
          <cell r="F1445">
            <v>750.32674208675246</v>
          </cell>
          <cell r="K1445">
            <v>650.79269496544907</v>
          </cell>
          <cell r="O1445">
            <v>674.99706916764353</v>
          </cell>
        </row>
        <row r="1446">
          <cell r="B1446">
            <v>765.66767197433376</v>
          </cell>
          <cell r="F1446">
            <v>750.46596964634637</v>
          </cell>
          <cell r="K1446">
            <v>650.58835143139197</v>
          </cell>
          <cell r="O1446">
            <v>675.00390777647522</v>
          </cell>
        </row>
        <row r="1447">
          <cell r="B1447">
            <v>765.55400801579458</v>
          </cell>
          <cell r="F1447">
            <v>750.610863618601</v>
          </cell>
          <cell r="K1447">
            <v>650.38400789733464</v>
          </cell>
          <cell r="O1447">
            <v>675.00976944118793</v>
          </cell>
        </row>
        <row r="1448">
          <cell r="B1448">
            <v>765.43794002961499</v>
          </cell>
          <cell r="F1448">
            <v>750.74466362837063</v>
          </cell>
          <cell r="K1448">
            <v>650.17769002961495</v>
          </cell>
          <cell r="O1448">
            <v>675.01172332942565</v>
          </cell>
        </row>
        <row r="1449">
          <cell r="B1449">
            <v>765.31946686080937</v>
          </cell>
          <cell r="F1449">
            <v>750.8761760697538</v>
          </cell>
          <cell r="K1449">
            <v>649.9693978282329</v>
          </cell>
          <cell r="O1449">
            <v>675.014654161782</v>
          </cell>
        </row>
        <row r="1450">
          <cell r="B1450">
            <v>765.18463673247788</v>
          </cell>
          <cell r="F1450">
            <v>751.01095039566258</v>
          </cell>
          <cell r="K1450">
            <v>649.74728529121433</v>
          </cell>
          <cell r="O1450">
            <v>675.02051582649483</v>
          </cell>
        </row>
        <row r="1451">
          <cell r="B1451">
            <v>765.06251016781823</v>
          </cell>
          <cell r="F1451">
            <v>751.14051890386872</v>
          </cell>
          <cell r="K1451">
            <v>649.53603158933856</v>
          </cell>
          <cell r="O1451">
            <v>675.01563110590075</v>
          </cell>
        </row>
        <row r="1452">
          <cell r="B1452">
            <v>764.93938045409675</v>
          </cell>
          <cell r="F1452">
            <v>751.27214695193436</v>
          </cell>
          <cell r="K1452">
            <v>649.32675222112539</v>
          </cell>
          <cell r="O1452">
            <v>675.01563110590075</v>
          </cell>
        </row>
        <row r="1453">
          <cell r="B1453">
            <v>764.81219422507411</v>
          </cell>
          <cell r="F1453">
            <v>751.41236236811244</v>
          </cell>
          <cell r="K1453">
            <v>649.10858835143142</v>
          </cell>
          <cell r="O1453">
            <v>675.02637749120743</v>
          </cell>
        </row>
        <row r="1454">
          <cell r="B1454">
            <v>764.68865620927932</v>
          </cell>
          <cell r="F1454">
            <v>751.55040650644776</v>
          </cell>
          <cell r="K1454">
            <v>648.89634748272454</v>
          </cell>
          <cell r="O1454">
            <v>675.03516998827661</v>
          </cell>
        </row>
        <row r="1455">
          <cell r="B1455">
            <v>764.56595180157944</v>
          </cell>
          <cell r="F1455">
            <v>751.69629230168039</v>
          </cell>
          <cell r="K1455">
            <v>648.6821322803554</v>
          </cell>
          <cell r="O1455">
            <v>675.04493942946465</v>
          </cell>
        </row>
        <row r="1456">
          <cell r="B1456">
            <v>764.42595482724573</v>
          </cell>
          <cell r="F1456">
            <v>751.833366398007</v>
          </cell>
          <cell r="K1456">
            <v>648.45607107601177</v>
          </cell>
          <cell r="O1456">
            <v>675.04982415005861</v>
          </cell>
        </row>
        <row r="1457">
          <cell r="B1457">
            <v>764.28819749753211</v>
          </cell>
          <cell r="F1457">
            <v>751.96271411684256</v>
          </cell>
          <cell r="K1457">
            <v>648.23198420533072</v>
          </cell>
          <cell r="O1457">
            <v>675.05080109417747</v>
          </cell>
        </row>
        <row r="1458">
          <cell r="B1458">
            <v>764.15384506416581</v>
          </cell>
          <cell r="F1458">
            <v>752.08879689331775</v>
          </cell>
          <cell r="K1458">
            <v>648.01085883514315</v>
          </cell>
          <cell r="O1458">
            <v>675.04884720593986</v>
          </cell>
        </row>
        <row r="1459">
          <cell r="B1459">
            <v>764.12505109575523</v>
          </cell>
          <cell r="F1459">
            <v>752.23578162856597</v>
          </cell>
          <cell r="K1459">
            <v>647.96446199407706</v>
          </cell>
          <cell r="O1459">
            <v>675.05959359124665</v>
          </cell>
        </row>
        <row r="1460">
          <cell r="B1460">
            <v>764.02057068114516</v>
          </cell>
          <cell r="F1460">
            <v>752.37504001563116</v>
          </cell>
          <cell r="K1460">
            <v>647.79072063178683</v>
          </cell>
          <cell r="O1460">
            <v>675.06643220007822</v>
          </cell>
        </row>
        <row r="1461">
          <cell r="B1461">
            <v>763.8976907798617</v>
          </cell>
          <cell r="F1461">
            <v>752.50983669402103</v>
          </cell>
          <cell r="K1461">
            <v>647.57946692991118</v>
          </cell>
          <cell r="O1461">
            <v>675.07229386479082</v>
          </cell>
        </row>
        <row r="1462">
          <cell r="B1462">
            <v>763.77680065152992</v>
          </cell>
          <cell r="F1462">
            <v>752.62927911781958</v>
          </cell>
          <cell r="K1462">
            <v>647.36722606120429</v>
          </cell>
          <cell r="O1462">
            <v>675.06740914419709</v>
          </cell>
        </row>
        <row r="1463">
          <cell r="B1463">
            <v>763.62463293188546</v>
          </cell>
          <cell r="F1463">
            <v>752.75111283704575</v>
          </cell>
          <cell r="K1463">
            <v>647.13129318854885</v>
          </cell>
          <cell r="O1463">
            <v>675.05861664712791</v>
          </cell>
        </row>
        <row r="1464">
          <cell r="B1464">
            <v>763.47793781342546</v>
          </cell>
          <cell r="F1464">
            <v>752.88809050410327</v>
          </cell>
          <cell r="K1464">
            <v>646.89733464955577</v>
          </cell>
          <cell r="O1464">
            <v>675.06643220007822</v>
          </cell>
        </row>
        <row r="1465">
          <cell r="B1465">
            <v>763.33347964461996</v>
          </cell>
          <cell r="F1465">
            <v>753.02408748534583</v>
          </cell>
          <cell r="K1465">
            <v>646.66535044422506</v>
          </cell>
          <cell r="O1465">
            <v>675.07033997655333</v>
          </cell>
        </row>
        <row r="1466">
          <cell r="B1466">
            <v>763.19009414610082</v>
          </cell>
          <cell r="F1466">
            <v>753.15017096522058</v>
          </cell>
          <cell r="K1466">
            <v>646.43435340572569</v>
          </cell>
          <cell r="O1466">
            <v>675.06838608831561</v>
          </cell>
        </row>
        <row r="1467">
          <cell r="B1467">
            <v>763.04804785784802</v>
          </cell>
          <cell r="F1467">
            <v>753.2732979874952</v>
          </cell>
          <cell r="K1467">
            <v>646.20730503455093</v>
          </cell>
          <cell r="O1467">
            <v>675.05470887065269</v>
          </cell>
        </row>
        <row r="1468">
          <cell r="B1468">
            <v>762.88402961500492</v>
          </cell>
          <cell r="F1468">
            <v>753.39610674091443</v>
          </cell>
          <cell r="K1468">
            <v>645.96446199407694</v>
          </cell>
          <cell r="O1468">
            <v>675.04982415005861</v>
          </cell>
        </row>
        <row r="1469">
          <cell r="B1469">
            <v>762.71704797630809</v>
          </cell>
          <cell r="F1469">
            <v>753.51891363813991</v>
          </cell>
          <cell r="K1469">
            <v>645.71372161895363</v>
          </cell>
          <cell r="O1469">
            <v>675.04493942946465</v>
          </cell>
        </row>
        <row r="1470">
          <cell r="B1470">
            <v>762.55400747285296</v>
          </cell>
          <cell r="F1470">
            <v>753.65501333528732</v>
          </cell>
          <cell r="K1470">
            <v>645.47186574531099</v>
          </cell>
          <cell r="O1470">
            <v>675.04591637358351</v>
          </cell>
        </row>
        <row r="1471">
          <cell r="B1471">
            <v>762.40082664363263</v>
          </cell>
          <cell r="F1471">
            <v>753.79002251856195</v>
          </cell>
          <cell r="K1471">
            <v>645.23297137216184</v>
          </cell>
          <cell r="O1471">
            <v>675.04591637358351</v>
          </cell>
        </row>
        <row r="1472">
          <cell r="B1472">
            <v>762.22799262092792</v>
          </cell>
          <cell r="F1472">
            <v>753.91500797186404</v>
          </cell>
          <cell r="K1472">
            <v>644.98025666337605</v>
          </cell>
          <cell r="O1472">
            <v>675.04298554122704</v>
          </cell>
        </row>
        <row r="1473">
          <cell r="B1473">
            <v>762.05272641658439</v>
          </cell>
          <cell r="F1473">
            <v>754.0456514263384</v>
          </cell>
          <cell r="K1473">
            <v>644.7255676209279</v>
          </cell>
          <cell r="O1473">
            <v>675.03907776475182</v>
          </cell>
        </row>
        <row r="1474">
          <cell r="B1474">
            <v>761.90014378578485</v>
          </cell>
          <cell r="F1474">
            <v>754.17291814185216</v>
          </cell>
          <cell r="K1474">
            <v>644.48469891411651</v>
          </cell>
          <cell r="O1474">
            <v>675.03516998827661</v>
          </cell>
        </row>
        <row r="1475">
          <cell r="B1475">
            <v>761.72818069101686</v>
          </cell>
          <cell r="F1475">
            <v>754.3110999999999</v>
          </cell>
          <cell r="K1475">
            <v>644.23297137216196</v>
          </cell>
          <cell r="O1475">
            <v>675.04103165298943</v>
          </cell>
        </row>
        <row r="1476">
          <cell r="B1476">
            <v>761.55233490621924</v>
          </cell>
          <cell r="F1476">
            <v>754.44154150058625</v>
          </cell>
          <cell r="K1476">
            <v>643.97532082922021</v>
          </cell>
          <cell r="O1476">
            <v>675.04298554122704</v>
          </cell>
        </row>
        <row r="1477">
          <cell r="B1477">
            <v>761.38455926949655</v>
          </cell>
          <cell r="F1477">
            <v>754.56433947831181</v>
          </cell>
          <cell r="K1477">
            <v>643.72458045409678</v>
          </cell>
          <cell r="O1477">
            <v>675.03810082063308</v>
          </cell>
        </row>
        <row r="1478">
          <cell r="B1478">
            <v>761.215515538006</v>
          </cell>
          <cell r="F1478">
            <v>754.69944557444308</v>
          </cell>
          <cell r="K1478">
            <v>643.47285291214223</v>
          </cell>
          <cell r="O1478">
            <v>675.03516998827661</v>
          </cell>
        </row>
        <row r="1479">
          <cell r="B1479">
            <v>761.04549099210271</v>
          </cell>
          <cell r="F1479">
            <v>754.83882234271198</v>
          </cell>
          <cell r="K1479">
            <v>643.22309970385004</v>
          </cell>
          <cell r="O1479">
            <v>675.03907776475182</v>
          </cell>
        </row>
        <row r="1480">
          <cell r="B1480">
            <v>761.0116503553802</v>
          </cell>
          <cell r="F1480">
            <v>754.96489452911294</v>
          </cell>
          <cell r="K1480">
            <v>643.17275419545911</v>
          </cell>
          <cell r="O1480">
            <v>675.03712387651422</v>
          </cell>
        </row>
        <row r="1481">
          <cell r="B1481">
            <v>760.87536904244826</v>
          </cell>
          <cell r="F1481">
            <v>755.09106271981238</v>
          </cell>
          <cell r="K1481">
            <v>642.97334649555785</v>
          </cell>
          <cell r="O1481">
            <v>675.03223915592025</v>
          </cell>
        </row>
        <row r="1482">
          <cell r="B1482">
            <v>760.6990162586377</v>
          </cell>
          <cell r="F1482">
            <v>755.22616529894492</v>
          </cell>
          <cell r="K1482">
            <v>642.71569595261599</v>
          </cell>
          <cell r="O1482">
            <v>675.0293083235639</v>
          </cell>
        </row>
        <row r="1483">
          <cell r="B1483">
            <v>760.50736889437314</v>
          </cell>
          <cell r="F1483">
            <v>755.3536142047675</v>
          </cell>
          <cell r="K1483">
            <v>642.44521224086873</v>
          </cell>
          <cell r="O1483">
            <v>675.01953888237585</v>
          </cell>
        </row>
        <row r="1484">
          <cell r="B1484">
            <v>760.31911966436314</v>
          </cell>
          <cell r="F1484">
            <v>755.46993540445487</v>
          </cell>
          <cell r="K1484">
            <v>642.17769002961495</v>
          </cell>
          <cell r="O1484">
            <v>675.00586166471282</v>
          </cell>
        </row>
        <row r="1485">
          <cell r="B1485">
            <v>760.12755387462971</v>
          </cell>
          <cell r="F1485">
            <v>755.5928128175068</v>
          </cell>
          <cell r="K1485">
            <v>641.91016781836129</v>
          </cell>
          <cell r="O1485">
            <v>674.99804611176239</v>
          </cell>
        </row>
        <row r="1486">
          <cell r="B1486">
            <v>759.93120710760138</v>
          </cell>
          <cell r="F1486">
            <v>755.7134996189917</v>
          </cell>
          <cell r="K1486">
            <v>641.6386969397829</v>
          </cell>
          <cell r="O1486">
            <v>674.98827667057446</v>
          </cell>
        </row>
        <row r="1487">
          <cell r="B1487">
            <v>759.74030001974324</v>
          </cell>
          <cell r="F1487">
            <v>755.83765044939423</v>
          </cell>
          <cell r="K1487">
            <v>641.36920039486665</v>
          </cell>
          <cell r="O1487">
            <v>674.97557639703007</v>
          </cell>
        </row>
        <row r="1488">
          <cell r="B1488">
            <v>759.54023188055282</v>
          </cell>
          <cell r="F1488">
            <v>755.96480164126615</v>
          </cell>
          <cell r="K1488">
            <v>641.09476801579467</v>
          </cell>
          <cell r="O1488">
            <v>674.97459945291132</v>
          </cell>
        </row>
        <row r="1489">
          <cell r="B1489">
            <v>759.33390282823291</v>
          </cell>
          <cell r="F1489">
            <v>756.08319763579527</v>
          </cell>
          <cell r="K1489">
            <v>640.81243830207302</v>
          </cell>
          <cell r="O1489">
            <v>674.96580695584214</v>
          </cell>
        </row>
        <row r="1490">
          <cell r="B1490">
            <v>759.14002309970385</v>
          </cell>
          <cell r="F1490">
            <v>756.20177256740908</v>
          </cell>
          <cell r="K1490">
            <v>640.53800592300104</v>
          </cell>
          <cell r="O1490">
            <v>674.95115279406014</v>
          </cell>
        </row>
        <row r="1491">
          <cell r="B1491">
            <v>758.94313864758135</v>
          </cell>
          <cell r="F1491">
            <v>756.32253112543947</v>
          </cell>
          <cell r="K1491">
            <v>640.26653504442243</v>
          </cell>
          <cell r="O1491">
            <v>674.93845252051574</v>
          </cell>
        </row>
        <row r="1492">
          <cell r="B1492">
            <v>758.74466693484703</v>
          </cell>
          <cell r="F1492">
            <v>756.43763027549824</v>
          </cell>
          <cell r="K1492">
            <v>639.99111549851932</v>
          </cell>
          <cell r="O1492">
            <v>674.9267291910902</v>
          </cell>
        </row>
        <row r="1493">
          <cell r="B1493">
            <v>758.54226037512331</v>
          </cell>
          <cell r="F1493">
            <v>756.57489512504901</v>
          </cell>
          <cell r="K1493">
            <v>639.70977295162879</v>
          </cell>
          <cell r="O1493">
            <v>674.92575224697157</v>
          </cell>
        </row>
        <row r="1494">
          <cell r="B1494">
            <v>758.32078119447203</v>
          </cell>
          <cell r="F1494">
            <v>756.70541032629933</v>
          </cell>
          <cell r="K1494">
            <v>639.42053307008894</v>
          </cell>
          <cell r="O1494">
            <v>674.92477530285271</v>
          </cell>
        </row>
        <row r="1495">
          <cell r="B1495">
            <v>758.1040953405726</v>
          </cell>
          <cell r="F1495">
            <v>756.82396254396247</v>
          </cell>
          <cell r="K1495">
            <v>639.12734452122413</v>
          </cell>
          <cell r="O1495">
            <v>674.9101211410707</v>
          </cell>
        </row>
        <row r="1496">
          <cell r="B1496">
            <v>757.89229302073056</v>
          </cell>
          <cell r="F1496">
            <v>756.94579603360683</v>
          </cell>
          <cell r="K1496">
            <v>638.84106614017776</v>
          </cell>
          <cell r="O1496">
            <v>674.89839781164517</v>
          </cell>
        </row>
        <row r="1497">
          <cell r="B1497">
            <v>757.68271884501473</v>
          </cell>
          <cell r="F1497">
            <v>757.06872074052364</v>
          </cell>
          <cell r="K1497">
            <v>638.55676209279363</v>
          </cell>
          <cell r="O1497">
            <v>674.88765142633849</v>
          </cell>
        </row>
        <row r="1498">
          <cell r="B1498">
            <v>757.46919312931891</v>
          </cell>
          <cell r="F1498">
            <v>757.18160410316534</v>
          </cell>
          <cell r="K1498">
            <v>638.26653504442254</v>
          </cell>
          <cell r="O1498">
            <v>674.87397420867524</v>
          </cell>
        </row>
        <row r="1499">
          <cell r="B1499">
            <v>757.25704544916084</v>
          </cell>
          <cell r="F1499">
            <v>757.30553054904271</v>
          </cell>
          <cell r="K1499">
            <v>637.98025666337605</v>
          </cell>
          <cell r="O1499">
            <v>674.86713559984378</v>
          </cell>
        </row>
        <row r="1500">
          <cell r="B1500">
            <v>757.02889343534071</v>
          </cell>
          <cell r="F1500">
            <v>757.42962403282536</v>
          </cell>
          <cell r="K1500">
            <v>637.67522211253709</v>
          </cell>
          <cell r="O1500">
            <v>674.85443532629938</v>
          </cell>
        </row>
        <row r="1501">
          <cell r="B1501">
            <v>756.93490600197424</v>
          </cell>
          <cell r="F1501">
            <v>757.5426613520907</v>
          </cell>
          <cell r="K1501">
            <v>637.55577492596251</v>
          </cell>
          <cell r="O1501">
            <v>674.83489644392341</v>
          </cell>
        </row>
        <row r="1502">
          <cell r="B1502">
            <v>756.79072320829221</v>
          </cell>
          <cell r="F1502">
            <v>757.65771761430233</v>
          </cell>
          <cell r="K1502">
            <v>637.36722606120429</v>
          </cell>
          <cell r="O1502">
            <v>674.82317311449776</v>
          </cell>
        </row>
        <row r="1503">
          <cell r="B1503">
            <v>756.57001472852915</v>
          </cell>
          <cell r="F1503">
            <v>757.77394936987116</v>
          </cell>
          <cell r="K1503">
            <v>637.0740375123396</v>
          </cell>
          <cell r="O1503">
            <v>674.80949589683473</v>
          </cell>
        </row>
        <row r="1504">
          <cell r="B1504">
            <v>756.34416515301086</v>
          </cell>
          <cell r="F1504">
            <v>757.89143747557648</v>
          </cell>
          <cell r="K1504">
            <v>636.77393879565648</v>
          </cell>
          <cell r="O1504">
            <v>674.79093395857763</v>
          </cell>
        </row>
        <row r="1505">
          <cell r="B1505">
            <v>756.11819253701879</v>
          </cell>
          <cell r="F1505">
            <v>758.01660015631114</v>
          </cell>
          <cell r="K1505">
            <v>636.47384007897335</v>
          </cell>
          <cell r="O1505">
            <v>674.77921062915198</v>
          </cell>
        </row>
        <row r="1506">
          <cell r="B1506">
            <v>755.87517880059227</v>
          </cell>
          <cell r="F1506">
            <v>758.13171741891369</v>
          </cell>
          <cell r="K1506">
            <v>636.16485686080944</v>
          </cell>
          <cell r="O1506">
            <v>674.76455646737008</v>
          </cell>
        </row>
        <row r="1507">
          <cell r="B1507">
            <v>755.62969832181636</v>
          </cell>
          <cell r="F1507">
            <v>758.24792680246196</v>
          </cell>
          <cell r="K1507">
            <v>635.85389930898327</v>
          </cell>
          <cell r="O1507">
            <v>674.75087924970694</v>
          </cell>
        </row>
        <row r="1508">
          <cell r="B1508">
            <v>755.38610096742332</v>
          </cell>
          <cell r="F1508">
            <v>758.36648607854636</v>
          </cell>
          <cell r="K1508">
            <v>635.54195459032564</v>
          </cell>
          <cell r="O1508">
            <v>674.73329425556858</v>
          </cell>
        </row>
        <row r="1509">
          <cell r="B1509">
            <v>755.1396873889438</v>
          </cell>
          <cell r="F1509">
            <v>758.48276279796801</v>
          </cell>
          <cell r="K1509">
            <v>635.22507403751229</v>
          </cell>
          <cell r="O1509">
            <v>674.71668620554908</v>
          </cell>
        </row>
        <row r="1510">
          <cell r="B1510">
            <v>754.89031594274422</v>
          </cell>
          <cell r="F1510">
            <v>758.59354073856969</v>
          </cell>
          <cell r="K1510">
            <v>634.91115498519252</v>
          </cell>
          <cell r="O1510">
            <v>674.6951934349355</v>
          </cell>
        </row>
        <row r="1511">
          <cell r="B1511">
            <v>754.65386278381038</v>
          </cell>
          <cell r="F1511">
            <v>758.70305640875358</v>
          </cell>
          <cell r="K1511">
            <v>634.60019743336625</v>
          </cell>
          <cell r="O1511">
            <v>674.67858538491612</v>
          </cell>
        </row>
        <row r="1512">
          <cell r="B1512">
            <v>754.40506554787748</v>
          </cell>
          <cell r="F1512">
            <v>758.82700404454874</v>
          </cell>
          <cell r="K1512">
            <v>634.28430404738401</v>
          </cell>
          <cell r="O1512">
            <v>674.66881594372808</v>
          </cell>
        </row>
        <row r="1513">
          <cell r="B1513">
            <v>754.1408758736427</v>
          </cell>
          <cell r="F1513">
            <v>758.94098048554133</v>
          </cell>
          <cell r="K1513">
            <v>633.95557749259638</v>
          </cell>
          <cell r="O1513">
            <v>674.65318483782733</v>
          </cell>
        </row>
        <row r="1514">
          <cell r="B1514">
            <v>753.8753801974334</v>
          </cell>
          <cell r="F1514">
            <v>759.06719320046886</v>
          </cell>
          <cell r="K1514">
            <v>633.62586377097728</v>
          </cell>
          <cell r="O1514">
            <v>674.64243845252042</v>
          </cell>
        </row>
        <row r="1515">
          <cell r="B1515">
            <v>753.62231682625873</v>
          </cell>
          <cell r="F1515">
            <v>759.18563077373972</v>
          </cell>
          <cell r="K1515">
            <v>633.30404738400796</v>
          </cell>
          <cell r="O1515">
            <v>674.62778429073853</v>
          </cell>
        </row>
        <row r="1516">
          <cell r="B1516">
            <v>753.36595659921034</v>
          </cell>
          <cell r="F1516">
            <v>759.29306658851124</v>
          </cell>
          <cell r="K1516">
            <v>632.98223099703853</v>
          </cell>
          <cell r="O1516">
            <v>674.60336068776871</v>
          </cell>
        </row>
        <row r="1517">
          <cell r="B1517">
            <v>753.10087981243851</v>
          </cell>
          <cell r="F1517">
            <v>759.3960199589684</v>
          </cell>
          <cell r="K1517">
            <v>632.65054294175729</v>
          </cell>
          <cell r="O1517">
            <v>674.57796014068003</v>
          </cell>
        </row>
        <row r="1518">
          <cell r="B1518">
            <v>752.82310295162893</v>
          </cell>
          <cell r="F1518">
            <v>759.50783606389234</v>
          </cell>
          <cell r="K1518">
            <v>632.31095755182628</v>
          </cell>
          <cell r="O1518">
            <v>674.55744431418532</v>
          </cell>
        </row>
        <row r="1519">
          <cell r="B1519">
            <v>752.55305216683121</v>
          </cell>
          <cell r="F1519">
            <v>759.62184430441584</v>
          </cell>
          <cell r="K1519">
            <v>631.9753208292201</v>
          </cell>
          <cell r="O1519">
            <v>674.5388823759281</v>
          </cell>
        </row>
        <row r="1520">
          <cell r="B1520">
            <v>752.27816090819351</v>
          </cell>
          <cell r="F1520">
            <v>759.65344281946068</v>
          </cell>
          <cell r="K1520">
            <v>631.63573543928919</v>
          </cell>
          <cell r="O1520">
            <v>674.53399765533402</v>
          </cell>
        </row>
        <row r="1521">
          <cell r="B1521">
            <v>752.00313041954598</v>
          </cell>
          <cell r="F1521">
            <v>759.73254402110217</v>
          </cell>
          <cell r="K1521">
            <v>631.2961500493584</v>
          </cell>
          <cell r="O1521">
            <v>674.51738960531463</v>
          </cell>
        </row>
        <row r="1522">
          <cell r="B1522">
            <v>751.89252251727544</v>
          </cell>
          <cell r="F1522">
            <v>759.84763738765139</v>
          </cell>
          <cell r="K1522">
            <v>631.16090819348472</v>
          </cell>
          <cell r="O1522">
            <v>674.49980461117616</v>
          </cell>
        </row>
        <row r="1523">
          <cell r="B1523">
            <v>751.73501742349447</v>
          </cell>
          <cell r="F1523">
            <v>759.96609613130147</v>
          </cell>
          <cell r="K1523">
            <v>630.96248766041458</v>
          </cell>
          <cell r="O1523">
            <v>674.48221961703803</v>
          </cell>
        </row>
        <row r="1524">
          <cell r="B1524">
            <v>751.45302762092808</v>
          </cell>
          <cell r="F1524">
            <v>760.07684092907391</v>
          </cell>
          <cell r="K1524">
            <v>630.61994076999019</v>
          </cell>
          <cell r="O1524">
            <v>674.45779601406798</v>
          </cell>
        </row>
        <row r="1525">
          <cell r="B1525">
            <v>751.18190967423482</v>
          </cell>
          <cell r="F1525">
            <v>760.1819325322391</v>
          </cell>
          <cell r="K1525">
            <v>630.28134254689041</v>
          </cell>
          <cell r="O1525">
            <v>674.4343493552168</v>
          </cell>
        </row>
        <row r="1526">
          <cell r="B1526">
            <v>750.89140614017776</v>
          </cell>
          <cell r="F1526">
            <v>760.2804069314185</v>
          </cell>
          <cell r="K1526">
            <v>629.93188548864759</v>
          </cell>
          <cell r="O1526">
            <v>674.40504103165301</v>
          </cell>
        </row>
        <row r="1527">
          <cell r="B1527">
            <v>750.59096456071086</v>
          </cell>
          <cell r="F1527">
            <v>760.39773063696748</v>
          </cell>
          <cell r="K1527">
            <v>629.57156959526162</v>
          </cell>
          <cell r="O1527">
            <v>674.38647909339579</v>
          </cell>
        </row>
        <row r="1528">
          <cell r="B1528">
            <v>750.3021465251727</v>
          </cell>
          <cell r="F1528">
            <v>760.51167489253623</v>
          </cell>
          <cell r="K1528">
            <v>629.22112537018756</v>
          </cell>
          <cell r="O1528">
            <v>674.3679171551388</v>
          </cell>
        </row>
        <row r="1529">
          <cell r="B1529">
            <v>750.0210384995064</v>
          </cell>
          <cell r="F1529">
            <v>760.61569431418513</v>
          </cell>
          <cell r="K1529">
            <v>628.87462981243834</v>
          </cell>
          <cell r="O1529">
            <v>674.3405627198124</v>
          </cell>
        </row>
        <row r="1530">
          <cell r="B1530">
            <v>749.72643447186579</v>
          </cell>
          <cell r="F1530">
            <v>760.71976795623289</v>
          </cell>
          <cell r="K1530">
            <v>628.52221125370193</v>
          </cell>
          <cell r="O1530">
            <v>674.31027745212975</v>
          </cell>
        </row>
        <row r="1531">
          <cell r="B1531">
            <v>749.45131860809499</v>
          </cell>
          <cell r="F1531">
            <v>760.81715079132482</v>
          </cell>
          <cell r="K1531">
            <v>628.18361303060226</v>
          </cell>
          <cell r="O1531">
            <v>674.27706135209075</v>
          </cell>
        </row>
        <row r="1532">
          <cell r="B1532">
            <v>749.16428455083906</v>
          </cell>
          <cell r="F1532">
            <v>760.92223801778039</v>
          </cell>
          <cell r="K1532">
            <v>627.83514313919056</v>
          </cell>
          <cell r="O1532">
            <v>674.25068386088321</v>
          </cell>
        </row>
        <row r="1533">
          <cell r="B1533">
            <v>748.85314773938796</v>
          </cell>
          <cell r="F1533">
            <v>761.03834190113321</v>
          </cell>
          <cell r="K1533">
            <v>627.46396841066144</v>
          </cell>
          <cell r="O1533">
            <v>674.2340758108636</v>
          </cell>
        </row>
        <row r="1534">
          <cell r="B1534">
            <v>748.54578964955579</v>
          </cell>
          <cell r="F1534">
            <v>761.1511303927316</v>
          </cell>
          <cell r="K1534">
            <v>627.09871668311951</v>
          </cell>
          <cell r="O1534">
            <v>674.21453692848775</v>
          </cell>
        </row>
        <row r="1535">
          <cell r="B1535">
            <v>748.23592470878577</v>
          </cell>
          <cell r="F1535">
            <v>761.25281834701059</v>
          </cell>
          <cell r="K1535">
            <v>626.7314906219151</v>
          </cell>
          <cell r="O1535">
            <v>674.18815943728021</v>
          </cell>
        </row>
        <row r="1536">
          <cell r="B1536">
            <v>747.91489595261601</v>
          </cell>
          <cell r="F1536">
            <v>761.36001250000004</v>
          </cell>
          <cell r="K1536">
            <v>626.35241855873642</v>
          </cell>
          <cell r="O1536">
            <v>674.16666666666674</v>
          </cell>
        </row>
        <row r="1537">
          <cell r="B1537">
            <v>747.59765187068115</v>
          </cell>
          <cell r="F1537">
            <v>761.45732708577555</v>
          </cell>
          <cell r="K1537">
            <v>625.97926949654493</v>
          </cell>
          <cell r="O1537">
            <v>674.13345056662752</v>
          </cell>
        </row>
        <row r="1538">
          <cell r="B1538">
            <v>747.28886920039497</v>
          </cell>
          <cell r="F1538">
            <v>761.56799157385694</v>
          </cell>
          <cell r="K1538">
            <v>625.6080947680158</v>
          </cell>
          <cell r="O1538">
            <v>674.10609613130123</v>
          </cell>
        </row>
        <row r="1539">
          <cell r="B1539">
            <v>746.95598395853904</v>
          </cell>
          <cell r="F1539">
            <v>761.67178629835882</v>
          </cell>
          <cell r="K1539">
            <v>625.2221125370188</v>
          </cell>
          <cell r="O1539">
            <v>674.08460336068788</v>
          </cell>
        </row>
        <row r="1540">
          <cell r="B1540">
            <v>746.62335499506412</v>
          </cell>
          <cell r="F1540">
            <v>761.77685113325515</v>
          </cell>
          <cell r="K1540">
            <v>624.83909180651528</v>
          </cell>
          <cell r="O1540">
            <v>674.05529503712387</v>
          </cell>
        </row>
        <row r="1541">
          <cell r="B1541">
            <v>746.2960546495558</v>
          </cell>
          <cell r="F1541">
            <v>761.8785911000391</v>
          </cell>
          <cell r="K1541">
            <v>624.45804540967424</v>
          </cell>
          <cell r="O1541">
            <v>674.02305588120362</v>
          </cell>
        </row>
        <row r="1542">
          <cell r="B1542">
            <v>745.96227861796638</v>
          </cell>
          <cell r="F1542">
            <v>761.9770043962485</v>
          </cell>
          <cell r="K1542">
            <v>624.06910167818364</v>
          </cell>
          <cell r="O1542">
            <v>673.9878858929269</v>
          </cell>
        </row>
        <row r="1543">
          <cell r="B1543">
            <v>745.7622039091807</v>
          </cell>
          <cell r="F1543">
            <v>762.0708730949591</v>
          </cell>
          <cell r="K1543">
            <v>623.83909180651528</v>
          </cell>
          <cell r="O1543">
            <v>673.9546697928879</v>
          </cell>
        </row>
        <row r="1544">
          <cell r="B1544">
            <v>745.62488489141151</v>
          </cell>
          <cell r="F1544">
            <v>762.17030818679177</v>
          </cell>
          <cell r="K1544">
            <v>623.68509378084889</v>
          </cell>
          <cell r="O1544">
            <v>673.92340758108639</v>
          </cell>
        </row>
        <row r="1545">
          <cell r="B1545">
            <v>745.28531178677201</v>
          </cell>
          <cell r="F1545">
            <v>762.28199507131683</v>
          </cell>
          <cell r="K1545">
            <v>623.29417571569593</v>
          </cell>
          <cell r="O1545">
            <v>673.89703008987874</v>
          </cell>
        </row>
        <row r="1546">
          <cell r="B1546">
            <v>744.92829701875633</v>
          </cell>
          <cell r="F1546">
            <v>762.30126924579918</v>
          </cell>
          <cell r="K1546">
            <v>622.89141164856869</v>
          </cell>
          <cell r="O1546">
            <v>673.88726064869093</v>
          </cell>
        </row>
        <row r="1547">
          <cell r="B1547">
            <v>744.5931259871669</v>
          </cell>
          <cell r="F1547">
            <v>762.37924876905038</v>
          </cell>
          <cell r="K1547">
            <v>622.50444225074045</v>
          </cell>
          <cell r="O1547">
            <v>673.86088315748339</v>
          </cell>
        </row>
        <row r="1548">
          <cell r="B1548">
            <v>744.24716750246785</v>
          </cell>
          <cell r="F1548">
            <v>762.47643493552175</v>
          </cell>
          <cell r="K1548">
            <v>622.10858835143131</v>
          </cell>
          <cell r="O1548">
            <v>673.82766705744439</v>
          </cell>
        </row>
        <row r="1549">
          <cell r="B1549">
            <v>743.88140170779877</v>
          </cell>
          <cell r="F1549">
            <v>762.57139648300097</v>
          </cell>
          <cell r="K1549">
            <v>621.69891411648575</v>
          </cell>
          <cell r="O1549">
            <v>673.79249706916755</v>
          </cell>
        </row>
        <row r="1550">
          <cell r="B1550">
            <v>743.53896802566635</v>
          </cell>
          <cell r="F1550">
            <v>762.66307754982415</v>
          </cell>
          <cell r="K1550">
            <v>621.30108588351436</v>
          </cell>
          <cell r="O1550">
            <v>673.75146541617812</v>
          </cell>
        </row>
        <row r="1551">
          <cell r="B1551">
            <v>743.17317165844042</v>
          </cell>
          <cell r="F1551">
            <v>762.76359032825314</v>
          </cell>
          <cell r="K1551">
            <v>620.88647581441273</v>
          </cell>
          <cell r="O1551">
            <v>673.71824931613912</v>
          </cell>
        </row>
        <row r="1552">
          <cell r="B1552">
            <v>742.79774674234955</v>
          </cell>
          <cell r="F1552">
            <v>762.85961480070318</v>
          </cell>
          <cell r="K1552">
            <v>620.46396841066144</v>
          </cell>
          <cell r="O1552">
            <v>673.68405627198115</v>
          </cell>
        </row>
        <row r="1553">
          <cell r="B1553">
            <v>742.42495418558735</v>
          </cell>
          <cell r="F1553">
            <v>762.95346153282537</v>
          </cell>
          <cell r="K1553">
            <v>620.0463968410661</v>
          </cell>
          <cell r="O1553">
            <v>673.64497850722933</v>
          </cell>
        </row>
        <row r="1554">
          <cell r="B1554">
            <v>742.05435483711744</v>
          </cell>
          <cell r="F1554">
            <v>763.05614554513465</v>
          </cell>
          <cell r="K1554">
            <v>619.63079960513323</v>
          </cell>
          <cell r="O1554">
            <v>673.61371629542782</v>
          </cell>
        </row>
        <row r="1555">
          <cell r="B1555">
            <v>741.67885545903266</v>
          </cell>
          <cell r="F1555">
            <v>763.15540147518573</v>
          </cell>
          <cell r="K1555">
            <v>619.21125370187565</v>
          </cell>
          <cell r="O1555">
            <v>673.5853849159829</v>
          </cell>
        </row>
        <row r="1556">
          <cell r="B1556">
            <v>741.30273017769002</v>
          </cell>
          <cell r="F1556">
            <v>763.25589324443149</v>
          </cell>
          <cell r="K1556">
            <v>618.78874629812447</v>
          </cell>
          <cell r="O1556">
            <v>673.54923798358732</v>
          </cell>
        </row>
        <row r="1557">
          <cell r="B1557">
            <v>740.91578203356357</v>
          </cell>
          <cell r="F1557">
            <v>763.35743130128947</v>
          </cell>
          <cell r="K1557">
            <v>618.35735439289238</v>
          </cell>
          <cell r="O1557">
            <v>673.51699882766707</v>
          </cell>
        </row>
        <row r="1558">
          <cell r="B1558">
            <v>740.51327330700883</v>
          </cell>
          <cell r="F1558">
            <v>763.44225424970693</v>
          </cell>
          <cell r="K1558">
            <v>617.91312931885489</v>
          </cell>
          <cell r="O1558">
            <v>673.47596717467763</v>
          </cell>
        </row>
        <row r="1559">
          <cell r="B1559">
            <v>740.127605621915</v>
          </cell>
          <cell r="F1559">
            <v>763.5259977921063</v>
          </cell>
          <cell r="K1559">
            <v>617.48568608094763</v>
          </cell>
          <cell r="O1559">
            <v>673.43102774521299</v>
          </cell>
        </row>
        <row r="1560">
          <cell r="B1560">
            <v>739.74438293188553</v>
          </cell>
          <cell r="F1560">
            <v>763.61202582063322</v>
          </cell>
          <cell r="K1560">
            <v>617.05528134254689</v>
          </cell>
          <cell r="O1560">
            <v>673.38218053927324</v>
          </cell>
        </row>
        <row r="1561">
          <cell r="B1561">
            <v>739.35079012833182</v>
          </cell>
          <cell r="F1561">
            <v>763.70127240621332</v>
          </cell>
          <cell r="K1561">
            <v>616.61895360315896</v>
          </cell>
          <cell r="O1561">
            <v>673.34212583040244</v>
          </cell>
        </row>
        <row r="1562">
          <cell r="B1562">
            <v>738.95772725074028</v>
          </cell>
          <cell r="F1562">
            <v>763.78607000781562</v>
          </cell>
          <cell r="K1562">
            <v>616.18065153010855</v>
          </cell>
          <cell r="O1562">
            <v>673.29816334505665</v>
          </cell>
        </row>
        <row r="1563">
          <cell r="B1563">
            <v>738.55145105626855</v>
          </cell>
          <cell r="F1563">
            <v>763.87971751172336</v>
          </cell>
          <cell r="K1563">
            <v>615.7314906219151</v>
          </cell>
          <cell r="O1563">
            <v>673.26201641266118</v>
          </cell>
        </row>
        <row r="1564">
          <cell r="B1564">
            <v>738.31578858835155</v>
          </cell>
          <cell r="F1564">
            <v>763.9689964048456</v>
          </cell>
          <cell r="K1564">
            <v>615.47087857847987</v>
          </cell>
          <cell r="O1564">
            <v>673.21610003907767</v>
          </cell>
        </row>
        <row r="1565">
          <cell r="B1565">
            <v>738.14641095755178</v>
          </cell>
          <cell r="F1565">
            <v>764.04598012895656</v>
          </cell>
          <cell r="K1565">
            <v>615.29121421520233</v>
          </cell>
          <cell r="O1565">
            <v>673.16529894490031</v>
          </cell>
        </row>
        <row r="1566">
          <cell r="B1566">
            <v>737.73953109575518</v>
          </cell>
          <cell r="F1566">
            <v>764.12294353262996</v>
          </cell>
          <cell r="K1566">
            <v>614.84698914116484</v>
          </cell>
          <cell r="O1566">
            <v>673.11449785072296</v>
          </cell>
        </row>
        <row r="1567">
          <cell r="B1567">
            <v>737.31706827245807</v>
          </cell>
          <cell r="F1567">
            <v>764.21212579132475</v>
          </cell>
          <cell r="K1567">
            <v>614.38993089832184</v>
          </cell>
          <cell r="O1567">
            <v>673.07151230949592</v>
          </cell>
        </row>
        <row r="1568">
          <cell r="B1568">
            <v>736.89016351431394</v>
          </cell>
          <cell r="F1568">
            <v>764.30458184837835</v>
          </cell>
          <cell r="K1568">
            <v>613.93188548864759</v>
          </cell>
          <cell r="O1568">
            <v>673.0343884329817</v>
          </cell>
        </row>
        <row r="1569">
          <cell r="B1569">
            <v>736.47039536031593</v>
          </cell>
          <cell r="F1569">
            <v>764.3959855998437</v>
          </cell>
          <cell r="K1569">
            <v>613.47482724580459</v>
          </cell>
          <cell r="O1569">
            <v>672.9904259476358</v>
          </cell>
        </row>
        <row r="1570">
          <cell r="B1570">
            <v>736.03196143139189</v>
          </cell>
          <cell r="F1570">
            <v>764.48737088706525</v>
          </cell>
          <cell r="K1570">
            <v>613.00493583415596</v>
          </cell>
          <cell r="O1570">
            <v>672.94646346229001</v>
          </cell>
        </row>
        <row r="1571">
          <cell r="B1571">
            <v>735.59234720631787</v>
          </cell>
          <cell r="F1571">
            <v>764.55983266412682</v>
          </cell>
          <cell r="K1571">
            <v>612.52912142152024</v>
          </cell>
          <cell r="O1571">
            <v>672.88882375928108</v>
          </cell>
        </row>
        <row r="1572">
          <cell r="B1572">
            <v>735.16063625863762</v>
          </cell>
          <cell r="F1572">
            <v>764.60599500781564</v>
          </cell>
          <cell r="K1572">
            <v>612.06515301085881</v>
          </cell>
          <cell r="O1572">
            <v>672.87319265338022</v>
          </cell>
        </row>
        <row r="1573">
          <cell r="B1573">
            <v>734.7241778775915</v>
          </cell>
          <cell r="F1573">
            <v>764.64327259183278</v>
          </cell>
          <cell r="K1573">
            <v>611.59230009871681</v>
          </cell>
          <cell r="O1573">
            <v>672.84974599452914</v>
          </cell>
        </row>
        <row r="1574">
          <cell r="B1574">
            <v>734.27259936821338</v>
          </cell>
          <cell r="F1574">
            <v>764.74018663540437</v>
          </cell>
          <cell r="K1574">
            <v>611.10957551826266</v>
          </cell>
          <cell r="O1574">
            <v>672.80773739742085</v>
          </cell>
        </row>
        <row r="1575">
          <cell r="B1575">
            <v>733.82624391411639</v>
          </cell>
          <cell r="F1575">
            <v>764.83146559202817</v>
          </cell>
          <cell r="K1575">
            <v>610.62882527147087</v>
          </cell>
          <cell r="O1575">
            <v>672.76670574443142</v>
          </cell>
        </row>
        <row r="1576">
          <cell r="B1576">
            <v>733.36951175715694</v>
          </cell>
          <cell r="F1576">
            <v>764.91047746189918</v>
          </cell>
          <cell r="K1576">
            <v>610.14215202369201</v>
          </cell>
          <cell r="O1576">
            <v>672.71785853849156</v>
          </cell>
        </row>
        <row r="1577">
          <cell r="B1577">
            <v>732.91138845014814</v>
          </cell>
          <cell r="F1577">
            <v>764.98610644783105</v>
          </cell>
          <cell r="K1577">
            <v>609.65449160908202</v>
          </cell>
          <cell r="O1577">
            <v>672.66901133255169</v>
          </cell>
        </row>
        <row r="1578">
          <cell r="B1578">
            <v>732.4506864165844</v>
          </cell>
          <cell r="F1578">
            <v>765.07069446072694</v>
          </cell>
          <cell r="K1578">
            <v>609.16485686080944</v>
          </cell>
          <cell r="O1578">
            <v>672.61918718249319</v>
          </cell>
        </row>
        <row r="1579">
          <cell r="B1579">
            <v>731.96588470384995</v>
          </cell>
          <cell r="F1579">
            <v>765.14856442458006</v>
          </cell>
          <cell r="K1579">
            <v>608.6604146100691</v>
          </cell>
          <cell r="O1579">
            <v>672.56643220007822</v>
          </cell>
        </row>
        <row r="1580">
          <cell r="B1580">
            <v>731.49066959526169</v>
          </cell>
          <cell r="F1580">
            <v>765.21971532825319</v>
          </cell>
          <cell r="K1580">
            <v>608.1539980256664</v>
          </cell>
          <cell r="O1580">
            <v>672.51074638530667</v>
          </cell>
        </row>
        <row r="1581">
          <cell r="B1581">
            <v>731.01205480750241</v>
          </cell>
          <cell r="F1581">
            <v>765.28753530676056</v>
          </cell>
          <cell r="K1581">
            <v>607.65251727541954</v>
          </cell>
          <cell r="O1581">
            <v>672.44919890582264</v>
          </cell>
        </row>
        <row r="1582">
          <cell r="B1582">
            <v>730.52320460019757</v>
          </cell>
          <cell r="F1582">
            <v>765.35755409339595</v>
          </cell>
          <cell r="K1582">
            <v>607.14017769002976</v>
          </cell>
          <cell r="O1582">
            <v>672.38960531457599</v>
          </cell>
        </row>
        <row r="1583">
          <cell r="B1583">
            <v>730.03889115498521</v>
          </cell>
          <cell r="F1583">
            <v>765.42979787026184</v>
          </cell>
          <cell r="K1583">
            <v>606.63178677196447</v>
          </cell>
          <cell r="O1583">
            <v>672.32903477921059</v>
          </cell>
        </row>
        <row r="1584">
          <cell r="B1584">
            <v>729.55436418558736</v>
          </cell>
          <cell r="F1584">
            <v>765.50087971864002</v>
          </cell>
          <cell r="K1584">
            <v>606.1233958538993</v>
          </cell>
          <cell r="O1584">
            <v>672.2704181320828</v>
          </cell>
        </row>
        <row r="1585">
          <cell r="B1585">
            <v>729.16185849950648</v>
          </cell>
          <cell r="F1585">
            <v>765.57418596131311</v>
          </cell>
          <cell r="K1585">
            <v>605.71174728529127</v>
          </cell>
          <cell r="O1585">
            <v>672.21082454083637</v>
          </cell>
        </row>
        <row r="1586">
          <cell r="B1586">
            <v>729.06552133267508</v>
          </cell>
          <cell r="F1586">
            <v>765.64299358636185</v>
          </cell>
          <cell r="K1586">
            <v>605.60908193484693</v>
          </cell>
          <cell r="O1586">
            <v>672.15025400547086</v>
          </cell>
        </row>
        <row r="1587">
          <cell r="B1587">
            <v>728.57645732477806</v>
          </cell>
          <cell r="F1587">
            <v>765.72070201250483</v>
          </cell>
          <cell r="K1587">
            <v>605.09476801579478</v>
          </cell>
          <cell r="O1587">
            <v>672.09456819069942</v>
          </cell>
        </row>
        <row r="1588">
          <cell r="B1588">
            <v>728.07701630799613</v>
          </cell>
          <cell r="F1588">
            <v>765.79834605803035</v>
          </cell>
          <cell r="K1588">
            <v>604.57453109575522</v>
          </cell>
          <cell r="O1588">
            <v>672.04474404064081</v>
          </cell>
        </row>
        <row r="1589">
          <cell r="B1589">
            <v>727.57086476308007</v>
          </cell>
          <cell r="F1589">
            <v>765.86596895271589</v>
          </cell>
          <cell r="K1589">
            <v>604.04639684106621</v>
          </cell>
          <cell r="O1589">
            <v>671.98319656115666</v>
          </cell>
        </row>
        <row r="1590">
          <cell r="B1590">
            <v>727.05735062191513</v>
          </cell>
          <cell r="F1590">
            <v>765.9257337729581</v>
          </cell>
          <cell r="K1590">
            <v>603.51233958539001</v>
          </cell>
          <cell r="O1590">
            <v>671.92067213755365</v>
          </cell>
        </row>
        <row r="1591">
          <cell r="B1591">
            <v>726.53647006416588</v>
          </cell>
          <cell r="F1591">
            <v>766.0011033802266</v>
          </cell>
          <cell r="K1591">
            <v>602.97235932872661</v>
          </cell>
          <cell r="O1591">
            <v>671.86596326690108</v>
          </cell>
        </row>
        <row r="1592">
          <cell r="B1592">
            <v>726.01123140177685</v>
          </cell>
          <cell r="F1592">
            <v>766.07423946854237</v>
          </cell>
          <cell r="K1592">
            <v>602.42645607107602</v>
          </cell>
          <cell r="O1592">
            <v>671.80636967565454</v>
          </cell>
        </row>
        <row r="1593">
          <cell r="B1593">
            <v>725.4731546890423</v>
          </cell>
          <cell r="F1593">
            <v>766.14287756447845</v>
          </cell>
          <cell r="K1593">
            <v>601.87759131293183</v>
          </cell>
          <cell r="O1593">
            <v>671.74579914028925</v>
          </cell>
        </row>
        <row r="1594">
          <cell r="B1594">
            <v>724.94506297137218</v>
          </cell>
          <cell r="F1594">
            <v>766.21037639703013</v>
          </cell>
          <cell r="K1594">
            <v>601.32971372161899</v>
          </cell>
          <cell r="O1594">
            <v>671.68425166080499</v>
          </cell>
        </row>
        <row r="1595">
          <cell r="B1595">
            <v>724.4023902270485</v>
          </cell>
          <cell r="F1595">
            <v>766.28007925459167</v>
          </cell>
          <cell r="K1595">
            <v>600.77492596248771</v>
          </cell>
          <cell r="O1595">
            <v>671.62465806955845</v>
          </cell>
        </row>
        <row r="1596">
          <cell r="B1596">
            <v>723.85715301085884</v>
          </cell>
          <cell r="F1596">
            <v>766.34866945095757</v>
          </cell>
          <cell r="K1596">
            <v>600.21322803553801</v>
          </cell>
          <cell r="O1596">
            <v>671.55822586948034</v>
          </cell>
        </row>
        <row r="1597">
          <cell r="B1597">
            <v>723.29852774925985</v>
          </cell>
          <cell r="F1597">
            <v>766.41386128370448</v>
          </cell>
          <cell r="K1597">
            <v>599.64560710760134</v>
          </cell>
          <cell r="O1597">
            <v>671.49472450175847</v>
          </cell>
        </row>
        <row r="1598">
          <cell r="B1598">
            <v>722.73908664856856</v>
          </cell>
          <cell r="F1598">
            <v>766.44310795232514</v>
          </cell>
          <cell r="K1598">
            <v>599.07502467917084</v>
          </cell>
          <cell r="O1598">
            <v>671.45857756936311</v>
          </cell>
        </row>
        <row r="1599">
          <cell r="B1599">
            <v>722.18416481737415</v>
          </cell>
          <cell r="F1599">
            <v>766.47010515826491</v>
          </cell>
          <cell r="K1599">
            <v>598.50839091806517</v>
          </cell>
          <cell r="O1599">
            <v>671.42340758108628</v>
          </cell>
        </row>
        <row r="1600">
          <cell r="B1600">
            <v>721.61827702862786</v>
          </cell>
          <cell r="F1600">
            <v>766.52297347108242</v>
          </cell>
          <cell r="K1600">
            <v>597.93287265547883</v>
          </cell>
          <cell r="O1600">
            <v>671.34915982805785</v>
          </cell>
        </row>
        <row r="1601">
          <cell r="B1601">
            <v>721.04022597235939</v>
          </cell>
          <cell r="F1601">
            <v>766.5724738423213</v>
          </cell>
          <cell r="K1601">
            <v>597.34748272458046</v>
          </cell>
          <cell r="O1601">
            <v>671.26905041031659</v>
          </cell>
        </row>
        <row r="1602">
          <cell r="B1602">
            <v>720.45953961500493</v>
          </cell>
          <cell r="F1602">
            <v>766.62751139116835</v>
          </cell>
          <cell r="K1602">
            <v>596.76011846001973</v>
          </cell>
          <cell r="O1602">
            <v>671.19675654552555</v>
          </cell>
        </row>
        <row r="1603">
          <cell r="B1603">
            <v>719.87919582428424</v>
          </cell>
          <cell r="F1603">
            <v>766.68363534583807</v>
          </cell>
          <cell r="K1603">
            <v>596.17571569595259</v>
          </cell>
          <cell r="O1603">
            <v>671.12543962485336</v>
          </cell>
        </row>
        <row r="1604">
          <cell r="B1604">
            <v>719.30456249753195</v>
          </cell>
          <cell r="F1604">
            <v>766.74085282825331</v>
          </cell>
          <cell r="K1604">
            <v>595.59131293188545</v>
          </cell>
          <cell r="O1604">
            <v>671.05216881594379</v>
          </cell>
        </row>
        <row r="1605">
          <cell r="B1605">
            <v>718.71537499999999</v>
          </cell>
          <cell r="F1605">
            <v>766.78352012504888</v>
          </cell>
          <cell r="K1605">
            <v>595</v>
          </cell>
          <cell r="O1605">
            <v>670.96912856584606</v>
          </cell>
        </row>
        <row r="1606">
          <cell r="B1606">
            <v>718.22916485686073</v>
          </cell>
          <cell r="F1606">
            <v>766.84514551582663</v>
          </cell>
          <cell r="K1606">
            <v>594.51135241855866</v>
          </cell>
          <cell r="O1606">
            <v>670.89683470105513</v>
          </cell>
        </row>
        <row r="1607">
          <cell r="B1607">
            <v>718.1008939042448</v>
          </cell>
          <cell r="F1607">
            <v>766.89221002344675</v>
          </cell>
          <cell r="K1607">
            <v>594.38795656465948</v>
          </cell>
          <cell r="O1607">
            <v>670.82063305978897</v>
          </cell>
        </row>
        <row r="1608">
          <cell r="B1608">
            <v>717.50579806515293</v>
          </cell>
          <cell r="F1608">
            <v>766.94148071512302</v>
          </cell>
          <cell r="K1608">
            <v>593.78479763079963</v>
          </cell>
          <cell r="O1608">
            <v>670.74345447440407</v>
          </cell>
        </row>
        <row r="1609">
          <cell r="B1609">
            <v>716.89260189536037</v>
          </cell>
          <cell r="F1609">
            <v>766.99407153673314</v>
          </cell>
          <cell r="K1609">
            <v>593.17670286278383</v>
          </cell>
          <cell r="O1609">
            <v>670.66920672137553</v>
          </cell>
        </row>
        <row r="1610">
          <cell r="B1610">
            <v>716.26537275913131</v>
          </cell>
          <cell r="F1610">
            <v>767.05333786635401</v>
          </cell>
          <cell r="K1610">
            <v>592.54985192497531</v>
          </cell>
          <cell r="O1610">
            <v>670.59495896834699</v>
          </cell>
        </row>
        <row r="1611">
          <cell r="B1611">
            <v>715.64087561697943</v>
          </cell>
          <cell r="F1611">
            <v>767.09692571805397</v>
          </cell>
          <cell r="K1611">
            <v>591.92793682132287</v>
          </cell>
          <cell r="O1611">
            <v>670.51289566236812</v>
          </cell>
        </row>
        <row r="1612">
          <cell r="B1612">
            <v>715.02031667324775</v>
          </cell>
          <cell r="F1612">
            <v>767.14159922332919</v>
          </cell>
          <cell r="K1612">
            <v>591.3119447186574</v>
          </cell>
          <cell r="O1612">
            <v>670.43474013286425</v>
          </cell>
        </row>
        <row r="1613">
          <cell r="B1613">
            <v>714.39585469891415</v>
          </cell>
          <cell r="F1613">
            <v>767.1918269636576</v>
          </cell>
          <cell r="K1613">
            <v>590.6880552813426</v>
          </cell>
          <cell r="O1613">
            <v>670.35560765924185</v>
          </cell>
        </row>
        <row r="1614">
          <cell r="B1614">
            <v>713.77048614017781</v>
          </cell>
          <cell r="F1614">
            <v>767.24537628956637</v>
          </cell>
          <cell r="K1614">
            <v>590.0612043435342</v>
          </cell>
          <cell r="O1614">
            <v>670.27940601797582</v>
          </cell>
        </row>
        <row r="1615">
          <cell r="B1615">
            <v>713.13241096742343</v>
          </cell>
          <cell r="F1615">
            <v>767.29442412075025</v>
          </cell>
          <cell r="K1615">
            <v>589.43139190523198</v>
          </cell>
          <cell r="O1615">
            <v>670.2022274325908</v>
          </cell>
        </row>
        <row r="1616">
          <cell r="B1616">
            <v>712.48856856860823</v>
          </cell>
          <cell r="F1616">
            <v>767.33224810472836</v>
          </cell>
          <cell r="K1616">
            <v>588.78973346495559</v>
          </cell>
          <cell r="O1616">
            <v>670.11234857366151</v>
          </cell>
        </row>
        <row r="1617">
          <cell r="B1617">
            <v>711.83616639684112</v>
          </cell>
          <cell r="F1617">
            <v>767.37003433958569</v>
          </cell>
          <cell r="K1617">
            <v>588.14610069101684</v>
          </cell>
          <cell r="O1617">
            <v>670.02246971473232</v>
          </cell>
        </row>
        <row r="1618">
          <cell r="B1618">
            <v>711.16611014313935</v>
          </cell>
          <cell r="F1618">
            <v>767.40218737788211</v>
          </cell>
          <cell r="K1618">
            <v>587.48568608094774</v>
          </cell>
          <cell r="O1618">
            <v>669.92770613520918</v>
          </cell>
        </row>
        <row r="1619">
          <cell r="B1619">
            <v>710.477291549852</v>
          </cell>
          <cell r="F1619">
            <v>767.44212697831188</v>
          </cell>
          <cell r="K1619">
            <v>586.81243830207313</v>
          </cell>
          <cell r="O1619">
            <v>669.83685033216102</v>
          </cell>
        </row>
        <row r="1620">
          <cell r="B1620">
            <v>709.79296511846007</v>
          </cell>
          <cell r="F1620">
            <v>767.47755927608432</v>
          </cell>
          <cell r="K1620">
            <v>586.14313919052324</v>
          </cell>
          <cell r="O1620">
            <v>669.745017584994</v>
          </cell>
        </row>
        <row r="1621">
          <cell r="B1621">
            <v>709.10661914116497</v>
          </cell>
          <cell r="F1621">
            <v>767.51520326299317</v>
          </cell>
          <cell r="K1621">
            <v>585.47482724580459</v>
          </cell>
          <cell r="O1621">
            <v>669.65806955842118</v>
          </cell>
        </row>
        <row r="1622">
          <cell r="B1622">
            <v>708.40737066140196</v>
          </cell>
          <cell r="F1622">
            <v>767.53153340171934</v>
          </cell>
          <cell r="K1622">
            <v>584.79368213228042</v>
          </cell>
          <cell r="O1622">
            <v>669.55255959359113</v>
          </cell>
        </row>
        <row r="1623">
          <cell r="B1623">
            <v>707.69294831194486</v>
          </cell>
          <cell r="F1623">
            <v>767.57131648104723</v>
          </cell>
          <cell r="K1623">
            <v>584.10266535044434</v>
          </cell>
          <cell r="O1623">
            <v>669.4617037905432</v>
          </cell>
        </row>
        <row r="1624">
          <cell r="B1624">
            <v>706.98833031589345</v>
          </cell>
          <cell r="F1624">
            <v>767.60338597596729</v>
          </cell>
          <cell r="K1624">
            <v>583.41757156959534</v>
          </cell>
          <cell r="O1624">
            <v>669.3991793669403</v>
          </cell>
        </row>
        <row r="1625">
          <cell r="B1625">
            <v>706.28310752221125</v>
          </cell>
          <cell r="F1625">
            <v>767.60996836166476</v>
          </cell>
          <cell r="K1625">
            <v>582.72260612043431</v>
          </cell>
          <cell r="O1625">
            <v>669.37573270808912</v>
          </cell>
        </row>
        <row r="1626">
          <cell r="B1626">
            <v>705.55275386475819</v>
          </cell>
          <cell r="F1626">
            <v>767.6429824150058</v>
          </cell>
          <cell r="K1626">
            <v>582.01678183613035</v>
          </cell>
          <cell r="O1626">
            <v>669.28487690504096</v>
          </cell>
        </row>
        <row r="1627">
          <cell r="B1627">
            <v>704.82038705330694</v>
          </cell>
          <cell r="F1627">
            <v>767.66697725674101</v>
          </cell>
          <cell r="K1627">
            <v>581.3119447186574</v>
          </cell>
          <cell r="O1627">
            <v>669.18327471668624</v>
          </cell>
        </row>
        <row r="1628">
          <cell r="B1628">
            <v>704.09146515301086</v>
          </cell>
          <cell r="F1628">
            <v>767.68980849941386</v>
          </cell>
          <cell r="K1628">
            <v>580.59822309970389</v>
          </cell>
          <cell r="O1628">
            <v>669.08069558421255</v>
          </cell>
        </row>
        <row r="1629">
          <cell r="B1629">
            <v>703.34462336623892</v>
          </cell>
          <cell r="F1629">
            <v>767.70474873974206</v>
          </cell>
          <cell r="K1629">
            <v>579.8795656465943</v>
          </cell>
          <cell r="O1629">
            <v>668.97127784290728</v>
          </cell>
        </row>
        <row r="1630">
          <cell r="B1630">
            <v>702.7340779812439</v>
          </cell>
          <cell r="F1630">
            <v>767.7219053731925</v>
          </cell>
          <cell r="K1630">
            <v>579.29022704837121</v>
          </cell>
          <cell r="O1630">
            <v>668.8667448221961</v>
          </cell>
        </row>
        <row r="1631">
          <cell r="B1631">
            <v>701.96969958538989</v>
          </cell>
          <cell r="F1631">
            <v>767.7491129347402</v>
          </cell>
          <cell r="K1631">
            <v>578.55281342546891</v>
          </cell>
          <cell r="O1631">
            <v>668.77100429855409</v>
          </cell>
        </row>
        <row r="1632">
          <cell r="B1632">
            <v>701.19801323790728</v>
          </cell>
          <cell r="F1632">
            <v>767.77067258206318</v>
          </cell>
          <cell r="K1632">
            <v>577.81441263573549</v>
          </cell>
          <cell r="O1632">
            <v>668.670379054318</v>
          </cell>
        </row>
        <row r="1633">
          <cell r="B1633">
            <v>700.42050750740373</v>
          </cell>
          <cell r="F1633">
            <v>767.80341029699093</v>
          </cell>
          <cell r="K1633">
            <v>577.06910167818364</v>
          </cell>
          <cell r="O1633">
            <v>668.57952325126996</v>
          </cell>
        </row>
        <row r="1634">
          <cell r="B1634">
            <v>699.63428506910157</v>
          </cell>
          <cell r="F1634">
            <v>767.81139976553357</v>
          </cell>
          <cell r="K1634">
            <v>576.31688055281336</v>
          </cell>
          <cell r="O1634">
            <v>668.46424384525221</v>
          </cell>
        </row>
        <row r="1635">
          <cell r="B1635">
            <v>698.84269969397826</v>
          </cell>
          <cell r="F1635">
            <v>767.82385543669398</v>
          </cell>
          <cell r="K1635">
            <v>575.55577492596251</v>
          </cell>
          <cell r="O1635">
            <v>668.35580304806558</v>
          </cell>
        </row>
        <row r="1636">
          <cell r="B1636">
            <v>698.20256623889429</v>
          </cell>
          <cell r="F1636">
            <v>767.83848534095364</v>
          </cell>
          <cell r="K1636">
            <v>574.94570582428423</v>
          </cell>
          <cell r="O1636">
            <v>668.24638530676054</v>
          </cell>
        </row>
        <row r="1637">
          <cell r="B1637">
            <v>697.53704092300097</v>
          </cell>
          <cell r="F1637">
            <v>767.86429677119975</v>
          </cell>
          <cell r="K1637">
            <v>574.314906219151</v>
          </cell>
          <cell r="O1637">
            <v>668.14673700664321</v>
          </cell>
        </row>
        <row r="1638">
          <cell r="B1638">
            <v>696.71483440276404</v>
          </cell>
          <cell r="F1638">
            <v>767.87995976944126</v>
          </cell>
          <cell r="K1638">
            <v>573.5340572556762</v>
          </cell>
          <cell r="O1638">
            <v>668.0382962094568</v>
          </cell>
        </row>
        <row r="1639">
          <cell r="B1639">
            <v>695.90234452122422</v>
          </cell>
          <cell r="F1639">
            <v>767.88999126611952</v>
          </cell>
          <cell r="K1639">
            <v>572.7591312931886</v>
          </cell>
          <cell r="O1639">
            <v>667.92790152403279</v>
          </cell>
        </row>
        <row r="1640">
          <cell r="B1640">
            <v>695.05619482230998</v>
          </cell>
          <cell r="F1640">
            <v>767.89769979484163</v>
          </cell>
          <cell r="K1640">
            <v>571.96150049358346</v>
          </cell>
          <cell r="O1640">
            <v>667.81262211801481</v>
          </cell>
        </row>
        <row r="1641">
          <cell r="B1641">
            <v>694.39413405725577</v>
          </cell>
          <cell r="F1641">
            <v>767.88969449980459</v>
          </cell>
          <cell r="K1641">
            <v>571.32971372161899</v>
          </cell>
          <cell r="O1641">
            <v>667.68952715904652</v>
          </cell>
        </row>
        <row r="1642">
          <cell r="B1642">
            <v>693.72178615992107</v>
          </cell>
          <cell r="F1642">
            <v>767.88276371629536</v>
          </cell>
          <cell r="K1642">
            <v>570.69200394866732</v>
          </cell>
          <cell r="O1642">
            <v>667.56740914419697</v>
          </cell>
        </row>
        <row r="1643">
          <cell r="B1643">
            <v>692.85957591312933</v>
          </cell>
          <cell r="F1643">
            <v>767.89700074247753</v>
          </cell>
          <cell r="K1643">
            <v>569.8795656465943</v>
          </cell>
          <cell r="O1643">
            <v>667.452129738179</v>
          </cell>
        </row>
        <row r="1644">
          <cell r="B1644">
            <v>691.99985352912142</v>
          </cell>
          <cell r="F1644">
            <v>767.91009871043377</v>
          </cell>
          <cell r="K1644">
            <v>569.06712734452128</v>
          </cell>
          <cell r="O1644">
            <v>667.33880422039863</v>
          </cell>
        </row>
        <row r="1645">
          <cell r="B1645">
            <v>691.12491790720628</v>
          </cell>
          <cell r="F1645">
            <v>767.91081678390003</v>
          </cell>
          <cell r="K1645">
            <v>568.24481737413623</v>
          </cell>
          <cell r="O1645">
            <v>667.21766314966794</v>
          </cell>
        </row>
        <row r="1646">
          <cell r="B1646">
            <v>690.23684641658429</v>
          </cell>
          <cell r="F1646">
            <v>767.90469815357562</v>
          </cell>
          <cell r="K1646">
            <v>567.40967423494567</v>
          </cell>
          <cell r="O1646">
            <v>667.08772958186796</v>
          </cell>
        </row>
        <row r="1647">
          <cell r="B1647">
            <v>689.53952151036526</v>
          </cell>
          <cell r="F1647">
            <v>767.90414765044954</v>
          </cell>
          <cell r="K1647">
            <v>566.75024679170781</v>
          </cell>
          <cell r="O1647">
            <v>666.96268073466206</v>
          </cell>
        </row>
        <row r="1648">
          <cell r="B1648">
            <v>688.64391092793699</v>
          </cell>
          <cell r="F1648">
            <v>767.90358420281382</v>
          </cell>
          <cell r="K1648">
            <v>565.91411648568612</v>
          </cell>
          <cell r="O1648">
            <v>666.84056271981251</v>
          </cell>
        </row>
        <row r="1649">
          <cell r="B1649">
            <v>688.4627537857848</v>
          </cell>
          <cell r="F1649">
            <v>767.88509232121942</v>
          </cell>
          <cell r="K1649">
            <v>565.74432379072061</v>
          </cell>
          <cell r="O1649">
            <v>666.71160609613139</v>
          </cell>
        </row>
        <row r="1650">
          <cell r="B1650">
            <v>687.91480822803555</v>
          </cell>
          <cell r="F1650">
            <v>767.87706623681129</v>
          </cell>
          <cell r="K1650">
            <v>565.22902270483712</v>
          </cell>
          <cell r="O1650">
            <v>666.61781946072688</v>
          </cell>
        </row>
        <row r="1651">
          <cell r="B1651">
            <v>686.99330151036531</v>
          </cell>
          <cell r="F1651">
            <v>767.87884295134813</v>
          </cell>
          <cell r="K1651">
            <v>564.37216189536036</v>
          </cell>
          <cell r="O1651">
            <v>666.58753419304412</v>
          </cell>
        </row>
        <row r="1652">
          <cell r="B1652">
            <v>686.06786031589354</v>
          </cell>
          <cell r="F1652">
            <v>767.86916592418913</v>
          </cell>
          <cell r="K1652">
            <v>563.50542941757169</v>
          </cell>
          <cell r="O1652">
            <v>666.46053145760061</v>
          </cell>
        </row>
        <row r="1653">
          <cell r="B1653">
            <v>685.31102523198433</v>
          </cell>
          <cell r="F1653">
            <v>767.85831102969917</v>
          </cell>
          <cell r="K1653">
            <v>562.80059230009874</v>
          </cell>
          <cell r="O1653">
            <v>666.33255177803835</v>
          </cell>
        </row>
        <row r="1654">
          <cell r="B1654">
            <v>684.3660229022704</v>
          </cell>
          <cell r="F1654">
            <v>767.85744372801867</v>
          </cell>
          <cell r="K1654">
            <v>561.9230009871668</v>
          </cell>
          <cell r="O1654">
            <v>666.20750293083233</v>
          </cell>
        </row>
        <row r="1655">
          <cell r="B1655">
            <v>683.4070049259625</v>
          </cell>
          <cell r="F1655">
            <v>767.8430563403673</v>
          </cell>
          <cell r="K1655">
            <v>561.02961500493586</v>
          </cell>
          <cell r="O1655">
            <v>666.07366158655725</v>
          </cell>
        </row>
        <row r="1656">
          <cell r="B1656">
            <v>682.62642931885489</v>
          </cell>
          <cell r="F1656">
            <v>767.82968959554535</v>
          </cell>
          <cell r="K1656">
            <v>560.30602171767032</v>
          </cell>
          <cell r="O1656">
            <v>665.93786635404467</v>
          </cell>
        </row>
        <row r="1657">
          <cell r="B1657">
            <v>681.64784720631781</v>
          </cell>
          <cell r="F1657">
            <v>767.80837803829615</v>
          </cell>
          <cell r="K1657">
            <v>559.40177690029611</v>
          </cell>
          <cell r="O1657">
            <v>665.7952325127003</v>
          </cell>
        </row>
        <row r="1658">
          <cell r="B1658">
            <v>680.86226409180654</v>
          </cell>
          <cell r="F1658">
            <v>767.78818423212192</v>
          </cell>
          <cell r="K1658">
            <v>558.67226061204349</v>
          </cell>
          <cell r="O1658">
            <v>665.65650644783125</v>
          </cell>
        </row>
        <row r="1659">
          <cell r="B1659">
            <v>679.8640858242843</v>
          </cell>
          <cell r="F1659">
            <v>767.76793216100043</v>
          </cell>
          <cell r="K1659">
            <v>557.75024679170781</v>
          </cell>
          <cell r="O1659">
            <v>665.51778038296209</v>
          </cell>
        </row>
        <row r="1660">
          <cell r="B1660">
            <v>679.05946779861813</v>
          </cell>
          <cell r="F1660">
            <v>767.74649457796011</v>
          </cell>
          <cell r="K1660">
            <v>557.00789733464967</v>
          </cell>
          <cell r="O1660">
            <v>665.37807737397418</v>
          </cell>
        </row>
        <row r="1661">
          <cell r="B1661">
            <v>678.03767139190541</v>
          </cell>
          <cell r="F1661">
            <v>767.72161596326703</v>
          </cell>
          <cell r="K1661">
            <v>556.06712734452128</v>
          </cell>
          <cell r="O1661">
            <v>665.23544353263003</v>
          </cell>
        </row>
        <row r="1662">
          <cell r="B1662">
            <v>677.00582028627844</v>
          </cell>
          <cell r="F1662">
            <v>767.6832031066823</v>
          </cell>
          <cell r="K1662">
            <v>555.11846001974334</v>
          </cell>
          <cell r="O1662">
            <v>665.08401719421647</v>
          </cell>
        </row>
        <row r="1663">
          <cell r="B1663">
            <v>675.96234247778864</v>
          </cell>
          <cell r="F1663">
            <v>767.66034149081668</v>
          </cell>
          <cell r="K1663">
            <v>554.16288252714708</v>
          </cell>
          <cell r="O1663">
            <v>664.93747557639699</v>
          </cell>
        </row>
        <row r="1664">
          <cell r="B1664">
            <v>675.1230852665351</v>
          </cell>
          <cell r="F1664">
            <v>767.63076748729986</v>
          </cell>
          <cell r="K1664">
            <v>553.39091806515307</v>
          </cell>
          <cell r="O1664">
            <v>664.79093395857763</v>
          </cell>
        </row>
        <row r="1665">
          <cell r="B1665">
            <v>674.28162971372171</v>
          </cell>
          <cell r="F1665">
            <v>767.59110068874566</v>
          </cell>
          <cell r="K1665">
            <v>552.62191510365255</v>
          </cell>
          <cell r="O1665">
            <v>664.64146150840179</v>
          </cell>
        </row>
        <row r="1666">
          <cell r="B1666">
            <v>673.44748295162901</v>
          </cell>
          <cell r="F1666">
            <v>767.56485277452134</v>
          </cell>
          <cell r="K1666">
            <v>551.85686080947687</v>
          </cell>
          <cell r="O1666">
            <v>664.50078155529502</v>
          </cell>
        </row>
        <row r="1667">
          <cell r="B1667">
            <v>672.39602140177703</v>
          </cell>
          <cell r="F1667">
            <v>767.53841871336442</v>
          </cell>
          <cell r="K1667">
            <v>550.89141164856869</v>
          </cell>
          <cell r="O1667">
            <v>664.35423993747554</v>
          </cell>
        </row>
        <row r="1668">
          <cell r="B1668">
            <v>671.53146297630792</v>
          </cell>
          <cell r="F1668">
            <v>767.49731176729188</v>
          </cell>
          <cell r="K1668">
            <v>550.09970384995063</v>
          </cell>
          <cell r="O1668">
            <v>664.19792887846813</v>
          </cell>
        </row>
        <row r="1669">
          <cell r="B1669">
            <v>670.41431091806521</v>
          </cell>
          <cell r="F1669">
            <v>767.44943171160605</v>
          </cell>
          <cell r="K1669">
            <v>549.08785784797635</v>
          </cell>
          <cell r="O1669">
            <v>664.03868698710437</v>
          </cell>
        </row>
        <row r="1670">
          <cell r="B1670">
            <v>669.29288972359325</v>
          </cell>
          <cell r="F1670">
            <v>767.40035708284483</v>
          </cell>
          <cell r="K1670">
            <v>548.06614017769004</v>
          </cell>
          <cell r="O1670">
            <v>663.87846815162175</v>
          </cell>
        </row>
        <row r="1671">
          <cell r="B1671">
            <v>668.39837302566639</v>
          </cell>
          <cell r="F1671">
            <v>767.35898344079715</v>
          </cell>
          <cell r="K1671">
            <v>547.25074037512343</v>
          </cell>
          <cell r="O1671">
            <v>663.71922626025787</v>
          </cell>
        </row>
        <row r="1672">
          <cell r="B1672">
            <v>667.93604815399817</v>
          </cell>
          <cell r="F1672">
            <v>767.32777991402895</v>
          </cell>
          <cell r="K1672">
            <v>546.83415597235944</v>
          </cell>
          <cell r="O1672">
            <v>663.57170769831964</v>
          </cell>
        </row>
        <row r="1673">
          <cell r="B1673">
            <v>667.25255422013822</v>
          </cell>
          <cell r="F1673">
            <v>767.28415811352102</v>
          </cell>
          <cell r="K1673">
            <v>546.21421520236925</v>
          </cell>
          <cell r="O1673">
            <v>663.4163735834311</v>
          </cell>
        </row>
        <row r="1674">
          <cell r="B1674">
            <v>666.10270903751234</v>
          </cell>
          <cell r="F1674">
            <v>767.24047262602585</v>
          </cell>
          <cell r="K1674">
            <v>545.16584402764067</v>
          </cell>
          <cell r="O1674">
            <v>663.26103946854244</v>
          </cell>
        </row>
        <row r="1675">
          <cell r="B1675">
            <v>665.16670284304053</v>
          </cell>
          <cell r="F1675">
            <v>767.19212684642423</v>
          </cell>
          <cell r="K1675">
            <v>544.32181638696943</v>
          </cell>
          <cell r="O1675">
            <v>663.09886674482209</v>
          </cell>
        </row>
        <row r="1676">
          <cell r="B1676">
            <v>663.97313247778879</v>
          </cell>
          <cell r="F1676">
            <v>767.15034232121923</v>
          </cell>
          <cell r="K1676">
            <v>543.24284304047387</v>
          </cell>
          <cell r="O1676">
            <v>662.93669402110197</v>
          </cell>
        </row>
        <row r="1677">
          <cell r="B1677">
            <v>662.76911430404743</v>
          </cell>
          <cell r="F1677">
            <v>767.09047308030483</v>
          </cell>
          <cell r="K1677">
            <v>542.15794669299112</v>
          </cell>
          <cell r="O1677">
            <v>662.76182102383746</v>
          </cell>
        </row>
        <row r="1678">
          <cell r="B1678">
            <v>661.8072891411648</v>
          </cell>
          <cell r="F1678">
            <v>767.0217207649473</v>
          </cell>
          <cell r="K1678">
            <v>541.28923988153997</v>
          </cell>
          <cell r="O1678">
            <v>662.58792497069169</v>
          </cell>
        </row>
        <row r="1679">
          <cell r="B1679">
            <v>660.57099987660411</v>
          </cell>
          <cell r="F1679">
            <v>766.9730153184837</v>
          </cell>
          <cell r="K1679">
            <v>540.17867719644619</v>
          </cell>
          <cell r="O1679">
            <v>662.4228214146151</v>
          </cell>
        </row>
        <row r="1680">
          <cell r="B1680">
            <v>659.58068300098716</v>
          </cell>
          <cell r="F1680">
            <v>766.91292542497081</v>
          </cell>
          <cell r="K1680">
            <v>539.28726554787761</v>
          </cell>
          <cell r="O1680">
            <v>662.24794841735059</v>
          </cell>
        </row>
        <row r="1681">
          <cell r="B1681">
            <v>658.32537416584398</v>
          </cell>
          <cell r="F1681">
            <v>766.84944997069169</v>
          </cell>
          <cell r="K1681">
            <v>538.16189536031584</v>
          </cell>
          <cell r="O1681">
            <v>662.07307542008596</v>
          </cell>
        </row>
        <row r="1682">
          <cell r="B1682">
            <v>657.0462110562687</v>
          </cell>
          <cell r="F1682">
            <v>766.77797878077388</v>
          </cell>
          <cell r="K1682">
            <v>537.01085883514327</v>
          </cell>
          <cell r="O1682">
            <v>661.89136381398987</v>
          </cell>
        </row>
        <row r="1683">
          <cell r="B1683">
            <v>656.01218408687066</v>
          </cell>
          <cell r="F1683">
            <v>766.70756323270803</v>
          </cell>
          <cell r="K1683">
            <v>536.08687068114511</v>
          </cell>
          <cell r="O1683">
            <v>661.71062915201242</v>
          </cell>
        </row>
        <row r="1684">
          <cell r="B1684">
            <v>654.71650794669301</v>
          </cell>
          <cell r="F1684">
            <v>766.63933610785455</v>
          </cell>
          <cell r="K1684">
            <v>534.93188548864759</v>
          </cell>
          <cell r="O1684">
            <v>661.53184837827268</v>
          </cell>
        </row>
        <row r="1685">
          <cell r="B1685">
            <v>653.41262041461005</v>
          </cell>
          <cell r="F1685">
            <v>766.57782812133655</v>
          </cell>
          <cell r="K1685">
            <v>533.76406712734456</v>
          </cell>
          <cell r="O1685">
            <v>661.35892926924589</v>
          </cell>
        </row>
        <row r="1686">
          <cell r="B1686">
            <v>652.33899297630808</v>
          </cell>
          <cell r="F1686">
            <v>766.50614615084021</v>
          </cell>
          <cell r="K1686">
            <v>532.80651530108594</v>
          </cell>
          <cell r="O1686">
            <v>661.18014849550605</v>
          </cell>
        </row>
        <row r="1687">
          <cell r="B1687">
            <v>650.98044491609073</v>
          </cell>
          <cell r="F1687">
            <v>766.4421336752639</v>
          </cell>
          <cell r="K1687">
            <v>531.59921026653501</v>
          </cell>
          <cell r="O1687">
            <v>661.00234466588518</v>
          </cell>
        </row>
        <row r="1688">
          <cell r="B1688">
            <v>649.88594080454106</v>
          </cell>
          <cell r="F1688">
            <v>766.36567672919102</v>
          </cell>
          <cell r="K1688">
            <v>530.62092793682132</v>
          </cell>
          <cell r="O1688">
            <v>660.81672528331376</v>
          </cell>
        </row>
        <row r="1689">
          <cell r="B1689">
            <v>648.49495291214225</v>
          </cell>
          <cell r="F1689">
            <v>766.28574224794829</v>
          </cell>
          <cell r="K1689">
            <v>529.38795656465948</v>
          </cell>
          <cell r="O1689">
            <v>660.62817506838599</v>
          </cell>
        </row>
        <row r="1690">
          <cell r="B1690">
            <v>647.10286596248773</v>
          </cell>
          <cell r="F1690">
            <v>766.20686197245016</v>
          </cell>
          <cell r="K1690">
            <v>528.1480750246792</v>
          </cell>
          <cell r="O1690">
            <v>660.44060179757719</v>
          </cell>
        </row>
        <row r="1691">
          <cell r="B1691">
            <v>645.96405482724583</v>
          </cell>
          <cell r="F1691">
            <v>766.13687221570933</v>
          </cell>
          <cell r="K1691">
            <v>527.14116485686077</v>
          </cell>
          <cell r="O1691">
            <v>660.25791324736224</v>
          </cell>
        </row>
        <row r="1692">
          <cell r="B1692">
            <v>644.52330199407697</v>
          </cell>
          <cell r="F1692">
            <v>766.05329921844475</v>
          </cell>
          <cell r="K1692">
            <v>525.86673247778867</v>
          </cell>
          <cell r="O1692">
            <v>660.06643220007822</v>
          </cell>
        </row>
        <row r="1693">
          <cell r="B1693">
            <v>643.36834430404747</v>
          </cell>
          <cell r="F1693">
            <v>765.96748043669413</v>
          </cell>
          <cell r="K1693">
            <v>524.84304047384012</v>
          </cell>
          <cell r="O1693">
            <v>659.87592809691284</v>
          </cell>
        </row>
        <row r="1694">
          <cell r="B1694">
            <v>641.8978739289239</v>
          </cell>
          <cell r="F1694">
            <v>765.90859640484553</v>
          </cell>
          <cell r="K1694">
            <v>523.54096742349452</v>
          </cell>
          <cell r="O1694">
            <v>659.70300898788582</v>
          </cell>
        </row>
        <row r="1695">
          <cell r="B1695">
            <v>640.3860699605134</v>
          </cell>
          <cell r="F1695">
            <v>765.83942812622115</v>
          </cell>
          <cell r="K1695">
            <v>522.21421520236925</v>
          </cell>
          <cell r="O1695">
            <v>659.52129738178974</v>
          </cell>
        </row>
        <row r="1696">
          <cell r="B1696">
            <v>638.8595186179665</v>
          </cell>
          <cell r="F1696">
            <v>765.76575037612361</v>
          </cell>
          <cell r="K1696">
            <v>520.87166831194475</v>
          </cell>
          <cell r="O1696">
            <v>659.3386088315749</v>
          </cell>
        </row>
        <row r="1697">
          <cell r="B1697">
            <v>637.62503210266527</v>
          </cell>
          <cell r="F1697">
            <v>765.67167754982438</v>
          </cell>
          <cell r="K1697">
            <v>519.78677196446199</v>
          </cell>
          <cell r="O1697">
            <v>659.14126611957806</v>
          </cell>
        </row>
        <row r="1698">
          <cell r="B1698">
            <v>636.37803272458052</v>
          </cell>
          <cell r="F1698">
            <v>765.57843801289573</v>
          </cell>
          <cell r="K1698">
            <v>518.69200394866732</v>
          </cell>
          <cell r="O1698">
            <v>658.93903868698715</v>
          </cell>
        </row>
        <row r="1699">
          <cell r="B1699">
            <v>634.80052704837124</v>
          </cell>
          <cell r="F1699">
            <v>765.47841207502927</v>
          </cell>
          <cell r="K1699">
            <v>517.30503455083908</v>
          </cell>
          <cell r="O1699">
            <v>658.73388042203987</v>
          </cell>
        </row>
        <row r="1700">
          <cell r="B1700">
            <v>633.19401958539004</v>
          </cell>
          <cell r="F1700">
            <v>765.38170634525216</v>
          </cell>
          <cell r="K1700">
            <v>515.90128331688061</v>
          </cell>
          <cell r="O1700">
            <v>658.53165298944907</v>
          </cell>
        </row>
        <row r="1701">
          <cell r="B1701">
            <v>631.56914923494571</v>
          </cell>
          <cell r="F1701">
            <v>765.26697584994133</v>
          </cell>
          <cell r="K1701">
            <v>514.47680157946695</v>
          </cell>
          <cell r="O1701">
            <v>658.31965611567011</v>
          </cell>
        </row>
        <row r="1702">
          <cell r="B1702">
            <v>630.26700676209271</v>
          </cell>
          <cell r="F1702">
            <v>765.17100205158272</v>
          </cell>
          <cell r="K1702">
            <v>513.33662388943731</v>
          </cell>
          <cell r="O1702">
            <v>658.11254396248546</v>
          </cell>
        </row>
        <row r="1703">
          <cell r="B1703">
            <v>628.62164705824284</v>
          </cell>
          <cell r="F1703">
            <v>765.07391975381017</v>
          </cell>
          <cell r="K1703">
            <v>511.89437314906218</v>
          </cell>
          <cell r="O1703">
            <v>657.90738569753819</v>
          </cell>
        </row>
        <row r="1704">
          <cell r="B1704">
            <v>626.92197603158922</v>
          </cell>
          <cell r="F1704">
            <v>764.96676337924976</v>
          </cell>
          <cell r="K1704">
            <v>510.41263573543927</v>
          </cell>
          <cell r="O1704">
            <v>657.69929660023456</v>
          </cell>
        </row>
        <row r="1705">
          <cell r="B1705">
            <v>625.54662803553799</v>
          </cell>
          <cell r="F1705">
            <v>764.8617946463462</v>
          </cell>
          <cell r="K1705">
            <v>509.21618953603155</v>
          </cell>
          <cell r="O1705">
            <v>657.49316139116843</v>
          </cell>
        </row>
        <row r="1706">
          <cell r="B1706">
            <v>623.80579170779868</v>
          </cell>
          <cell r="F1706">
            <v>764.75775446463479</v>
          </cell>
          <cell r="K1706">
            <v>507.69990128331688</v>
          </cell>
          <cell r="O1706">
            <v>657.28507229386491</v>
          </cell>
        </row>
        <row r="1707">
          <cell r="B1707">
            <v>622.37858906219151</v>
          </cell>
          <cell r="F1707">
            <v>764.65451315943733</v>
          </cell>
          <cell r="K1707">
            <v>506.46001974333666</v>
          </cell>
          <cell r="O1707">
            <v>657.07209847596721</v>
          </cell>
        </row>
        <row r="1708">
          <cell r="B1708">
            <v>620.93766843534058</v>
          </cell>
          <cell r="F1708">
            <v>764.53791396053134</v>
          </cell>
          <cell r="K1708">
            <v>505.20730503455093</v>
          </cell>
          <cell r="O1708">
            <v>656.85619382571315</v>
          </cell>
        </row>
        <row r="1709">
          <cell r="B1709">
            <v>619.47292469397837</v>
          </cell>
          <cell r="F1709">
            <v>764.4132651426338</v>
          </cell>
          <cell r="K1709">
            <v>503.94175715695957</v>
          </cell>
          <cell r="O1709">
            <v>656.63345056662763</v>
          </cell>
        </row>
        <row r="1710">
          <cell r="B1710">
            <v>617.62764968904253</v>
          </cell>
          <cell r="F1710">
            <v>764.30734081184073</v>
          </cell>
          <cell r="K1710">
            <v>502.34254689042456</v>
          </cell>
          <cell r="O1710">
            <v>656.41559202813607</v>
          </cell>
        </row>
        <row r="1711">
          <cell r="B1711">
            <v>616.26049603158924</v>
          </cell>
          <cell r="F1711">
            <v>764.2049960336069</v>
          </cell>
          <cell r="K1711">
            <v>501.14906219151032</v>
          </cell>
          <cell r="O1711">
            <v>656.20652598671359</v>
          </cell>
        </row>
        <row r="1712">
          <cell r="B1712">
            <v>614.60177577492595</v>
          </cell>
          <cell r="F1712">
            <v>764.07766060961308</v>
          </cell>
          <cell r="K1712">
            <v>499.74531095755185</v>
          </cell>
          <cell r="O1712">
            <v>655.97889800703399</v>
          </cell>
        </row>
        <row r="1713">
          <cell r="B1713">
            <v>612.85261805034554</v>
          </cell>
          <cell r="F1713">
            <v>763.95364400156336</v>
          </cell>
          <cell r="K1713">
            <v>498.2359328726555</v>
          </cell>
          <cell r="O1713">
            <v>655.75420085971098</v>
          </cell>
        </row>
        <row r="1714">
          <cell r="B1714">
            <v>610.76783020730511</v>
          </cell>
          <cell r="F1714">
            <v>763.83267325126997</v>
          </cell>
          <cell r="K1714">
            <v>496.44619940769991</v>
          </cell>
          <cell r="O1714">
            <v>655.52657288003127</v>
          </cell>
        </row>
        <row r="1715">
          <cell r="B1715">
            <v>609.22000110562692</v>
          </cell>
          <cell r="F1715">
            <v>763.70960359515448</v>
          </cell>
          <cell r="K1715">
            <v>495.10760118460024</v>
          </cell>
          <cell r="O1715">
            <v>655.302852676827</v>
          </cell>
        </row>
        <row r="1716">
          <cell r="B1716">
            <v>607.62786174728535</v>
          </cell>
          <cell r="F1716">
            <v>763.5796073856975</v>
          </cell>
          <cell r="K1716">
            <v>493.73543928923993</v>
          </cell>
          <cell r="O1716">
            <v>655.07327080890968</v>
          </cell>
        </row>
        <row r="1717">
          <cell r="B1717">
            <v>606.4090637808489</v>
          </cell>
          <cell r="F1717">
            <v>763.44951475185621</v>
          </cell>
          <cell r="K1717">
            <v>492.68904244817372</v>
          </cell>
          <cell r="O1717">
            <v>654.84368894099259</v>
          </cell>
        </row>
        <row r="1718">
          <cell r="B1718">
            <v>605.57734216189533</v>
          </cell>
          <cell r="F1718">
            <v>763.30793393903889</v>
          </cell>
          <cell r="K1718">
            <v>491.97532082922015</v>
          </cell>
          <cell r="O1718">
            <v>654.60433763188757</v>
          </cell>
        </row>
        <row r="1719">
          <cell r="B1719">
            <v>603.48473413622912</v>
          </cell>
          <cell r="F1719">
            <v>763.17977889312237</v>
          </cell>
          <cell r="K1719">
            <v>490.17571569595265</v>
          </cell>
          <cell r="O1719">
            <v>654.37377881985162</v>
          </cell>
        </row>
        <row r="1720">
          <cell r="B1720">
            <v>601.32797294175714</v>
          </cell>
          <cell r="F1720">
            <v>763.03799767487294</v>
          </cell>
          <cell r="K1720">
            <v>488.33267522211253</v>
          </cell>
          <cell r="O1720">
            <v>654.13442751074638</v>
          </cell>
        </row>
        <row r="1721">
          <cell r="B1721">
            <v>599.13389318854877</v>
          </cell>
          <cell r="F1721">
            <v>762.89953531652998</v>
          </cell>
          <cell r="K1721">
            <v>486.44817374136227</v>
          </cell>
          <cell r="O1721">
            <v>653.89800703399771</v>
          </cell>
        </row>
        <row r="1722">
          <cell r="B1722">
            <v>597.34511000493603</v>
          </cell>
          <cell r="F1722">
            <v>762.76067021297376</v>
          </cell>
          <cell r="K1722">
            <v>484.91905231984214</v>
          </cell>
          <cell r="O1722">
            <v>653.65572489253611</v>
          </cell>
        </row>
        <row r="1723">
          <cell r="B1723">
            <v>595.05446769990124</v>
          </cell>
          <cell r="F1723">
            <v>762.60832307542012</v>
          </cell>
          <cell r="K1723">
            <v>482.96347482724582</v>
          </cell>
          <cell r="O1723">
            <v>653.40758108636192</v>
          </cell>
        </row>
        <row r="1724">
          <cell r="B1724">
            <v>592.68863111549854</v>
          </cell>
          <cell r="F1724">
            <v>762.45929298065653</v>
          </cell>
          <cell r="K1724">
            <v>480.94570582428429</v>
          </cell>
          <cell r="O1724">
            <v>653.16236811254396</v>
          </cell>
        </row>
        <row r="1725">
          <cell r="B1725">
            <v>590.73954655972352</v>
          </cell>
          <cell r="F1725">
            <v>762.3192849062134</v>
          </cell>
          <cell r="K1725">
            <v>479.28825271470879</v>
          </cell>
          <cell r="O1725">
            <v>652.92497069167644</v>
          </cell>
        </row>
        <row r="1726">
          <cell r="F1726">
            <v>762.18145878761243</v>
          </cell>
          <cell r="O1726">
            <v>652.68952715904652</v>
          </cell>
        </row>
        <row r="1727">
          <cell r="F1727">
            <v>762.15118537514661</v>
          </cell>
          <cell r="O1727">
            <v>652.63286440015634</v>
          </cell>
        </row>
        <row r="1728">
          <cell r="F1728">
            <v>762.03668756350146</v>
          </cell>
          <cell r="O1728">
            <v>652.44822196170378</v>
          </cell>
        </row>
        <row r="1729">
          <cell r="F1729">
            <v>761.88953250781549</v>
          </cell>
          <cell r="O1729">
            <v>652.20496287612343</v>
          </cell>
        </row>
        <row r="1730">
          <cell r="F1730">
            <v>761.73868638139913</v>
          </cell>
          <cell r="O1730">
            <v>651.95584212583049</v>
          </cell>
        </row>
        <row r="1731">
          <cell r="F1731">
            <v>761.58430814771395</v>
          </cell>
          <cell r="O1731">
            <v>651.70379054318096</v>
          </cell>
        </row>
        <row r="1732">
          <cell r="F1732">
            <v>761.418571204572</v>
          </cell>
          <cell r="O1732">
            <v>651.44490035169986</v>
          </cell>
        </row>
        <row r="1733">
          <cell r="F1733">
            <v>761.254037866354</v>
          </cell>
          <cell r="O1733">
            <v>651.18991793669397</v>
          </cell>
        </row>
        <row r="1734">
          <cell r="F1734">
            <v>761.0800896639314</v>
          </cell>
          <cell r="O1734">
            <v>650.92418913638153</v>
          </cell>
        </row>
        <row r="1735">
          <cell r="F1735">
            <v>760.92738877491206</v>
          </cell>
          <cell r="O1735">
            <v>650.67116060961314</v>
          </cell>
        </row>
        <row r="1736">
          <cell r="F1736">
            <v>760.7692150644782</v>
          </cell>
          <cell r="O1736">
            <v>650.41910902696361</v>
          </cell>
        </row>
        <row r="1737">
          <cell r="F1737">
            <v>760.5952907190308</v>
          </cell>
          <cell r="O1737">
            <v>650.15924189136376</v>
          </cell>
        </row>
        <row r="1738">
          <cell r="F1738">
            <v>760.42264951152811</v>
          </cell>
          <cell r="O1738">
            <v>649.88667448221975</v>
          </cell>
        </row>
        <row r="1739">
          <cell r="F1739">
            <v>760.23899812426725</v>
          </cell>
          <cell r="O1739">
            <v>649.61313012895664</v>
          </cell>
        </row>
        <row r="1740">
          <cell r="F1740">
            <v>760.06419616060941</v>
          </cell>
          <cell r="O1740">
            <v>649.3444704962875</v>
          </cell>
        </row>
        <row r="1741">
          <cell r="F1741">
            <v>759.87917092614293</v>
          </cell>
          <cell r="O1741">
            <v>649.06994919890576</v>
          </cell>
        </row>
        <row r="1742">
          <cell r="F1742">
            <v>759.70756981242687</v>
          </cell>
          <cell r="O1742">
            <v>648.80422039859332</v>
          </cell>
        </row>
        <row r="1743">
          <cell r="F1743">
            <v>759.52689102676834</v>
          </cell>
          <cell r="O1743">
            <v>648.53360687768657</v>
          </cell>
        </row>
        <row r="1744">
          <cell r="F1744">
            <v>759.34819554513467</v>
          </cell>
          <cell r="O1744">
            <v>648.26201641266107</v>
          </cell>
        </row>
        <row r="1745">
          <cell r="F1745">
            <v>759.15622977725673</v>
          </cell>
          <cell r="O1745">
            <v>647.98749511527944</v>
          </cell>
        </row>
        <row r="1746">
          <cell r="F1746">
            <v>758.95918379249702</v>
          </cell>
          <cell r="O1746">
            <v>647.70320437670966</v>
          </cell>
        </row>
        <row r="1747">
          <cell r="F1747">
            <v>758.77670513872602</v>
          </cell>
          <cell r="O1747">
            <v>647.42868307932781</v>
          </cell>
        </row>
        <row r="1748">
          <cell r="F1748">
            <v>758.59316300801083</v>
          </cell>
          <cell r="O1748">
            <v>647.15611567018368</v>
          </cell>
        </row>
        <row r="1749">
          <cell r="F1749">
            <v>758.41065177315375</v>
          </cell>
          <cell r="O1749">
            <v>646.88452520515841</v>
          </cell>
        </row>
        <row r="1750">
          <cell r="F1750">
            <v>758.21427951836642</v>
          </cell>
          <cell r="O1750">
            <v>646.60121141070726</v>
          </cell>
        </row>
        <row r="1751">
          <cell r="F1751">
            <v>758.01299933567805</v>
          </cell>
          <cell r="O1751">
            <v>646.31105900742477</v>
          </cell>
        </row>
        <row r="1752">
          <cell r="F1752">
            <v>757.81044838804223</v>
          </cell>
          <cell r="O1752">
            <v>646.01992966002342</v>
          </cell>
        </row>
        <row r="1753">
          <cell r="F1753">
            <v>757.76460971082452</v>
          </cell>
          <cell r="O1753">
            <v>645.95056662758884</v>
          </cell>
        </row>
        <row r="1754">
          <cell r="F1754">
            <v>757.62131682786253</v>
          </cell>
          <cell r="O1754">
            <v>645.73759280969136</v>
          </cell>
        </row>
        <row r="1755">
          <cell r="F1755">
            <v>757.41414229191105</v>
          </cell>
          <cell r="O1755">
            <v>645.44548651817126</v>
          </cell>
        </row>
        <row r="1756">
          <cell r="F1756">
            <v>757.20319106096144</v>
          </cell>
          <cell r="O1756">
            <v>645.14751856193834</v>
          </cell>
        </row>
        <row r="1757">
          <cell r="F1757">
            <v>756.99648279601411</v>
          </cell>
          <cell r="O1757">
            <v>644.85052754982416</v>
          </cell>
        </row>
        <row r="1758">
          <cell r="F1758">
            <v>756.78341668620556</v>
          </cell>
          <cell r="O1758">
            <v>644.55646737006646</v>
          </cell>
        </row>
        <row r="1759">
          <cell r="F1759">
            <v>756.55487479484157</v>
          </cell>
          <cell r="O1759">
            <v>644.24384525205153</v>
          </cell>
        </row>
        <row r="1760">
          <cell r="F1760">
            <v>756.32779134915984</v>
          </cell>
          <cell r="O1760">
            <v>643.93806174286829</v>
          </cell>
        </row>
        <row r="1761">
          <cell r="F1761">
            <v>756.11298197538088</v>
          </cell>
          <cell r="O1761">
            <v>643.64009378663536</v>
          </cell>
        </row>
        <row r="1762">
          <cell r="F1762">
            <v>755.8932290738569</v>
          </cell>
          <cell r="O1762">
            <v>643.33528722157087</v>
          </cell>
        </row>
        <row r="1763">
          <cell r="F1763">
            <v>755.67012995310677</v>
          </cell>
          <cell r="O1763">
            <v>643.03048065650648</v>
          </cell>
        </row>
        <row r="1764">
          <cell r="F1764">
            <v>755.43565125537327</v>
          </cell>
          <cell r="O1764">
            <v>642.71883548261042</v>
          </cell>
        </row>
        <row r="1765">
          <cell r="F1765">
            <v>755.20999922332931</v>
          </cell>
          <cell r="O1765">
            <v>642.41207502930831</v>
          </cell>
        </row>
        <row r="1766">
          <cell r="F1766">
            <v>754.9807722938649</v>
          </cell>
          <cell r="O1766">
            <v>642.10238374364997</v>
          </cell>
        </row>
        <row r="1767">
          <cell r="F1767">
            <v>754.73968860883156</v>
          </cell>
          <cell r="O1767">
            <v>641.779992184447</v>
          </cell>
        </row>
        <row r="1768">
          <cell r="F1768">
            <v>754.49985541227034</v>
          </cell>
          <cell r="O1768">
            <v>641.46150840171936</v>
          </cell>
        </row>
        <row r="1769">
          <cell r="F1769">
            <v>754.27047435521706</v>
          </cell>
          <cell r="O1769">
            <v>641.15474794841748</v>
          </cell>
        </row>
        <row r="1770">
          <cell r="F1770">
            <v>754.04187275302854</v>
          </cell>
          <cell r="O1770">
            <v>640.84603360687765</v>
          </cell>
        </row>
        <row r="1771">
          <cell r="F1771">
            <v>753.81609769929651</v>
          </cell>
          <cell r="O1771">
            <v>640.53438843298159</v>
          </cell>
        </row>
        <row r="1772">
          <cell r="F1772">
            <v>753.57548509183289</v>
          </cell>
          <cell r="O1772">
            <v>640.2129738178977</v>
          </cell>
        </row>
        <row r="1773">
          <cell r="F1773">
            <v>753.32348386088313</v>
          </cell>
          <cell r="O1773">
            <v>639.88472059398191</v>
          </cell>
        </row>
        <row r="1774">
          <cell r="F1774">
            <v>753.06533977139497</v>
          </cell>
          <cell r="O1774">
            <v>639.54865181711602</v>
          </cell>
        </row>
        <row r="1775">
          <cell r="F1775">
            <v>752.80935228604937</v>
          </cell>
          <cell r="O1775">
            <v>639.21453692848775</v>
          </cell>
        </row>
        <row r="1776">
          <cell r="F1776">
            <v>752.54746729679573</v>
          </cell>
          <cell r="O1776">
            <v>638.87553731926539</v>
          </cell>
        </row>
        <row r="1777">
          <cell r="F1777">
            <v>752.30270119187185</v>
          </cell>
          <cell r="O1777">
            <v>638.55119187182493</v>
          </cell>
        </row>
        <row r="1778">
          <cell r="F1778">
            <v>752.04131518171152</v>
          </cell>
          <cell r="O1778">
            <v>638.22098475967175</v>
          </cell>
        </row>
        <row r="1779">
          <cell r="F1779">
            <v>751.91412344665878</v>
          </cell>
          <cell r="O1779">
            <v>638.04806565064473</v>
          </cell>
        </row>
        <row r="1780">
          <cell r="F1780">
            <v>751.76111046307142</v>
          </cell>
          <cell r="O1780">
            <v>637.87221570926135</v>
          </cell>
        </row>
        <row r="1781">
          <cell r="F1781">
            <v>751.50733232708092</v>
          </cell>
          <cell r="O1781">
            <v>637.53516998827661</v>
          </cell>
        </row>
        <row r="1782">
          <cell r="F1782">
            <v>751.23666431711604</v>
          </cell>
          <cell r="O1782">
            <v>637.18933177022279</v>
          </cell>
        </row>
        <row r="1783">
          <cell r="F1783">
            <v>750.96957542497069</v>
          </cell>
          <cell r="O1783">
            <v>636.84935521688158</v>
          </cell>
        </row>
        <row r="1784">
          <cell r="F1784">
            <v>750.69773489155921</v>
          </cell>
          <cell r="O1784">
            <v>636.50547088706526</v>
          </cell>
        </row>
        <row r="1785">
          <cell r="F1785">
            <v>750.42948359710817</v>
          </cell>
          <cell r="O1785">
            <v>636.16744822196165</v>
          </cell>
        </row>
        <row r="1786">
          <cell r="F1786">
            <v>750.15592577667053</v>
          </cell>
          <cell r="O1786">
            <v>635.81965611567011</v>
          </cell>
        </row>
        <row r="1787">
          <cell r="F1787">
            <v>749.87645423993752</v>
          </cell>
          <cell r="O1787">
            <v>635.46697928878473</v>
          </cell>
        </row>
        <row r="1788">
          <cell r="F1788">
            <v>749.58327813599067</v>
          </cell>
          <cell r="O1788">
            <v>635.10550996483005</v>
          </cell>
        </row>
        <row r="1789">
          <cell r="F1789">
            <v>749.3009106682299</v>
          </cell>
          <cell r="O1789">
            <v>634.74794841735059</v>
          </cell>
        </row>
        <row r="1790">
          <cell r="F1790">
            <v>749.02559509085575</v>
          </cell>
          <cell r="O1790">
            <v>634.39917936694019</v>
          </cell>
        </row>
        <row r="1791">
          <cell r="F1791">
            <v>748.74291669109016</v>
          </cell>
          <cell r="O1791">
            <v>634.04161781946061</v>
          </cell>
        </row>
        <row r="1792">
          <cell r="F1792">
            <v>748.44768143806175</v>
          </cell>
          <cell r="O1792">
            <v>633.67624071903094</v>
          </cell>
        </row>
        <row r="1793">
          <cell r="F1793">
            <v>748.1448018757327</v>
          </cell>
          <cell r="O1793">
            <v>633.30988667448219</v>
          </cell>
        </row>
        <row r="1794">
          <cell r="F1794">
            <v>747.85156443923404</v>
          </cell>
          <cell r="O1794">
            <v>632.9464634622899</v>
          </cell>
        </row>
        <row r="1795">
          <cell r="F1795">
            <v>747.55530839683468</v>
          </cell>
          <cell r="O1795">
            <v>632.58597108245408</v>
          </cell>
        </row>
        <row r="1796">
          <cell r="F1796">
            <v>747.24559675654552</v>
          </cell>
          <cell r="O1796">
            <v>632.20887065259865</v>
          </cell>
        </row>
        <row r="1797">
          <cell r="F1797">
            <v>746.93195257913237</v>
          </cell>
          <cell r="O1797">
            <v>631.82590855803039</v>
          </cell>
        </row>
        <row r="1798">
          <cell r="F1798">
            <v>746.61906437084815</v>
          </cell>
          <cell r="O1798">
            <v>631.45173896053154</v>
          </cell>
        </row>
        <row r="1799">
          <cell r="F1799">
            <v>746.30109083626417</v>
          </cell>
          <cell r="O1799">
            <v>631.07073075420078</v>
          </cell>
        </row>
        <row r="1800">
          <cell r="F1800">
            <v>745.98001982219614</v>
          </cell>
          <cell r="O1800">
            <v>630.68190699491993</v>
          </cell>
        </row>
        <row r="1801">
          <cell r="F1801">
            <v>745.66487229386485</v>
          </cell>
          <cell r="O1801">
            <v>630.30089878858928</v>
          </cell>
        </row>
        <row r="1802">
          <cell r="F1802">
            <v>745.35366532336855</v>
          </cell>
          <cell r="O1802">
            <v>629.92868307932793</v>
          </cell>
        </row>
        <row r="1803">
          <cell r="F1803">
            <v>745.02348649374755</v>
          </cell>
          <cell r="O1803">
            <v>629.53790543180924</v>
          </cell>
        </row>
        <row r="1804">
          <cell r="F1804">
            <v>744.69513290347788</v>
          </cell>
          <cell r="O1804">
            <v>629.14615084017191</v>
          </cell>
        </row>
        <row r="1805">
          <cell r="F1805">
            <v>744.54113889214523</v>
          </cell>
          <cell r="O1805">
            <v>628.95760062524414</v>
          </cell>
        </row>
        <row r="1806">
          <cell r="F1806">
            <v>744.37206779992175</v>
          </cell>
          <cell r="O1806">
            <v>628.75635013677208</v>
          </cell>
        </row>
        <row r="1807">
          <cell r="F1807">
            <v>744.04717467760815</v>
          </cell>
          <cell r="O1807">
            <v>628.37045720984747</v>
          </cell>
        </row>
        <row r="1808">
          <cell r="F1808">
            <v>743.71286352090658</v>
          </cell>
          <cell r="O1808">
            <v>627.97674872997266</v>
          </cell>
        </row>
        <row r="1809">
          <cell r="F1809">
            <v>743.37872067702233</v>
          </cell>
          <cell r="O1809">
            <v>627.58597108245408</v>
          </cell>
        </row>
        <row r="1810">
          <cell r="F1810">
            <v>743.04538736811264</v>
          </cell>
          <cell r="O1810">
            <v>627.18542399374758</v>
          </cell>
        </row>
        <row r="1811">
          <cell r="F1811">
            <v>742.68776196268084</v>
          </cell>
          <cell r="O1811">
            <v>626.77510746385315</v>
          </cell>
        </row>
        <row r="1812">
          <cell r="F1812">
            <v>742.33888925361464</v>
          </cell>
          <cell r="O1812">
            <v>626.36967565455257</v>
          </cell>
        </row>
        <row r="1813">
          <cell r="F1813">
            <v>741.98486987104332</v>
          </cell>
          <cell r="O1813">
            <v>625.95740523642041</v>
          </cell>
        </row>
        <row r="1814">
          <cell r="F1814">
            <v>741.63727567409148</v>
          </cell>
          <cell r="O1814">
            <v>625.54806565064473</v>
          </cell>
        </row>
        <row r="1815">
          <cell r="F1815">
            <v>741.28324998046105</v>
          </cell>
          <cell r="O1815">
            <v>625.13872606486905</v>
          </cell>
        </row>
        <row r="1816">
          <cell r="F1816">
            <v>740.91630715123097</v>
          </cell>
          <cell r="O1816">
            <v>624.71864009378669</v>
          </cell>
        </row>
        <row r="1817">
          <cell r="F1817">
            <v>740.55230937866361</v>
          </cell>
          <cell r="O1817">
            <v>624.29855412270422</v>
          </cell>
        </row>
        <row r="1818">
          <cell r="F1818">
            <v>740.19240944216494</v>
          </cell>
          <cell r="O1818">
            <v>623.87944509574061</v>
          </cell>
        </row>
        <row r="1819">
          <cell r="F1819">
            <v>739.80906182102399</v>
          </cell>
          <cell r="O1819">
            <v>623.44861273935135</v>
          </cell>
        </row>
        <row r="1820">
          <cell r="F1820">
            <v>739.44024750879259</v>
          </cell>
          <cell r="O1820">
            <v>623.02754982415013</v>
          </cell>
        </row>
        <row r="1821">
          <cell r="F1821">
            <v>739.07131779992199</v>
          </cell>
          <cell r="O1821">
            <v>622.59867135599848</v>
          </cell>
        </row>
        <row r="1822">
          <cell r="F1822">
            <v>738.69133373388036</v>
          </cell>
          <cell r="O1822">
            <v>622.16588511137161</v>
          </cell>
        </row>
        <row r="1823">
          <cell r="F1823">
            <v>738.3277769636577</v>
          </cell>
          <cell r="O1823">
            <v>621.74970691676435</v>
          </cell>
        </row>
        <row r="1824">
          <cell r="F1824">
            <v>737.97063305978918</v>
          </cell>
          <cell r="O1824">
            <v>621.33645955451357</v>
          </cell>
        </row>
        <row r="1825">
          <cell r="F1825">
            <v>737.59126117624066</v>
          </cell>
          <cell r="O1825">
            <v>620.90465025400545</v>
          </cell>
        </row>
        <row r="1826">
          <cell r="F1826">
            <v>737.20009610199304</v>
          </cell>
          <cell r="O1826">
            <v>620.46307151230951</v>
          </cell>
        </row>
        <row r="1827">
          <cell r="F1827">
            <v>736.80061441969508</v>
          </cell>
          <cell r="O1827">
            <v>620.01465416178189</v>
          </cell>
        </row>
        <row r="1828">
          <cell r="F1828">
            <v>736.40287238667452</v>
          </cell>
          <cell r="O1828">
            <v>619.57307542008596</v>
          </cell>
        </row>
        <row r="1829">
          <cell r="F1829">
            <v>736.01772040836261</v>
          </cell>
          <cell r="O1829">
            <v>619.13442751074638</v>
          </cell>
        </row>
        <row r="1830">
          <cell r="F1830">
            <v>735.61341106877683</v>
          </cell>
          <cell r="O1830">
            <v>618.68503321610001</v>
          </cell>
        </row>
        <row r="1831">
          <cell r="F1831">
            <v>735.30114542790147</v>
          </cell>
          <cell r="O1831">
            <v>618.33919499804608</v>
          </cell>
        </row>
        <row r="1832">
          <cell r="F1832">
            <v>735.19264796795619</v>
          </cell>
          <cell r="O1832">
            <v>618.2219617037905</v>
          </cell>
        </row>
        <row r="1833">
          <cell r="F1833">
            <v>734.78407514654157</v>
          </cell>
          <cell r="O1833">
            <v>617.76670574443142</v>
          </cell>
        </row>
        <row r="1834">
          <cell r="F1834">
            <v>734.37414435814765</v>
          </cell>
          <cell r="O1834">
            <v>617.31047284095348</v>
          </cell>
        </row>
        <row r="1835">
          <cell r="F1835">
            <v>733.95047140973043</v>
          </cell>
          <cell r="O1835">
            <v>616.84544744040647</v>
          </cell>
        </row>
        <row r="1836">
          <cell r="F1836">
            <v>733.52695381985143</v>
          </cell>
          <cell r="O1836">
            <v>616.37553731926528</v>
          </cell>
        </row>
        <row r="1837">
          <cell r="F1837">
            <v>733.09823324540832</v>
          </cell>
          <cell r="O1837">
            <v>615.90660414224305</v>
          </cell>
        </row>
        <row r="1838">
          <cell r="F1838">
            <v>732.67547009574048</v>
          </cell>
          <cell r="O1838">
            <v>615.43767096522083</v>
          </cell>
        </row>
        <row r="1839">
          <cell r="F1839">
            <v>732.2436094861273</v>
          </cell>
          <cell r="O1839">
            <v>614.96385306760453</v>
          </cell>
        </row>
        <row r="1840">
          <cell r="F1840">
            <v>731.79567459945281</v>
          </cell>
          <cell r="O1840">
            <v>614.47928878468144</v>
          </cell>
        </row>
        <row r="1841">
          <cell r="F1841">
            <v>731.35293351406801</v>
          </cell>
          <cell r="O1841">
            <v>613.99667838999608</v>
          </cell>
        </row>
        <row r="1842">
          <cell r="F1842">
            <v>730.91770802559597</v>
          </cell>
          <cell r="O1842">
            <v>613.51797577178593</v>
          </cell>
        </row>
        <row r="1843">
          <cell r="F1843">
            <v>730.46799286830799</v>
          </cell>
          <cell r="O1843">
            <v>613.03243454474409</v>
          </cell>
        </row>
        <row r="1844">
          <cell r="F1844">
            <v>730.02113651817115</v>
          </cell>
          <cell r="O1844">
            <v>612.54689331770214</v>
          </cell>
        </row>
        <row r="1845">
          <cell r="F1845">
            <v>729.56053050996491</v>
          </cell>
          <cell r="O1845">
            <v>612.05255959359124</v>
          </cell>
        </row>
        <row r="1846">
          <cell r="F1846">
            <v>729.10350301875724</v>
          </cell>
          <cell r="O1846">
            <v>611.55627198124262</v>
          </cell>
        </row>
        <row r="1847">
          <cell r="F1847">
            <v>728.63737719812434</v>
          </cell>
          <cell r="O1847">
            <v>611.05509964830014</v>
          </cell>
        </row>
        <row r="1848">
          <cell r="F1848">
            <v>728.17963448124272</v>
          </cell>
          <cell r="O1848">
            <v>610.56369675654548</v>
          </cell>
        </row>
        <row r="1849">
          <cell r="F1849">
            <v>727.70886660316523</v>
          </cell>
          <cell r="O1849">
            <v>610.06154747948415</v>
          </cell>
        </row>
        <row r="1850">
          <cell r="F1850">
            <v>727.24470008792503</v>
          </cell>
          <cell r="O1850">
            <v>609.5574443141852</v>
          </cell>
        </row>
        <row r="1851">
          <cell r="F1851">
            <v>726.75906114693237</v>
          </cell>
          <cell r="O1851">
            <v>609.04064087534198</v>
          </cell>
        </row>
        <row r="1852">
          <cell r="F1852">
            <v>726.27462124853457</v>
          </cell>
          <cell r="O1852">
            <v>608.51992966002342</v>
          </cell>
        </row>
        <row r="1853">
          <cell r="F1853">
            <v>725.78082704181315</v>
          </cell>
          <cell r="O1853">
            <v>607.99921844470498</v>
          </cell>
        </row>
        <row r="1854">
          <cell r="F1854">
            <v>725.30384842223532</v>
          </cell>
          <cell r="O1854">
            <v>607.49023055881207</v>
          </cell>
        </row>
        <row r="1855">
          <cell r="F1855">
            <v>724.81685299433377</v>
          </cell>
          <cell r="O1855">
            <v>606.97049628761238</v>
          </cell>
        </row>
        <row r="1856">
          <cell r="F1856">
            <v>724.31726196756551</v>
          </cell>
          <cell r="O1856">
            <v>606.44294646346236</v>
          </cell>
        </row>
        <row r="1857">
          <cell r="F1857">
            <v>723.93582732512687</v>
          </cell>
          <cell r="O1857">
            <v>606.04239937475575</v>
          </cell>
        </row>
        <row r="1858">
          <cell r="F1858">
            <v>723.8085793278625</v>
          </cell>
          <cell r="O1858">
            <v>605.91051191871827</v>
          </cell>
        </row>
        <row r="1859">
          <cell r="F1859">
            <v>723.29989058225874</v>
          </cell>
          <cell r="O1859">
            <v>605.37319265338022</v>
          </cell>
        </row>
        <row r="1860">
          <cell r="F1860">
            <v>722.78794123681132</v>
          </cell>
          <cell r="O1860">
            <v>604.83587338804227</v>
          </cell>
        </row>
        <row r="1861">
          <cell r="F1861">
            <v>722.27527930343877</v>
          </cell>
          <cell r="O1861">
            <v>604.29562329034775</v>
          </cell>
        </row>
        <row r="1862">
          <cell r="F1862">
            <v>721.74631606096125</v>
          </cell>
          <cell r="O1862">
            <v>603.74951152794051</v>
          </cell>
        </row>
        <row r="1863">
          <cell r="F1863">
            <v>721.22832151230955</v>
          </cell>
          <cell r="O1863">
            <v>603.21023837436496</v>
          </cell>
        </row>
        <row r="1864">
          <cell r="F1864">
            <v>720.70376747753028</v>
          </cell>
          <cell r="O1864">
            <v>602.66314966783898</v>
          </cell>
        </row>
        <row r="1865">
          <cell r="F1865">
            <v>720.16846166471294</v>
          </cell>
          <cell r="O1865">
            <v>602.10726846424393</v>
          </cell>
        </row>
        <row r="1866">
          <cell r="F1866">
            <v>719.62623094958985</v>
          </cell>
          <cell r="O1866">
            <v>601.55334114888637</v>
          </cell>
        </row>
        <row r="1867">
          <cell r="F1867">
            <v>719.08928692848781</v>
          </cell>
          <cell r="O1867">
            <v>600.99648300117235</v>
          </cell>
        </row>
        <row r="1868">
          <cell r="F1868">
            <v>718.54041227041807</v>
          </cell>
          <cell r="O1868">
            <v>600.4298554122704</v>
          </cell>
        </row>
        <row r="1869">
          <cell r="F1869">
            <v>717.99612325615476</v>
          </cell>
          <cell r="O1869">
            <v>599.8622508792497</v>
          </cell>
        </row>
        <row r="1870">
          <cell r="F1870">
            <v>717.44558587338804</v>
          </cell>
          <cell r="O1870">
            <v>599.294646346229</v>
          </cell>
        </row>
        <row r="1871">
          <cell r="F1871">
            <v>716.88076731633453</v>
          </cell>
          <cell r="O1871">
            <v>598.71531848378277</v>
          </cell>
        </row>
        <row r="1872">
          <cell r="F1872">
            <v>716.31803958577564</v>
          </cell>
          <cell r="O1872">
            <v>598.13794450957403</v>
          </cell>
        </row>
        <row r="1873">
          <cell r="F1873">
            <v>715.73868108147713</v>
          </cell>
          <cell r="O1873">
            <v>597.54689331770226</v>
          </cell>
        </row>
        <row r="1874">
          <cell r="F1874">
            <v>715.16023881398985</v>
          </cell>
          <cell r="O1874">
            <v>596.95681906994923</v>
          </cell>
        </row>
        <row r="1875">
          <cell r="F1875">
            <v>714.58686585580301</v>
          </cell>
          <cell r="O1875">
            <v>596.3686987104337</v>
          </cell>
        </row>
        <row r="1876">
          <cell r="F1876">
            <v>713.9973762700273</v>
          </cell>
          <cell r="O1876">
            <v>595.7698319656115</v>
          </cell>
        </row>
        <row r="1877">
          <cell r="F1877">
            <v>713.40592091148892</v>
          </cell>
          <cell r="O1877">
            <v>595.1670574443142</v>
          </cell>
        </row>
        <row r="1878">
          <cell r="F1878">
            <v>712.8200565504103</v>
          </cell>
          <cell r="O1878">
            <v>594.56916764361074</v>
          </cell>
        </row>
        <row r="1879">
          <cell r="F1879">
            <v>712.2204984857367</v>
          </cell>
          <cell r="O1879">
            <v>593.95760062524425</v>
          </cell>
        </row>
        <row r="1880">
          <cell r="F1880">
            <v>711.59418999609227</v>
          </cell>
          <cell r="O1880">
            <v>593.33137944509576</v>
          </cell>
        </row>
        <row r="1881">
          <cell r="F1881">
            <v>710.97292577667065</v>
          </cell>
          <cell r="O1881">
            <v>592.70711215318488</v>
          </cell>
        </row>
        <row r="1882">
          <cell r="F1882">
            <v>710.35904191090276</v>
          </cell>
          <cell r="O1882">
            <v>592.0867526377491</v>
          </cell>
        </row>
        <row r="1883">
          <cell r="F1883">
            <v>709.74310005861673</v>
          </cell>
          <cell r="O1883">
            <v>591.4673700664323</v>
          </cell>
        </row>
        <row r="1884">
          <cell r="F1884">
            <v>709.11746588022663</v>
          </cell>
          <cell r="O1884">
            <v>590.84505666275891</v>
          </cell>
        </row>
        <row r="1885">
          <cell r="F1885">
            <v>708.47867680734669</v>
          </cell>
          <cell r="O1885">
            <v>590.21199687377884</v>
          </cell>
        </row>
        <row r="1886">
          <cell r="F1886">
            <v>707.83848648397816</v>
          </cell>
          <cell r="O1886">
            <v>589.57307542008596</v>
          </cell>
        </row>
        <row r="1887">
          <cell r="F1887">
            <v>707.19804509574044</v>
          </cell>
          <cell r="O1887">
            <v>588.92926924579911</v>
          </cell>
        </row>
        <row r="1888">
          <cell r="F1888">
            <v>706.54908445193439</v>
          </cell>
          <cell r="O1888">
            <v>588.28350918327476</v>
          </cell>
        </row>
        <row r="1889">
          <cell r="F1889">
            <v>705.89338729484189</v>
          </cell>
          <cell r="O1889">
            <v>587.63481828839394</v>
          </cell>
        </row>
        <row r="1890">
          <cell r="F1890">
            <v>705.24328754884721</v>
          </cell>
          <cell r="O1890">
            <v>586.98612739351313</v>
          </cell>
        </row>
        <row r="1891">
          <cell r="F1891">
            <v>704.5735283704571</v>
          </cell>
          <cell r="O1891">
            <v>586.31887456037509</v>
          </cell>
        </row>
        <row r="1892">
          <cell r="F1892">
            <v>703.89996080011724</v>
          </cell>
          <cell r="O1892">
            <v>585.65357561547478</v>
          </cell>
        </row>
        <row r="1893">
          <cell r="F1893">
            <v>703.22316004787035</v>
          </cell>
          <cell r="O1893">
            <v>584.9833919499805</v>
          </cell>
        </row>
        <row r="1894">
          <cell r="F1894">
            <v>702.5378720545134</v>
          </cell>
          <cell r="O1894">
            <v>584.3112543962485</v>
          </cell>
        </row>
        <row r="1895">
          <cell r="F1895">
            <v>701.87341093200473</v>
          </cell>
          <cell r="O1895">
            <v>583.65181711606101</v>
          </cell>
        </row>
        <row r="1896">
          <cell r="F1896">
            <v>701.19573417350523</v>
          </cell>
          <cell r="O1896">
            <v>582.98163345056662</v>
          </cell>
        </row>
        <row r="1897">
          <cell r="F1897">
            <v>700.49722216686223</v>
          </cell>
          <cell r="O1897">
            <v>582.29679562329045</v>
          </cell>
        </row>
        <row r="1898">
          <cell r="F1898">
            <v>699.78548557542013</v>
          </cell>
          <cell r="O1898">
            <v>581.60121141070726</v>
          </cell>
        </row>
        <row r="1899">
          <cell r="F1899">
            <v>699.07988144783099</v>
          </cell>
          <cell r="O1899">
            <v>580.90855803048055</v>
          </cell>
        </row>
        <row r="1900">
          <cell r="F1900">
            <v>698.35751003810094</v>
          </cell>
          <cell r="O1900">
            <v>580.20222743259092</v>
          </cell>
        </row>
        <row r="1901">
          <cell r="F1901">
            <v>697.62487373974216</v>
          </cell>
          <cell r="O1901">
            <v>579.49003516998835</v>
          </cell>
        </row>
        <row r="1902">
          <cell r="F1902">
            <v>696.887225942751</v>
          </cell>
          <cell r="O1902">
            <v>578.77393513091044</v>
          </cell>
        </row>
        <row r="1903">
          <cell r="F1903">
            <v>696.1392186938258</v>
          </cell>
          <cell r="O1903">
            <v>578.04708870652598</v>
          </cell>
        </row>
        <row r="1904">
          <cell r="F1904">
            <v>695.38511843005074</v>
          </cell>
          <cell r="O1904">
            <v>577.32024228214141</v>
          </cell>
        </row>
        <row r="1905">
          <cell r="F1905">
            <v>694.63594974599448</v>
          </cell>
          <cell r="O1905">
            <v>576.59534974599444</v>
          </cell>
        </row>
        <row r="1906">
          <cell r="F1906">
            <v>693.87457060375152</v>
          </cell>
          <cell r="O1906">
            <v>575.8558030480657</v>
          </cell>
        </row>
        <row r="1907">
          <cell r="F1907">
            <v>693.12057949394296</v>
          </cell>
          <cell r="O1907">
            <v>575.1250488472059</v>
          </cell>
        </row>
        <row r="1908">
          <cell r="F1908">
            <v>692.34978053927307</v>
          </cell>
          <cell r="O1908">
            <v>574.38061742868308</v>
          </cell>
        </row>
        <row r="1909">
          <cell r="F1909">
            <v>691.55694099257528</v>
          </cell>
          <cell r="O1909">
            <v>573.62055490425951</v>
          </cell>
        </row>
        <row r="1910">
          <cell r="F1910">
            <v>690.76007903477921</v>
          </cell>
          <cell r="O1910">
            <v>572.8526768268855</v>
          </cell>
        </row>
        <row r="1911">
          <cell r="F1911">
            <v>689.96825877784283</v>
          </cell>
          <cell r="O1911">
            <v>572.09163735834306</v>
          </cell>
        </row>
        <row r="1912">
          <cell r="F1912">
            <v>689.15489150058613</v>
          </cell>
          <cell r="O1912">
            <v>571.31301289566238</v>
          </cell>
        </row>
        <row r="1913">
          <cell r="F1913">
            <v>688.3390122606487</v>
          </cell>
          <cell r="O1913">
            <v>570.53731926533806</v>
          </cell>
        </row>
        <row r="1914">
          <cell r="F1914">
            <v>687.51553723622521</v>
          </cell>
          <cell r="O1914">
            <v>569.75087924970694</v>
          </cell>
        </row>
        <row r="1915">
          <cell r="F1915">
            <v>686.67992529308333</v>
          </cell>
          <cell r="O1915">
            <v>568.9546697928879</v>
          </cell>
        </row>
        <row r="1916">
          <cell r="F1916">
            <v>685.83854865181706</v>
          </cell>
          <cell r="O1916">
            <v>568.15162172723717</v>
          </cell>
        </row>
        <row r="1917">
          <cell r="F1917">
            <v>684.98288052461896</v>
          </cell>
          <cell r="O1917">
            <v>567.34173505275498</v>
          </cell>
        </row>
        <row r="1918">
          <cell r="F1918">
            <v>684.13370920281363</v>
          </cell>
          <cell r="O1918">
            <v>566.53282532239155</v>
          </cell>
        </row>
        <row r="1919">
          <cell r="F1919">
            <v>683.27143694314168</v>
          </cell>
          <cell r="O1919">
            <v>565.71805392731528</v>
          </cell>
        </row>
        <row r="1920">
          <cell r="F1920">
            <v>682.4050220203203</v>
          </cell>
          <cell r="O1920">
            <v>564.8954669792887</v>
          </cell>
        </row>
        <row r="1921">
          <cell r="F1921">
            <v>681.52669431418508</v>
          </cell>
          <cell r="O1921">
            <v>564.06799531066815</v>
          </cell>
        </row>
        <row r="1922">
          <cell r="F1922">
            <v>680.63547928878472</v>
          </cell>
          <cell r="O1922">
            <v>563.22782336850332</v>
          </cell>
        </row>
        <row r="1923">
          <cell r="F1923">
            <v>679.73281702813608</v>
          </cell>
          <cell r="O1923">
            <v>562.38081281750681</v>
          </cell>
        </row>
        <row r="1924">
          <cell r="F1924">
            <v>678.82950077667056</v>
          </cell>
          <cell r="O1924">
            <v>561.52891754591633</v>
          </cell>
        </row>
        <row r="1925">
          <cell r="F1925">
            <v>677.90794119284885</v>
          </cell>
          <cell r="O1925">
            <v>560.66920672137553</v>
          </cell>
        </row>
        <row r="1926">
          <cell r="F1926">
            <v>676.98334852481446</v>
          </cell>
          <cell r="O1926">
            <v>559.80265728800316</v>
          </cell>
        </row>
        <row r="1927">
          <cell r="F1927">
            <v>676.04860225674088</v>
          </cell>
          <cell r="O1927">
            <v>558.92340758108639</v>
          </cell>
        </row>
        <row r="1928">
          <cell r="F1928">
            <v>675.11141673993745</v>
          </cell>
          <cell r="O1928">
            <v>558.04708870652598</v>
          </cell>
        </row>
        <row r="1929">
          <cell r="F1929">
            <v>674.15256788784689</v>
          </cell>
          <cell r="O1929">
            <v>557.15318483782733</v>
          </cell>
        </row>
        <row r="1930">
          <cell r="F1930">
            <v>673.18664847596722</v>
          </cell>
          <cell r="O1930">
            <v>556.25146541617823</v>
          </cell>
        </row>
        <row r="1931">
          <cell r="F1931">
            <v>672.21482224501767</v>
          </cell>
          <cell r="O1931">
            <v>555.34290738569757</v>
          </cell>
        </row>
        <row r="1932">
          <cell r="F1932">
            <v>671.22875443532632</v>
          </cell>
          <cell r="O1932">
            <v>554.42751074638534</v>
          </cell>
        </row>
        <row r="1933">
          <cell r="F1933">
            <v>670.21703991793663</v>
          </cell>
          <cell r="O1933">
            <v>553.49355216881588</v>
          </cell>
        </row>
        <row r="1934">
          <cell r="F1934">
            <v>669.95605873388047</v>
          </cell>
          <cell r="O1934">
            <v>553.25517780382961</v>
          </cell>
        </row>
        <row r="1935">
          <cell r="F1935">
            <v>669.19427520515842</v>
          </cell>
          <cell r="O1935">
            <v>552.55080109417747</v>
          </cell>
        </row>
        <row r="1936">
          <cell r="F1936">
            <v>668.17346222157107</v>
          </cell>
          <cell r="O1936">
            <v>551.60316529894499</v>
          </cell>
        </row>
        <row r="1937">
          <cell r="F1937">
            <v>667.13883300117232</v>
          </cell>
          <cell r="O1937">
            <v>550.65357561547478</v>
          </cell>
        </row>
        <row r="1938">
          <cell r="F1938">
            <v>666.10101524032825</v>
          </cell>
          <cell r="O1938">
            <v>549.69714732317311</v>
          </cell>
        </row>
        <row r="1939">
          <cell r="F1939">
            <v>665.04383206330601</v>
          </cell>
          <cell r="O1939">
            <v>548.72508792497069</v>
          </cell>
        </row>
        <row r="1940">
          <cell r="F1940">
            <v>663.97904201348194</v>
          </cell>
          <cell r="O1940">
            <v>547.74032825322399</v>
          </cell>
        </row>
        <row r="1941">
          <cell r="F1941">
            <v>662.91032571805385</v>
          </cell>
          <cell r="O1941">
            <v>546.75947635795228</v>
          </cell>
        </row>
        <row r="1942">
          <cell r="F1942">
            <v>661.83489488081284</v>
          </cell>
          <cell r="O1942">
            <v>545.77569363032433</v>
          </cell>
        </row>
        <row r="1943">
          <cell r="F1943">
            <v>660.75548631301297</v>
          </cell>
          <cell r="O1943">
            <v>544.78898007034002</v>
          </cell>
        </row>
        <row r="1944">
          <cell r="F1944">
            <v>659.65690123094953</v>
          </cell>
          <cell r="O1944">
            <v>543.77784290738566</v>
          </cell>
        </row>
        <row r="1945">
          <cell r="F1945">
            <v>658.54208816920675</v>
          </cell>
          <cell r="O1945">
            <v>542.75595935912463</v>
          </cell>
        </row>
        <row r="1946">
          <cell r="F1946">
            <v>657.39970997948421</v>
          </cell>
          <cell r="O1946">
            <v>541.71844470496285</v>
          </cell>
        </row>
        <row r="1947">
          <cell r="F1947">
            <v>656.24621367721772</v>
          </cell>
          <cell r="O1947">
            <v>540.672137553732</v>
          </cell>
        </row>
        <row r="1948">
          <cell r="F1948">
            <v>655.08494384525204</v>
          </cell>
          <cell r="O1948">
            <v>539.61313012895664</v>
          </cell>
        </row>
        <row r="1949">
          <cell r="F1949">
            <v>653.91725574443149</v>
          </cell>
          <cell r="O1949">
            <v>538.54923798358732</v>
          </cell>
        </row>
        <row r="1950">
          <cell r="F1950">
            <v>652.72234747948414</v>
          </cell>
          <cell r="O1950">
            <v>537.46776084407975</v>
          </cell>
        </row>
        <row r="1951">
          <cell r="F1951">
            <v>651.50709875928101</v>
          </cell>
          <cell r="O1951">
            <v>536.36772176631496</v>
          </cell>
        </row>
        <row r="1952">
          <cell r="F1952">
            <v>650.28572316822977</v>
          </cell>
          <cell r="O1952">
            <v>535.26084407971859</v>
          </cell>
        </row>
        <row r="1953">
          <cell r="F1953">
            <v>649.05196732121919</v>
          </cell>
          <cell r="O1953">
            <v>534.1441969519343</v>
          </cell>
        </row>
        <row r="1954">
          <cell r="F1954">
            <v>647.79337035463084</v>
          </cell>
          <cell r="O1954">
            <v>533.01191871824938</v>
          </cell>
        </row>
        <row r="1955">
          <cell r="F1955">
            <v>646.51674633645951</v>
          </cell>
          <cell r="O1955">
            <v>531.86303243454472</v>
          </cell>
        </row>
        <row r="1956">
          <cell r="F1956">
            <v>645.23513227823366</v>
          </cell>
          <cell r="O1956">
            <v>530.70828448612735</v>
          </cell>
        </row>
        <row r="1957">
          <cell r="F1957">
            <v>643.9316031555295</v>
          </cell>
          <cell r="O1957">
            <v>529.53595154357174</v>
          </cell>
        </row>
        <row r="1958">
          <cell r="F1958">
            <v>642.61921723329431</v>
          </cell>
          <cell r="O1958">
            <v>528.35677999218444</v>
          </cell>
        </row>
        <row r="1959">
          <cell r="F1959">
            <v>641.27394205744429</v>
          </cell>
          <cell r="O1959">
            <v>527.15318483782721</v>
          </cell>
        </row>
        <row r="1960">
          <cell r="F1960">
            <v>640.93450308714341</v>
          </cell>
          <cell r="O1960">
            <v>526.85033216100044</v>
          </cell>
        </row>
        <row r="1961">
          <cell r="F1961">
            <v>639.91292507327069</v>
          </cell>
          <cell r="O1961">
            <v>525.93493552168809</v>
          </cell>
        </row>
        <row r="1962">
          <cell r="F1962">
            <v>638.53851567995309</v>
          </cell>
          <cell r="O1962">
            <v>524.70398593200468</v>
          </cell>
        </row>
        <row r="1963">
          <cell r="F1963">
            <v>637.15448653771</v>
          </cell>
          <cell r="O1963">
            <v>523.47205939820242</v>
          </cell>
        </row>
        <row r="1964">
          <cell r="F1964">
            <v>635.74540445486514</v>
          </cell>
          <cell r="O1964">
            <v>522.21570926143022</v>
          </cell>
        </row>
        <row r="1965">
          <cell r="F1965">
            <v>634.32265932981636</v>
          </cell>
          <cell r="O1965">
            <v>520.94861273935135</v>
          </cell>
        </row>
        <row r="1966">
          <cell r="F1966">
            <v>632.88267440406401</v>
          </cell>
          <cell r="O1966">
            <v>519.66783899960922</v>
          </cell>
        </row>
        <row r="1967">
          <cell r="F1967">
            <v>631.42068021688169</v>
          </cell>
          <cell r="O1967">
            <v>518.36948026572884</v>
          </cell>
        </row>
        <row r="1968">
          <cell r="F1968">
            <v>629.93904509574065</v>
          </cell>
          <cell r="O1968">
            <v>517.05549042594771</v>
          </cell>
        </row>
        <row r="1969">
          <cell r="F1969">
            <v>628.44033688452532</v>
          </cell>
          <cell r="O1969">
            <v>515.72586948026583</v>
          </cell>
        </row>
        <row r="1970">
          <cell r="F1970">
            <v>626.91561822977735</v>
          </cell>
          <cell r="O1970">
            <v>514.37964048456433</v>
          </cell>
        </row>
        <row r="1971">
          <cell r="F1971">
            <v>625.36784994138338</v>
          </cell>
          <cell r="O1971">
            <v>513.01289566236812</v>
          </cell>
        </row>
        <row r="1972">
          <cell r="F1972">
            <v>623.78610132864401</v>
          </cell>
          <cell r="O1972">
            <v>511.61879640484563</v>
          </cell>
        </row>
        <row r="1973">
          <cell r="F1973">
            <v>622.18703247362248</v>
          </cell>
          <cell r="O1973">
            <v>510.21101992965998</v>
          </cell>
        </row>
        <row r="1974">
          <cell r="F1974">
            <v>620.58271055588125</v>
          </cell>
          <cell r="O1974">
            <v>508.79738178976163</v>
          </cell>
        </row>
        <row r="1975">
          <cell r="F1975">
            <v>618.95373475967165</v>
          </cell>
          <cell r="O1975">
            <v>507.36615865572486</v>
          </cell>
        </row>
        <row r="1976">
          <cell r="F1976">
            <v>617.28371691090274</v>
          </cell>
          <cell r="O1976">
            <v>505.89976553341154</v>
          </cell>
        </row>
        <row r="1977">
          <cell r="F1977">
            <v>615.58081863520908</v>
          </cell>
          <cell r="O1977">
            <v>504.40699491989062</v>
          </cell>
        </row>
        <row r="1978">
          <cell r="F1978">
            <v>613.84621383352874</v>
          </cell>
          <cell r="O1978">
            <v>502.88882375928102</v>
          </cell>
        </row>
        <row r="1979">
          <cell r="F1979">
            <v>612.07964201348193</v>
          </cell>
          <cell r="O1979">
            <v>501.34915982805785</v>
          </cell>
        </row>
        <row r="1980">
          <cell r="F1980">
            <v>610.29601546014067</v>
          </cell>
          <cell r="O1980">
            <v>499.78995701445871</v>
          </cell>
        </row>
        <row r="1981">
          <cell r="F1981">
            <v>608.4734585433763</v>
          </cell>
          <cell r="O1981">
            <v>498.19949198905823</v>
          </cell>
        </row>
        <row r="1982">
          <cell r="F1982">
            <v>606.62020660414214</v>
          </cell>
          <cell r="O1982">
            <v>496.58655724892532</v>
          </cell>
        </row>
        <row r="1983">
          <cell r="F1983">
            <v>604.74701075615485</v>
          </cell>
          <cell r="O1983">
            <v>494.95994529112937</v>
          </cell>
        </row>
        <row r="1984">
          <cell r="F1984">
            <v>602.82435433274713</v>
          </cell>
          <cell r="O1984">
            <v>493.28741695974986</v>
          </cell>
        </row>
        <row r="1985">
          <cell r="F1985">
            <v>600.85782042301685</v>
          </cell>
          <cell r="O1985">
            <v>491.58167252833141</v>
          </cell>
        </row>
        <row r="1986">
          <cell r="F1986">
            <v>599.85513873583432</v>
          </cell>
          <cell r="O1986">
            <v>490.71316920672137</v>
          </cell>
        </row>
        <row r="1987">
          <cell r="F1987">
            <v>598.84621635404449</v>
          </cell>
          <cell r="O1987">
            <v>489.84173505275498</v>
          </cell>
        </row>
        <row r="1988">
          <cell r="F1988">
            <v>596.59254111957807</v>
          </cell>
          <cell r="O1988">
            <v>487.90250097694411</v>
          </cell>
        </row>
      </sheetData>
      <sheetData sheetId="5">
        <row r="24">
          <cell r="C24" t="str">
            <v>Y Axis: Stress (MPa)</v>
          </cell>
          <cell r="G24" t="str">
            <v>Y Axis: Stress (MPa)</v>
          </cell>
          <cell r="K24" t="str">
            <v>Y Axis: Stress (MPa)</v>
          </cell>
          <cell r="P24" t="str">
            <v>Y Axis: Stress (MPa)</v>
          </cell>
          <cell r="T24" t="str">
            <v>Y Axis: Stress (MPa)</v>
          </cell>
          <cell r="X24" t="str">
            <v>Y Axis: Stress (MPa)</v>
          </cell>
        </row>
        <row r="25">
          <cell r="C25">
            <v>0</v>
          </cell>
          <cell r="D25">
            <v>0</v>
          </cell>
          <cell r="G25">
            <v>0</v>
          </cell>
          <cell r="H25">
            <v>0</v>
          </cell>
          <cell r="K25">
            <v>0</v>
          </cell>
          <cell r="L25">
            <v>0</v>
          </cell>
          <cell r="P25">
            <v>0</v>
          </cell>
          <cell r="Q25">
            <v>0</v>
          </cell>
          <cell r="T25">
            <v>0</v>
          </cell>
          <cell r="U25">
            <v>0</v>
          </cell>
          <cell r="X25">
            <v>0</v>
          </cell>
          <cell r="Y25">
            <v>0</v>
          </cell>
        </row>
        <row r="26">
          <cell r="C26">
            <v>455.2</v>
          </cell>
          <cell r="D26">
            <v>0.19631018540461556</v>
          </cell>
          <cell r="G26">
            <v>498.3</v>
          </cell>
          <cell r="H26">
            <v>0.19980026626730579</v>
          </cell>
          <cell r="K26" t="e">
            <v>#REF!</v>
          </cell>
          <cell r="L26" t="e">
            <v>#REF!</v>
          </cell>
          <cell r="P26">
            <v>454.3</v>
          </cell>
          <cell r="Q26">
            <v>0.19650300000000001</v>
          </cell>
          <cell r="T26">
            <v>497.3</v>
          </cell>
          <cell r="U26">
            <v>0.2</v>
          </cell>
          <cell r="X26" t="e">
            <v>#REF!</v>
          </cell>
          <cell r="Y26" t="e">
            <v>#REF!</v>
          </cell>
        </row>
        <row r="27">
          <cell r="C27">
            <v>238.7</v>
          </cell>
          <cell r="D27">
            <v>9.5500000000000002E-2</v>
          </cell>
          <cell r="G27">
            <v>319.5</v>
          </cell>
          <cell r="H27">
            <v>0.12090000000000001</v>
          </cell>
          <cell r="K27" t="e">
            <v>#REF!</v>
          </cell>
          <cell r="L27" t="e">
            <v>#REF!</v>
          </cell>
          <cell r="P27">
            <v>539</v>
          </cell>
          <cell r="Q27">
            <v>0.25</v>
          </cell>
          <cell r="T27">
            <v>319.10000000000002</v>
          </cell>
          <cell r="U27">
            <v>0.121</v>
          </cell>
          <cell r="X27" t="e">
            <v>#REF!</v>
          </cell>
          <cell r="Y27" t="e">
            <v>#REF!</v>
          </cell>
        </row>
        <row r="28">
          <cell r="C28">
            <v>390</v>
          </cell>
          <cell r="D28">
            <v>0.16490000000000002</v>
          </cell>
          <cell r="G28">
            <v>520.4</v>
          </cell>
          <cell r="H28">
            <v>0.21029999999999999</v>
          </cell>
          <cell r="K28" t="e">
            <v>#REF!</v>
          </cell>
          <cell r="L28" t="e">
            <v>#REF!</v>
          </cell>
          <cell r="P28">
            <v>611.4</v>
          </cell>
          <cell r="Q28">
            <v>0.35049999999999998</v>
          </cell>
          <cell r="T28">
            <v>519.29999999999995</v>
          </cell>
          <cell r="U28">
            <v>0.21050000000000002</v>
          </cell>
          <cell r="X28" t="e">
            <v>#REF!</v>
          </cell>
          <cell r="Y28" t="e">
            <v>#REF!</v>
          </cell>
        </row>
        <row r="29">
          <cell r="C29">
            <v>540.29999999999995</v>
          </cell>
          <cell r="D29">
            <v>0.24970000000000001</v>
          </cell>
          <cell r="G29">
            <v>665.7</v>
          </cell>
          <cell r="H29">
            <v>0.29109999999999997</v>
          </cell>
          <cell r="K29" t="e">
            <v>#REF!</v>
          </cell>
          <cell r="L29" t="e">
            <v>#REF!</v>
          </cell>
          <cell r="P29">
            <v>539</v>
          </cell>
          <cell r="Q29">
            <v>0.25</v>
          </cell>
          <cell r="T29">
            <v>663.7</v>
          </cell>
          <cell r="U29">
            <v>0.29149999999999998</v>
          </cell>
          <cell r="X29" t="e">
            <v>#REF!</v>
          </cell>
          <cell r="Y29" t="e">
            <v>#REF!</v>
          </cell>
        </row>
        <row r="30">
          <cell r="C30">
            <v>613.5</v>
          </cell>
          <cell r="D30">
            <v>0.34989999999999999</v>
          </cell>
          <cell r="G30">
            <v>629.79999999999995</v>
          </cell>
          <cell r="H30">
            <v>0.48880000000000001</v>
          </cell>
          <cell r="K30" t="e">
            <v>#REF!</v>
          </cell>
          <cell r="L30" t="e">
            <v>#REF!</v>
          </cell>
          <cell r="P30">
            <v>611.4</v>
          </cell>
          <cell r="Q30">
            <v>0.35049999999999998</v>
          </cell>
          <cell r="T30">
            <v>626.70000000000005</v>
          </cell>
          <cell r="U30">
            <v>0.49</v>
          </cell>
          <cell r="X30" t="e">
            <v>#REF!</v>
          </cell>
          <cell r="Y30" t="e">
            <v>#REF!</v>
          </cell>
        </row>
        <row r="31">
          <cell r="C31">
            <v>630.6</v>
          </cell>
          <cell r="D31">
            <v>0.46340000000000003</v>
          </cell>
          <cell r="G31">
            <v>632.4</v>
          </cell>
          <cell r="H31">
            <v>0.68759999999999999</v>
          </cell>
          <cell r="K31" t="e">
            <v>#REF!</v>
          </cell>
          <cell r="L31" t="e">
            <v>#REF!</v>
          </cell>
          <cell r="P31">
            <v>627.6</v>
          </cell>
          <cell r="Q31">
            <v>0.46449999999999997</v>
          </cell>
          <cell r="T31">
            <v>628</v>
          </cell>
          <cell r="U31">
            <v>0.69</v>
          </cell>
          <cell r="X31" t="e">
            <v>#REF!</v>
          </cell>
          <cell r="Y31" t="e">
            <v>#REF!</v>
          </cell>
        </row>
        <row r="32">
          <cell r="C32">
            <v>601.79999999999995</v>
          </cell>
          <cell r="D32">
            <v>0.81320000000000003</v>
          </cell>
          <cell r="G32">
            <v>630</v>
          </cell>
          <cell r="H32">
            <v>0.88210000000000011</v>
          </cell>
          <cell r="K32" t="e">
            <v>#REF!</v>
          </cell>
          <cell r="L32" t="e">
            <v>#REF!</v>
          </cell>
          <cell r="P32">
            <v>596.9</v>
          </cell>
          <cell r="Q32">
            <v>0.8165</v>
          </cell>
          <cell r="T32">
            <v>624.5</v>
          </cell>
          <cell r="U32">
            <v>0.88600000000000001</v>
          </cell>
          <cell r="X32" t="e">
            <v>#REF!</v>
          </cell>
          <cell r="Y32" t="e">
            <v>#REF!</v>
          </cell>
        </row>
        <row r="33">
          <cell r="C33">
            <v>603.70000000000005</v>
          </cell>
          <cell r="D33">
            <v>1.2994999999999999</v>
          </cell>
          <cell r="G33">
            <v>628.29999999999995</v>
          </cell>
          <cell r="H33">
            <v>1.0569</v>
          </cell>
          <cell r="K33" t="e">
            <v>#REF!</v>
          </cell>
          <cell r="L33" t="e">
            <v>#REF!</v>
          </cell>
          <cell r="P33">
            <v>595.9</v>
          </cell>
          <cell r="Q33">
            <v>1.3080000000000001</v>
          </cell>
          <cell r="T33">
            <v>621.6</v>
          </cell>
          <cell r="U33">
            <v>1.0625</v>
          </cell>
          <cell r="X33" t="e">
            <v>#REF!</v>
          </cell>
          <cell r="Y33" t="e">
            <v>#REF!</v>
          </cell>
        </row>
        <row r="34">
          <cell r="C34">
            <v>608.70000000000005</v>
          </cell>
          <cell r="D34">
            <v>1.7904</v>
          </cell>
          <cell r="G34">
            <v>629.70000000000005</v>
          </cell>
          <cell r="H34">
            <v>1.2235</v>
          </cell>
          <cell r="K34" t="e">
            <v>#REF!</v>
          </cell>
          <cell r="L34" t="e">
            <v>#REF!</v>
          </cell>
          <cell r="P34">
            <v>597.9</v>
          </cell>
          <cell r="Q34">
            <v>1.8065000000000002</v>
          </cell>
          <cell r="T34">
            <v>622</v>
          </cell>
          <cell r="U34">
            <v>1.2309999999999999</v>
          </cell>
          <cell r="X34" t="e">
            <v>#REF!</v>
          </cell>
          <cell r="Y34" t="e">
            <v>#REF!</v>
          </cell>
        </row>
        <row r="35">
          <cell r="C35">
            <v>614.1</v>
          </cell>
          <cell r="D35">
            <v>2.3057000000000003</v>
          </cell>
          <cell r="G35">
            <v>631.4</v>
          </cell>
          <cell r="H35">
            <v>1.4051</v>
          </cell>
          <cell r="K35" t="e">
            <v>#REF!</v>
          </cell>
          <cell r="L35" t="e">
            <v>#REF!</v>
          </cell>
          <cell r="P35">
            <v>600.1</v>
          </cell>
          <cell r="Q35">
            <v>2.3325</v>
          </cell>
          <cell r="T35">
            <v>622.6</v>
          </cell>
          <cell r="U35">
            <v>1.415</v>
          </cell>
          <cell r="X35" t="e">
            <v>#REF!</v>
          </cell>
          <cell r="Y35" t="e">
            <v>#REF!</v>
          </cell>
        </row>
        <row r="36">
          <cell r="C36">
            <v>619.6</v>
          </cell>
          <cell r="D36">
            <v>2.7625000000000002</v>
          </cell>
          <cell r="G36">
            <v>633.20000000000005</v>
          </cell>
          <cell r="H36">
            <v>1.5956999999999999</v>
          </cell>
          <cell r="K36" t="e">
            <v>#REF!</v>
          </cell>
          <cell r="L36" t="e">
            <v>#REF!</v>
          </cell>
          <cell r="P36">
            <v>602.70000000000005</v>
          </cell>
          <cell r="Q36">
            <v>2.8010000000000002</v>
          </cell>
          <cell r="T36">
            <v>623.20000000000005</v>
          </cell>
          <cell r="U36">
            <v>1.6084999999999998</v>
          </cell>
          <cell r="X36" t="e">
            <v>#REF!</v>
          </cell>
          <cell r="Y36" t="e">
            <v>#REF!</v>
          </cell>
        </row>
        <row r="37">
          <cell r="C37">
            <v>623.79999999999995</v>
          </cell>
          <cell r="D37">
            <v>3.1930000000000001</v>
          </cell>
          <cell r="G37">
            <v>634.79999999999995</v>
          </cell>
          <cell r="H37">
            <v>1.7933000000000001</v>
          </cell>
          <cell r="K37" t="e">
            <v>#REF!</v>
          </cell>
          <cell r="L37" t="e">
            <v>#REF!</v>
          </cell>
          <cell r="P37">
            <v>604.20000000000005</v>
          </cell>
          <cell r="Q37">
            <v>3.2445000000000004</v>
          </cell>
          <cell r="T37">
            <v>623.5</v>
          </cell>
          <cell r="U37">
            <v>1.8094999999999999</v>
          </cell>
          <cell r="X37" t="e">
            <v>#REF!</v>
          </cell>
          <cell r="Y37" t="e">
            <v>#REF!</v>
          </cell>
        </row>
        <row r="38">
          <cell r="C38">
            <v>635.5</v>
          </cell>
          <cell r="D38">
            <v>3.4217999999999997</v>
          </cell>
          <cell r="G38">
            <v>637</v>
          </cell>
          <cell r="H38">
            <v>1.9964</v>
          </cell>
          <cell r="K38" t="e">
            <v>#REF!</v>
          </cell>
          <cell r="L38" t="e">
            <v>#REF!</v>
          </cell>
          <cell r="P38">
            <v>614.1</v>
          </cell>
          <cell r="Q38">
            <v>3.4809999999999999</v>
          </cell>
          <cell r="T38">
            <v>624.4</v>
          </cell>
          <cell r="U38">
            <v>2.0164999999999997</v>
          </cell>
          <cell r="X38" t="e">
            <v>#REF!</v>
          </cell>
          <cell r="Y38" t="e">
            <v>#REF!</v>
          </cell>
        </row>
        <row r="39">
          <cell r="C39">
            <v>644.79999999999995</v>
          </cell>
          <cell r="D39">
            <v>3.7917000000000001</v>
          </cell>
          <cell r="G39">
            <v>638.70000000000005</v>
          </cell>
          <cell r="H39">
            <v>2.2000999999999999</v>
          </cell>
          <cell r="K39" t="e">
            <v>#REF!</v>
          </cell>
          <cell r="L39" t="e">
            <v>#REF!</v>
          </cell>
          <cell r="P39">
            <v>620.79999999999995</v>
          </cell>
          <cell r="Q39">
            <v>3.8645</v>
          </cell>
          <cell r="T39">
            <v>624.79999999999995</v>
          </cell>
          <cell r="U39">
            <v>2.2244999999999999</v>
          </cell>
          <cell r="X39" t="e">
            <v>#REF!</v>
          </cell>
          <cell r="Y39" t="e">
            <v>#REF!</v>
          </cell>
        </row>
        <row r="40">
          <cell r="C40">
            <v>654.1</v>
          </cell>
          <cell r="D40">
            <v>4.1966999999999999</v>
          </cell>
          <cell r="G40">
            <v>640.5</v>
          </cell>
          <cell r="H40">
            <v>2.4077999999999999</v>
          </cell>
          <cell r="K40" t="e">
            <v>#REF!</v>
          </cell>
          <cell r="L40" t="e">
            <v>#REF!</v>
          </cell>
          <cell r="P40">
            <v>627.20000000000005</v>
          </cell>
          <cell r="Q40">
            <v>4.2860000000000005</v>
          </cell>
          <cell r="T40">
            <v>625.29999999999995</v>
          </cell>
          <cell r="U40">
            <v>2.4369999999999998</v>
          </cell>
          <cell r="X40" t="e">
            <v>#REF!</v>
          </cell>
          <cell r="Y40" t="e">
            <v>#REF!</v>
          </cell>
        </row>
        <row r="41">
          <cell r="C41">
            <v>662.8</v>
          </cell>
          <cell r="D41">
            <v>4.6095999999999995</v>
          </cell>
          <cell r="G41">
            <v>642.70000000000005</v>
          </cell>
          <cell r="H41">
            <v>2.6139999999999999</v>
          </cell>
          <cell r="K41" t="e">
            <v>#REF!</v>
          </cell>
          <cell r="L41" t="e">
            <v>#REF!</v>
          </cell>
          <cell r="P41">
            <v>632.9</v>
          </cell>
          <cell r="Q41">
            <v>4.7175000000000002</v>
          </cell>
          <cell r="T41">
            <v>626.1</v>
          </cell>
          <cell r="U41">
            <v>2.6485000000000003</v>
          </cell>
          <cell r="X41" t="e">
            <v>#REF!</v>
          </cell>
          <cell r="Y41" t="e">
            <v>#REF!</v>
          </cell>
        </row>
        <row r="42">
          <cell r="C42">
            <v>671.2</v>
          </cell>
          <cell r="D42">
            <v>5.0340999999999996</v>
          </cell>
          <cell r="G42">
            <v>644.79999999999995</v>
          </cell>
          <cell r="H42">
            <v>2.8223000000000003</v>
          </cell>
          <cell r="K42" t="e">
            <v>#REF!</v>
          </cell>
          <cell r="L42" t="e">
            <v>#REF!</v>
          </cell>
          <cell r="P42">
            <v>638.29999999999995</v>
          </cell>
          <cell r="Q42">
            <v>5.1630000000000003</v>
          </cell>
          <cell r="T42">
            <v>626.9</v>
          </cell>
          <cell r="U42">
            <v>2.8625000000000003</v>
          </cell>
          <cell r="X42" t="e">
            <v>#REF!</v>
          </cell>
          <cell r="Y42" t="e">
            <v>#REF!</v>
          </cell>
        </row>
        <row r="43">
          <cell r="C43">
            <v>678.8</v>
          </cell>
          <cell r="D43">
            <v>5.4436</v>
          </cell>
          <cell r="G43">
            <v>645.79999999999995</v>
          </cell>
          <cell r="H43">
            <v>3.0325000000000002</v>
          </cell>
          <cell r="K43" t="e">
            <v>#REF!</v>
          </cell>
          <cell r="L43" t="e">
            <v>#REF!</v>
          </cell>
          <cell r="P43">
            <v>642.79999999999995</v>
          </cell>
          <cell r="Q43">
            <v>5.5945</v>
          </cell>
          <cell r="T43">
            <v>626.5</v>
          </cell>
          <cell r="U43">
            <v>3.0790000000000002</v>
          </cell>
          <cell r="X43" t="e">
            <v>#REF!</v>
          </cell>
          <cell r="Y43" t="e">
            <v>#REF!</v>
          </cell>
        </row>
        <row r="44">
          <cell r="C44">
            <v>686.1</v>
          </cell>
          <cell r="D44">
            <v>5.8655999999999997</v>
          </cell>
          <cell r="G44">
            <v>642.6</v>
          </cell>
          <cell r="H44">
            <v>3.2520000000000002</v>
          </cell>
          <cell r="K44" t="e">
            <v>#REF!</v>
          </cell>
          <cell r="L44" t="e">
            <v>#REF!</v>
          </cell>
          <cell r="P44">
            <v>647</v>
          </cell>
          <cell r="Q44">
            <v>6.0409999999999995</v>
          </cell>
          <cell r="T44">
            <v>622.1</v>
          </cell>
          <cell r="U44">
            <v>3.3055000000000003</v>
          </cell>
          <cell r="X44" t="e">
            <v>#REF!</v>
          </cell>
          <cell r="Y44" t="e">
            <v>#REF!</v>
          </cell>
        </row>
        <row r="45">
          <cell r="C45">
            <v>693.2</v>
          </cell>
          <cell r="D45">
            <v>6.3087</v>
          </cell>
          <cell r="G45">
            <v>640.6</v>
          </cell>
          <cell r="H45">
            <v>3.4715000000000003</v>
          </cell>
          <cell r="K45" t="e">
            <v>#REF!</v>
          </cell>
          <cell r="L45" t="e">
            <v>#REF!</v>
          </cell>
          <cell r="P45">
            <v>650.79999999999995</v>
          </cell>
          <cell r="Q45">
            <v>6.5119999999999996</v>
          </cell>
          <cell r="T45">
            <v>618.70000000000005</v>
          </cell>
          <cell r="U45">
            <v>3.5325000000000002</v>
          </cell>
          <cell r="X45" t="e">
            <v>#REF!</v>
          </cell>
          <cell r="Y45" t="e">
            <v>#REF!</v>
          </cell>
        </row>
        <row r="46">
          <cell r="C46">
            <v>699.5</v>
          </cell>
          <cell r="D46">
            <v>6.7214999999999998</v>
          </cell>
          <cell r="G46">
            <v>647.4</v>
          </cell>
          <cell r="H46">
            <v>3.6462000000000003</v>
          </cell>
          <cell r="K46" t="e">
            <v>#REF!</v>
          </cell>
          <cell r="L46" t="e">
            <v>#REF!</v>
          </cell>
          <cell r="P46">
            <v>654</v>
          </cell>
          <cell r="Q46">
            <v>6.9525000000000006</v>
          </cell>
          <cell r="T46">
            <v>624.29999999999995</v>
          </cell>
          <cell r="U46">
            <v>3.7135000000000002</v>
          </cell>
          <cell r="X46" t="e">
            <v>#REF!</v>
          </cell>
          <cell r="Y46" t="e">
            <v>#REF!</v>
          </cell>
        </row>
        <row r="47">
          <cell r="C47">
            <v>705.4</v>
          </cell>
          <cell r="D47">
            <v>7.1389999999999993</v>
          </cell>
          <cell r="G47">
            <v>652.9</v>
          </cell>
          <cell r="H47">
            <v>3.8105000000000002</v>
          </cell>
          <cell r="K47" t="e">
            <v>#REF!</v>
          </cell>
          <cell r="L47" t="e">
            <v>#REF!</v>
          </cell>
          <cell r="P47">
            <v>656.8</v>
          </cell>
          <cell r="Q47">
            <v>7.3999999999999995</v>
          </cell>
          <cell r="T47">
            <v>628.5</v>
          </cell>
          <cell r="U47">
            <v>3.8839999999999999</v>
          </cell>
          <cell r="X47" t="e">
            <v>#REF!</v>
          </cell>
          <cell r="Y47" t="e">
            <v>#REF!</v>
          </cell>
        </row>
        <row r="48">
          <cell r="C48">
            <v>711.4</v>
          </cell>
          <cell r="D48">
            <v>7.5871999999999993</v>
          </cell>
          <cell r="G48">
            <v>662.9</v>
          </cell>
          <cell r="H48">
            <v>4.0061999999999998</v>
          </cell>
          <cell r="K48" t="e">
            <v>#REF!</v>
          </cell>
          <cell r="L48" t="e">
            <v>#REF!</v>
          </cell>
          <cell r="P48">
            <v>659.4</v>
          </cell>
          <cell r="Q48">
            <v>7.8825000000000003</v>
          </cell>
          <cell r="T48">
            <v>636.9</v>
          </cell>
          <cell r="U48">
            <v>4.0875000000000004</v>
          </cell>
          <cell r="X48" t="e">
            <v>#REF!</v>
          </cell>
          <cell r="Y48" t="e">
            <v>#REF!</v>
          </cell>
        </row>
        <row r="49">
          <cell r="C49">
            <v>717.5</v>
          </cell>
          <cell r="D49">
            <v>8.0667000000000009</v>
          </cell>
          <cell r="G49">
            <v>666.8</v>
          </cell>
          <cell r="H49">
            <v>4.1626000000000003</v>
          </cell>
          <cell r="K49" t="e">
            <v>#REF!</v>
          </cell>
          <cell r="L49" t="e">
            <v>#REF!</v>
          </cell>
          <cell r="P49">
            <v>661.9</v>
          </cell>
          <cell r="Q49">
            <v>8.4009999999999998</v>
          </cell>
          <cell r="T49">
            <v>639.6</v>
          </cell>
          <cell r="U49">
            <v>4.2504999999999997</v>
          </cell>
          <cell r="X49" t="e">
            <v>#REF!</v>
          </cell>
          <cell r="Y49" t="e">
            <v>#REF!</v>
          </cell>
        </row>
        <row r="50">
          <cell r="C50">
            <v>722.8</v>
          </cell>
          <cell r="D50">
            <v>8.5251000000000001</v>
          </cell>
          <cell r="G50">
            <v>670.9</v>
          </cell>
          <cell r="H50">
            <v>4.3576999999999995</v>
          </cell>
          <cell r="K50" t="e">
            <v>#REF!</v>
          </cell>
          <cell r="L50" t="e">
            <v>#REF!</v>
          </cell>
          <cell r="P50">
            <v>663.8</v>
          </cell>
          <cell r="Q50">
            <v>8.8989999999999991</v>
          </cell>
          <cell r="T50">
            <v>642.29999999999995</v>
          </cell>
          <cell r="U50">
            <v>4.4540000000000006</v>
          </cell>
          <cell r="X50" t="e">
            <v>#REF!</v>
          </cell>
          <cell r="Y50" t="e">
            <v>#REF!</v>
          </cell>
        </row>
        <row r="51">
          <cell r="C51">
            <v>727.6</v>
          </cell>
          <cell r="D51">
            <v>8.9534000000000002</v>
          </cell>
          <cell r="G51">
            <v>680.2</v>
          </cell>
          <cell r="H51">
            <v>4.8427999999999995</v>
          </cell>
          <cell r="K51" t="e">
            <v>#REF!</v>
          </cell>
          <cell r="L51" t="e">
            <v>#REF!</v>
          </cell>
          <cell r="P51">
            <v>665.3</v>
          </cell>
          <cell r="Q51">
            <v>9.3665000000000003</v>
          </cell>
          <cell r="T51">
            <v>648</v>
          </cell>
          <cell r="U51">
            <v>4.9619999999999997</v>
          </cell>
          <cell r="X51" t="e">
            <v>#REF!</v>
          </cell>
          <cell r="Y51" t="e">
            <v>#REF!</v>
          </cell>
        </row>
        <row r="52">
          <cell r="C52">
            <v>732.2</v>
          </cell>
          <cell r="D52">
            <v>9.3963999999999999</v>
          </cell>
          <cell r="G52">
            <v>688.7</v>
          </cell>
          <cell r="H52">
            <v>5.3185000000000002</v>
          </cell>
          <cell r="K52" t="e">
            <v>#REF!</v>
          </cell>
          <cell r="L52" t="e">
            <v>#REF!</v>
          </cell>
          <cell r="P52">
            <v>666.5</v>
          </cell>
          <cell r="Q52">
            <v>9.8520000000000003</v>
          </cell>
          <cell r="T52">
            <v>653</v>
          </cell>
          <cell r="U52">
            <v>5.4625000000000004</v>
          </cell>
          <cell r="X52" t="e">
            <v>#REF!</v>
          </cell>
          <cell r="Y52" t="e">
            <v>#REF!</v>
          </cell>
        </row>
        <row r="53">
          <cell r="C53">
            <v>736.7</v>
          </cell>
          <cell r="D53">
            <v>9.855500000000001</v>
          </cell>
          <cell r="G53">
            <v>696.7</v>
          </cell>
          <cell r="H53">
            <v>5.8117999999999999</v>
          </cell>
          <cell r="K53" t="e">
            <v>#REF!</v>
          </cell>
          <cell r="L53" t="e">
            <v>#REF!</v>
          </cell>
          <cell r="P53">
            <v>667.6</v>
          </cell>
          <cell r="Q53">
            <v>10.3575</v>
          </cell>
          <cell r="T53">
            <v>657.4</v>
          </cell>
          <cell r="U53">
            <v>5.984</v>
          </cell>
          <cell r="X53" t="e">
            <v>#REF!</v>
          </cell>
          <cell r="Y53" t="e">
            <v>#REF!</v>
          </cell>
        </row>
        <row r="54">
          <cell r="C54">
            <v>741.2</v>
          </cell>
          <cell r="D54">
            <v>10.3301</v>
          </cell>
          <cell r="G54">
            <v>704.3</v>
          </cell>
          <cell r="H54">
            <v>6.3190999999999997</v>
          </cell>
          <cell r="K54" t="e">
            <v>#REF!</v>
          </cell>
          <cell r="L54" t="e">
            <v>#REF!</v>
          </cell>
          <cell r="P54">
            <v>668.4</v>
          </cell>
          <cell r="Q54">
            <v>10.8825</v>
          </cell>
          <cell r="T54">
            <v>661.2</v>
          </cell>
          <cell r="U54">
            <v>6.5229999999999997</v>
          </cell>
          <cell r="X54" t="e">
            <v>#REF!</v>
          </cell>
          <cell r="Y54" t="e">
            <v>#REF!</v>
          </cell>
        </row>
        <row r="55">
          <cell r="C55">
            <v>745.6</v>
          </cell>
          <cell r="D55">
            <v>10.821300000000001</v>
          </cell>
          <cell r="G55">
            <v>712.8</v>
          </cell>
          <cell r="H55">
            <v>6.9386000000000001</v>
          </cell>
          <cell r="K55" t="e">
            <v>#REF!</v>
          </cell>
          <cell r="L55" t="e">
            <v>#REF!</v>
          </cell>
          <cell r="P55">
            <v>669.1</v>
          </cell>
          <cell r="Q55">
            <v>11.4285</v>
          </cell>
          <cell r="T55">
            <v>665.1</v>
          </cell>
          <cell r="U55">
            <v>7.1849999999999996</v>
          </cell>
          <cell r="X55" t="e">
            <v>#REF!</v>
          </cell>
          <cell r="Y55" t="e">
            <v>#REF!</v>
          </cell>
        </row>
        <row r="56">
          <cell r="C56">
            <v>749.8</v>
          </cell>
          <cell r="D56">
            <v>11.328900000000001</v>
          </cell>
          <cell r="G56">
            <v>721</v>
          </cell>
          <cell r="H56">
            <v>7.5882000000000005</v>
          </cell>
          <cell r="K56" t="e">
            <v>#REF!</v>
          </cell>
          <cell r="L56" t="e">
            <v>#REF!</v>
          </cell>
          <cell r="P56">
            <v>669.5</v>
          </cell>
          <cell r="Q56">
            <v>11.9955</v>
          </cell>
          <cell r="T56">
            <v>668.3</v>
          </cell>
          <cell r="U56">
            <v>7.8835000000000006</v>
          </cell>
          <cell r="X56" t="e">
            <v>#REF!</v>
          </cell>
          <cell r="Y56" t="e">
            <v>#REF!</v>
          </cell>
        </row>
        <row r="57">
          <cell r="C57">
            <v>753.9</v>
          </cell>
          <cell r="D57">
            <v>11.8543</v>
          </cell>
          <cell r="G57">
            <v>728.6</v>
          </cell>
          <cell r="H57">
            <v>8.2575000000000003</v>
          </cell>
          <cell r="K57" t="e">
            <v>#REF!</v>
          </cell>
          <cell r="L57" t="e">
            <v>#REF!</v>
          </cell>
          <cell r="P57">
            <v>669.6</v>
          </cell>
          <cell r="Q57">
            <v>12.5855</v>
          </cell>
          <cell r="T57">
            <v>670.9</v>
          </cell>
          <cell r="U57">
            <v>8.6080000000000005</v>
          </cell>
          <cell r="X57" t="e">
            <v>#REF!</v>
          </cell>
          <cell r="Y57" t="e">
            <v>#REF!</v>
          </cell>
        </row>
        <row r="58">
          <cell r="C58">
            <v>757.3</v>
          </cell>
          <cell r="D58">
            <v>12.338100000000001</v>
          </cell>
          <cell r="G58">
            <v>735.3</v>
          </cell>
          <cell r="H58">
            <v>8.8994999999999997</v>
          </cell>
          <cell r="K58" t="e">
            <v>#REF!</v>
          </cell>
          <cell r="L58" t="e">
            <v>#REF!</v>
          </cell>
          <cell r="P58">
            <v>669.4</v>
          </cell>
          <cell r="Q58">
            <v>13.131499999999999</v>
          </cell>
          <cell r="T58">
            <v>672.7</v>
          </cell>
          <cell r="U58">
            <v>9.307500000000001</v>
          </cell>
          <cell r="X58" t="e">
            <v>#REF!</v>
          </cell>
          <cell r="Y58" t="e">
            <v>#REF!</v>
          </cell>
        </row>
        <row r="59">
          <cell r="C59">
            <v>760.6</v>
          </cell>
          <cell r="D59">
            <v>12.8169</v>
          </cell>
          <cell r="G59">
            <v>741.7</v>
          </cell>
          <cell r="H59">
            <v>9.5645999999999987</v>
          </cell>
          <cell r="K59" t="e">
            <v>#REF!</v>
          </cell>
          <cell r="L59" t="e">
            <v>#REF!</v>
          </cell>
          <cell r="P59">
            <v>669.1</v>
          </cell>
          <cell r="Q59">
            <v>13.6745</v>
          </cell>
          <cell r="T59">
            <v>674</v>
          </cell>
          <cell r="U59">
            <v>10.037000000000001</v>
          </cell>
          <cell r="X59" t="e">
            <v>#REF!</v>
          </cell>
          <cell r="Y59" t="e">
            <v>#REF!</v>
          </cell>
        </row>
        <row r="60">
          <cell r="C60">
            <v>763.6</v>
          </cell>
          <cell r="D60">
            <v>13.321</v>
          </cell>
          <cell r="G60">
            <v>747.3</v>
          </cell>
          <cell r="H60">
            <v>10.2164</v>
          </cell>
          <cell r="K60" t="e">
            <v>#REF!</v>
          </cell>
          <cell r="L60" t="e">
            <v>#REF!</v>
          </cell>
          <cell r="P60">
            <v>668.3</v>
          </cell>
          <cell r="Q60">
            <v>14.249000000000001</v>
          </cell>
          <cell r="T60">
            <v>674.8</v>
          </cell>
          <cell r="U60">
            <v>10.756499999999999</v>
          </cell>
          <cell r="X60" t="e">
            <v>#REF!</v>
          </cell>
          <cell r="Y60" t="e">
            <v>#REF!</v>
          </cell>
        </row>
        <row r="61">
          <cell r="C61">
            <v>766.1</v>
          </cell>
          <cell r="D61">
            <v>13.808699999999998</v>
          </cell>
          <cell r="G61">
            <v>752.8</v>
          </cell>
          <cell r="H61">
            <v>10.8935</v>
          </cell>
          <cell r="K61" t="e">
            <v>#REF!</v>
          </cell>
          <cell r="L61" t="e">
            <v>#REF!</v>
          </cell>
          <cell r="P61">
            <v>667.3</v>
          </cell>
          <cell r="Q61">
            <v>14.807500000000001</v>
          </cell>
          <cell r="T61">
            <v>675.1</v>
          </cell>
          <cell r="U61">
            <v>11.509</v>
          </cell>
          <cell r="X61" t="e">
            <v>#REF!</v>
          </cell>
          <cell r="Y61" t="e">
            <v>#REF!</v>
          </cell>
        </row>
        <row r="62">
          <cell r="C62">
            <v>768.1</v>
          </cell>
          <cell r="D62">
            <v>14.309099999999999</v>
          </cell>
          <cell r="G62">
            <v>757.8</v>
          </cell>
          <cell r="H62">
            <v>11.595499999999999</v>
          </cell>
          <cell r="K62" t="e">
            <v>#REF!</v>
          </cell>
          <cell r="L62" t="e">
            <v>#REF!</v>
          </cell>
          <cell r="P62">
            <v>665.7</v>
          </cell>
          <cell r="Q62">
            <v>15.3835</v>
          </cell>
          <cell r="T62">
            <v>674.8</v>
          </cell>
          <cell r="U62">
            <v>12.294499999999999</v>
          </cell>
          <cell r="X62" t="e">
            <v>#REF!</v>
          </cell>
          <cell r="Y62" t="e">
            <v>#REF!</v>
          </cell>
        </row>
        <row r="63">
          <cell r="C63">
            <v>769.4</v>
          </cell>
          <cell r="D63">
            <v>14.836399999999999</v>
          </cell>
          <cell r="G63">
            <v>762.1</v>
          </cell>
          <cell r="H63">
            <v>12.287699999999999</v>
          </cell>
          <cell r="K63" t="e">
            <v>#REF!</v>
          </cell>
          <cell r="L63" t="e">
            <v>#REF!</v>
          </cell>
          <cell r="P63">
            <v>663.3</v>
          </cell>
          <cell r="Q63">
            <v>15.993499999999999</v>
          </cell>
          <cell r="T63">
            <v>674</v>
          </cell>
          <cell r="U63">
            <v>13.0745</v>
          </cell>
          <cell r="X63" t="e">
            <v>#REF!</v>
          </cell>
          <cell r="Y63" t="e">
            <v>#REF!</v>
          </cell>
        </row>
        <row r="64">
          <cell r="C64">
            <v>769.4</v>
          </cell>
          <cell r="D64">
            <v>15.360499999999998</v>
          </cell>
          <cell r="G64">
            <v>765.4</v>
          </cell>
          <cell r="H64">
            <v>12.968999999999999</v>
          </cell>
          <cell r="K64" t="e">
            <v>#REF!</v>
          </cell>
          <cell r="L64" t="e">
            <v>#REF!</v>
          </cell>
          <cell r="P64">
            <v>659.8</v>
          </cell>
          <cell r="Q64">
            <v>16.603000000000002</v>
          </cell>
          <cell r="T64">
            <v>672.3</v>
          </cell>
          <cell r="U64">
            <v>13.847499999999998</v>
          </cell>
          <cell r="X64" t="e">
            <v>#REF!</v>
          </cell>
          <cell r="Y64" t="e">
            <v>#REF!</v>
          </cell>
        </row>
        <row r="65">
          <cell r="C65">
            <v>767.8</v>
          </cell>
          <cell r="D65">
            <v>15.909599999999999</v>
          </cell>
          <cell r="G65">
            <v>767.6</v>
          </cell>
          <cell r="H65">
            <v>13.675699999999999</v>
          </cell>
          <cell r="K65" t="e">
            <v>#REF!</v>
          </cell>
          <cell r="L65" t="e">
            <v>#REF!</v>
          </cell>
          <cell r="P65">
            <v>654.9</v>
          </cell>
          <cell r="Q65">
            <v>17.244999999999997</v>
          </cell>
          <cell r="T65">
            <v>669.5</v>
          </cell>
          <cell r="U65">
            <v>14.655000000000001</v>
          </cell>
          <cell r="X65" t="e">
            <v>#REF!</v>
          </cell>
          <cell r="Y65" t="e">
            <v>#REF!</v>
          </cell>
        </row>
        <row r="66">
          <cell r="C66">
            <v>764.2</v>
          </cell>
          <cell r="D66">
            <v>16.4862</v>
          </cell>
          <cell r="G66">
            <v>767.7</v>
          </cell>
          <cell r="H66">
            <v>14.365400000000001</v>
          </cell>
          <cell r="K66" t="e">
            <v>#REF!</v>
          </cell>
          <cell r="L66" t="e">
            <v>#REF!</v>
          </cell>
          <cell r="P66">
            <v>648</v>
          </cell>
          <cell r="Q66">
            <v>17.923000000000002</v>
          </cell>
          <cell r="T66">
            <v>664.9</v>
          </cell>
          <cell r="U66">
            <v>15.448500000000001</v>
          </cell>
          <cell r="X66" t="e">
            <v>#REF!</v>
          </cell>
          <cell r="Y66" t="e">
            <v>#REF!</v>
          </cell>
        </row>
        <row r="67">
          <cell r="C67">
            <v>758.5</v>
          </cell>
          <cell r="D67">
            <v>17.038399999999999</v>
          </cell>
          <cell r="G67">
            <v>765.1</v>
          </cell>
          <cell r="H67">
            <v>15.090799999999998</v>
          </cell>
          <cell r="K67" t="e">
            <v>#REF!</v>
          </cell>
          <cell r="L67" t="e">
            <v>#REF!</v>
          </cell>
          <cell r="P67">
            <v>615.70000000000005</v>
          </cell>
          <cell r="Q67">
            <v>19.946999999999999</v>
          </cell>
          <cell r="T67">
            <v>657.9</v>
          </cell>
          <cell r="U67">
            <v>16.289000000000001</v>
          </cell>
          <cell r="X67" t="e">
            <v>#REF!</v>
          </cell>
          <cell r="Y67" t="e">
            <v>#REF!</v>
          </cell>
        </row>
        <row r="68">
          <cell r="C68">
            <v>750.3</v>
          </cell>
          <cell r="D68">
            <v>17.599299999999999</v>
          </cell>
          <cell r="G68">
            <v>759.5</v>
          </cell>
          <cell r="H68">
            <v>15.798200000000001</v>
          </cell>
          <cell r="K68" t="e">
            <v>#REF!</v>
          </cell>
          <cell r="L68" t="e">
            <v>#REF!</v>
          </cell>
          <cell r="P68">
            <v>629.20000000000005</v>
          </cell>
          <cell r="Q68">
            <v>19.242999999999999</v>
          </cell>
          <cell r="T68">
            <v>648.5</v>
          </cell>
          <cell r="U68">
            <v>17.1145</v>
          </cell>
          <cell r="X68" t="e">
            <v>#REF!</v>
          </cell>
          <cell r="Y68" t="e">
            <v>#REF!</v>
          </cell>
        </row>
        <row r="69">
          <cell r="C69">
            <v>738.6</v>
          </cell>
          <cell r="D69">
            <v>18.187999999999999</v>
          </cell>
          <cell r="G69">
            <v>751</v>
          </cell>
          <cell r="H69">
            <v>16.4832</v>
          </cell>
          <cell r="K69" t="e">
            <v>#REF!</v>
          </cell>
          <cell r="L69" t="e">
            <v>#REF!</v>
          </cell>
          <cell r="P69">
            <v>615.70000000000005</v>
          </cell>
          <cell r="Q69">
            <v>19.946999999999999</v>
          </cell>
          <cell r="T69">
            <v>636.79999999999995</v>
          </cell>
          <cell r="U69">
            <v>17.919499999999999</v>
          </cell>
          <cell r="X69" t="e">
            <v>#REF!</v>
          </cell>
          <cell r="Y69" t="e">
            <v>#REF!</v>
          </cell>
        </row>
        <row r="70">
          <cell r="C70">
            <v>722.7</v>
          </cell>
          <cell r="D70">
            <v>18.766099999999998</v>
          </cell>
          <cell r="G70">
            <v>738.3</v>
          </cell>
          <cell r="H70">
            <v>17.184999999999999</v>
          </cell>
          <cell r="K70" t="e">
            <v>#REF!</v>
          </cell>
          <cell r="L70" t="e">
            <v>#REF!</v>
          </cell>
          <cell r="P70">
            <v>599.1</v>
          </cell>
          <cell r="Q70">
            <v>20.642499999999998</v>
          </cell>
          <cell r="T70">
            <v>621.70000000000005</v>
          </cell>
          <cell r="U70">
            <v>18.75</v>
          </cell>
          <cell r="X70" t="e">
            <v>#REF!</v>
          </cell>
          <cell r="Y70" t="e">
            <v>#REF!</v>
          </cell>
        </row>
        <row r="71">
          <cell r="C71">
            <v>700.4</v>
          </cell>
          <cell r="D71">
            <v>19.3719</v>
          </cell>
          <cell r="G71">
            <v>721.2</v>
          </cell>
          <cell r="H71">
            <v>17.869</v>
          </cell>
          <cell r="K71" t="e">
            <v>#REF!</v>
          </cell>
          <cell r="L71" t="e">
            <v>#REF!</v>
          </cell>
          <cell r="P71">
            <v>577.1</v>
          </cell>
          <cell r="Q71">
            <v>21.375499999999999</v>
          </cell>
          <cell r="T71">
            <v>603.20000000000005</v>
          </cell>
          <cell r="U71">
            <v>19.564999999999998</v>
          </cell>
          <cell r="X71" t="e">
            <v>#REF!</v>
          </cell>
          <cell r="Y71" t="e">
            <v>#REF!</v>
          </cell>
        </row>
        <row r="72">
          <cell r="C72">
            <v>671.5</v>
          </cell>
          <cell r="D72">
            <v>19.946100000000001</v>
          </cell>
          <cell r="G72">
            <v>696.1</v>
          </cell>
          <cell r="H72">
            <v>18.589400000000001</v>
          </cell>
          <cell r="K72" t="e">
            <v>#REF!</v>
          </cell>
          <cell r="L72" t="e">
            <v>#REF!</v>
          </cell>
          <cell r="P72">
            <v>550.1</v>
          </cell>
          <cell r="Q72">
            <v>22.0745</v>
          </cell>
          <cell r="T72">
            <v>578</v>
          </cell>
          <cell r="U72">
            <v>20.429500000000001</v>
          </cell>
          <cell r="X72" t="e">
            <v>#REF!</v>
          </cell>
          <cell r="Y72" t="e">
            <v>#REF!</v>
          </cell>
        </row>
        <row r="73">
          <cell r="C73">
            <v>628.6</v>
          </cell>
          <cell r="D73">
            <v>20.5411</v>
          </cell>
          <cell r="G73">
            <v>660.8</v>
          </cell>
          <cell r="H73">
            <v>19.298500000000001</v>
          </cell>
          <cell r="K73" t="e">
            <v>#REF!</v>
          </cell>
          <cell r="L73" t="e">
            <v>#REF!</v>
          </cell>
          <cell r="P73">
            <v>511.9</v>
          </cell>
          <cell r="Q73">
            <v>22.803000000000001</v>
          </cell>
          <cell r="T73">
            <v>544.79999999999995</v>
          </cell>
          <cell r="U73">
            <v>21.2865</v>
          </cell>
          <cell r="X73" t="e">
            <v>#REF!</v>
          </cell>
          <cell r="Y73" t="e">
            <v>#REF!</v>
          </cell>
        </row>
        <row r="74">
          <cell r="C74">
            <v>590.70000000000005</v>
          </cell>
          <cell r="D74">
            <v>20.891480106347533</v>
          </cell>
          <cell r="G74">
            <v>596.6</v>
          </cell>
          <cell r="H74">
            <v>20.092248194309271</v>
          </cell>
          <cell r="K74" t="e">
            <v>#REF!</v>
          </cell>
          <cell r="L74" t="e">
            <v>#REF!</v>
          </cell>
          <cell r="P74">
            <v>479.3</v>
          </cell>
          <cell r="Q74">
            <v>23.234000000000002</v>
          </cell>
          <cell r="T74">
            <v>487.9</v>
          </cell>
          <cell r="U74">
            <v>22.253</v>
          </cell>
          <cell r="X74" t="e">
            <v>#REF!</v>
          </cell>
          <cell r="Y74" t="e">
            <v>#REF!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Base Properties"/>
      <sheetName val="2Forming"/>
      <sheetName val="3Thermal Properties"/>
      <sheetName val="4E-Data"/>
      <sheetName val="4AF"/>
      <sheetName val="Лист1"/>
    </sheetNames>
    <sheetDataSet>
      <sheetData sheetId="0"/>
      <sheetData sheetId="1"/>
      <sheetData sheetId="2"/>
      <sheetData sheetId="3"/>
      <sheetData sheetId="4">
        <row r="24">
          <cell r="C24" t="str">
            <v>Y Axis: Stress (MPa)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hermk.severstal.com/clients/inzhiniringovyy-porta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32"/>
  <sheetViews>
    <sheetView tabSelected="1" zoomScale="85" zoomScaleNormal="85" workbookViewId="0">
      <selection activeCell="C6" sqref="C6"/>
    </sheetView>
  </sheetViews>
  <sheetFormatPr defaultColWidth="8.85546875" defaultRowHeight="15.75" x14ac:dyDescent="0.25"/>
  <cols>
    <col min="1" max="7" width="19.7109375" style="13" customWidth="1"/>
    <col min="8" max="8" width="18.28515625" style="13" customWidth="1"/>
    <col min="9" max="9" width="15.28515625" style="13" customWidth="1"/>
    <col min="10" max="11" width="13.42578125" style="13" customWidth="1"/>
    <col min="12" max="12" width="13.28515625" style="13" customWidth="1"/>
    <col min="13" max="16384" width="8.85546875" style="13"/>
  </cols>
  <sheetData>
    <row r="2" spans="1:14" ht="19.899999999999999" customHeight="1" x14ac:dyDescent="0.25">
      <c r="A2" s="83" t="s">
        <v>0</v>
      </c>
      <c r="B2" s="83"/>
      <c r="C2" s="83"/>
      <c r="D2" s="83"/>
      <c r="E2" s="83"/>
      <c r="F2" s="83"/>
      <c r="G2" s="83"/>
      <c r="H2" s="9"/>
    </row>
    <row r="4" spans="1:14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14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14" ht="48" customHeight="1" x14ac:dyDescent="0.25">
      <c r="C6" s="57" t="s">
        <v>89</v>
      </c>
      <c r="D6" s="57" t="s">
        <v>91</v>
      </c>
      <c r="E6" s="57" t="s">
        <v>90</v>
      </c>
      <c r="F6" s="60">
        <v>5</v>
      </c>
      <c r="G6" s="16">
        <v>45404</v>
      </c>
    </row>
    <row r="7" spans="1:14" ht="22.15" customHeight="1" x14ac:dyDescent="0.25">
      <c r="A7" s="10"/>
      <c r="B7" s="10"/>
      <c r="C7" s="11"/>
      <c r="D7" s="12"/>
    </row>
    <row r="8" spans="1:14" ht="19.899999999999999" customHeight="1" x14ac:dyDescent="0.25">
      <c r="A8" s="83" t="s">
        <v>11</v>
      </c>
      <c r="B8" s="83"/>
      <c r="C8" s="83"/>
      <c r="D8" s="83"/>
      <c r="E8" s="83"/>
      <c r="F8" s="83"/>
      <c r="G8" s="83"/>
      <c r="H8" s="9"/>
      <c r="I8" s="9"/>
      <c r="J8" s="9"/>
    </row>
    <row r="9" spans="1:14" ht="15.6" customHeight="1" x14ac:dyDescent="0.25">
      <c r="A9" s="33"/>
      <c r="B9" s="33"/>
      <c r="C9" s="33"/>
      <c r="D9" s="33"/>
      <c r="E9" s="33"/>
      <c r="F9" s="33"/>
      <c r="G9" s="33"/>
      <c r="H9" s="9"/>
      <c r="I9" s="9"/>
      <c r="J9" s="9"/>
    </row>
    <row r="10" spans="1:14" ht="19.149999999999999" customHeight="1" x14ac:dyDescent="0.25">
      <c r="A10" s="53" t="s">
        <v>12</v>
      </c>
      <c r="B10" s="53" t="s">
        <v>13</v>
      </c>
      <c r="C10" s="53" t="s">
        <v>14</v>
      </c>
      <c r="D10" s="53" t="s">
        <v>15</v>
      </c>
      <c r="E10" s="53" t="s">
        <v>16</v>
      </c>
      <c r="F10" s="53" t="s">
        <v>17</v>
      </c>
      <c r="G10" s="53" t="s">
        <v>18</v>
      </c>
      <c r="L10" s="18"/>
      <c r="M10" s="19"/>
      <c r="N10" s="20"/>
    </row>
    <row r="11" spans="1:14" ht="19.149999999999999" customHeight="1" x14ac:dyDescent="0.25">
      <c r="A11" s="56">
        <v>0.109</v>
      </c>
      <c r="B11" s="56">
        <v>0.17799999999999999</v>
      </c>
      <c r="C11" s="56">
        <v>1.68</v>
      </c>
      <c r="D11" s="56">
        <v>9.9000000000000008E-3</v>
      </c>
      <c r="E11" s="21">
        <v>2.3E-3</v>
      </c>
      <c r="F11" s="21">
        <v>4.2000000000000003E-2</v>
      </c>
      <c r="G11" s="22">
        <v>4.3999999999999997E-2</v>
      </c>
      <c r="L11" s="18"/>
      <c r="M11" s="19"/>
      <c r="N11" s="20"/>
    </row>
    <row r="12" spans="1:14" ht="19.149999999999999" customHeight="1" x14ac:dyDescent="0.25">
      <c r="A12" s="53" t="s">
        <v>19</v>
      </c>
      <c r="B12" s="53" t="s">
        <v>20</v>
      </c>
      <c r="C12" s="53" t="s">
        <v>21</v>
      </c>
      <c r="D12" s="53" t="s">
        <v>22</v>
      </c>
      <c r="E12" s="53" t="s">
        <v>23</v>
      </c>
      <c r="F12" s="53" t="s">
        <v>24</v>
      </c>
      <c r="G12" s="53" t="s">
        <v>25</v>
      </c>
      <c r="H12" s="18"/>
      <c r="I12" s="23"/>
      <c r="J12" s="23"/>
      <c r="K12" s="23"/>
      <c r="L12" s="18"/>
      <c r="M12" s="19"/>
      <c r="N12" s="20"/>
    </row>
    <row r="13" spans="1:14" ht="19.149999999999999" customHeight="1" x14ac:dyDescent="0.25">
      <c r="A13" s="24">
        <v>0.18</v>
      </c>
      <c r="B13" s="22">
        <v>6.0000000000000001E-3</v>
      </c>
      <c r="C13" s="22">
        <v>1.7000000000000001E-2</v>
      </c>
      <c r="D13" s="22">
        <v>5.2999999999999999E-2</v>
      </c>
      <c r="E13" s="22">
        <v>0.189</v>
      </c>
      <c r="F13" s="22">
        <v>0.17499999999999999</v>
      </c>
      <c r="G13" s="61">
        <v>6.1999999999999998E-3</v>
      </c>
      <c r="H13" s="18"/>
      <c r="I13" s="23"/>
      <c r="J13" s="23"/>
    </row>
    <row r="14" spans="1:14" x14ac:dyDescent="0.25">
      <c r="A14" s="23"/>
      <c r="B14" s="23"/>
      <c r="C14" s="18"/>
      <c r="D14" s="20"/>
      <c r="F14" s="20"/>
      <c r="G14" s="20"/>
      <c r="H14" s="18"/>
      <c r="I14" s="23"/>
      <c r="J14" s="23"/>
    </row>
    <row r="15" spans="1:14" ht="19.899999999999999" customHeight="1" x14ac:dyDescent="0.25">
      <c r="A15" s="83" t="s">
        <v>26</v>
      </c>
      <c r="B15" s="83"/>
      <c r="C15" s="83"/>
      <c r="D15" s="83"/>
      <c r="E15" s="83"/>
      <c r="F15" s="83"/>
      <c r="G15" s="83"/>
      <c r="H15" s="18"/>
      <c r="I15" s="23"/>
      <c r="J15" s="23"/>
    </row>
    <row r="16" spans="1:14" ht="14.45" customHeight="1" x14ac:dyDescent="0.25">
      <c r="D16" s="25"/>
      <c r="E16" s="25"/>
      <c r="F16" s="25"/>
      <c r="G16" s="25"/>
      <c r="H16" s="25"/>
      <c r="K16" s="26"/>
      <c r="L16" s="26"/>
    </row>
    <row r="17" spans="1:13" ht="69.95" customHeight="1" x14ac:dyDescent="0.25">
      <c r="A17" s="53" t="s">
        <v>27</v>
      </c>
      <c r="B17" s="53" t="s">
        <v>28</v>
      </c>
      <c r="C17" s="53" t="s">
        <v>29</v>
      </c>
      <c r="D17" s="53" t="s">
        <v>30</v>
      </c>
      <c r="E17" s="53" t="s">
        <v>31</v>
      </c>
      <c r="F17" s="53" t="s">
        <v>32</v>
      </c>
      <c r="G17" s="53" t="s">
        <v>33</v>
      </c>
      <c r="J17" s="26"/>
      <c r="K17" s="26"/>
      <c r="L17" s="26"/>
    </row>
    <row r="18" spans="1:13" ht="69.95" customHeight="1" x14ac:dyDescent="0.25">
      <c r="A18" s="53" t="s">
        <v>34</v>
      </c>
      <c r="B18" s="53" t="s">
        <v>35</v>
      </c>
      <c r="C18" s="53" t="s">
        <v>36</v>
      </c>
      <c r="D18" s="53" t="s">
        <v>37</v>
      </c>
      <c r="E18" s="53" t="s">
        <v>38</v>
      </c>
      <c r="F18" s="53" t="s">
        <v>39</v>
      </c>
      <c r="G18" s="53" t="s">
        <v>40</v>
      </c>
      <c r="J18" s="26"/>
      <c r="K18" s="26"/>
      <c r="L18" s="26"/>
    </row>
    <row r="19" spans="1:13" ht="19.149999999999999" customHeight="1" x14ac:dyDescent="0.25">
      <c r="A19" s="56">
        <v>0</v>
      </c>
      <c r="B19" s="56">
        <v>210000</v>
      </c>
      <c r="C19" s="56">
        <v>0.3</v>
      </c>
      <c r="D19" s="56">
        <v>627.85</v>
      </c>
      <c r="E19" s="21">
        <v>669.58</v>
      </c>
      <c r="F19" s="51">
        <v>23.07</v>
      </c>
      <c r="G19" s="24" t="s">
        <v>41</v>
      </c>
      <c r="J19" s="26"/>
      <c r="K19" s="26"/>
      <c r="L19" s="26"/>
    </row>
    <row r="20" spans="1:13" ht="19.149999999999999" customHeight="1" x14ac:dyDescent="0.25">
      <c r="A20" s="56">
        <v>90</v>
      </c>
      <c r="B20" s="56">
        <v>210000</v>
      </c>
      <c r="C20" s="56">
        <v>0.3</v>
      </c>
      <c r="D20" s="56">
        <v>625.69000000000005</v>
      </c>
      <c r="E20" s="21">
        <v>675.78</v>
      </c>
      <c r="F20" s="51">
        <v>21.28</v>
      </c>
      <c r="G20" s="24" t="s">
        <v>41</v>
      </c>
      <c r="J20" s="26"/>
      <c r="K20" s="26"/>
      <c r="L20" s="26"/>
    </row>
    <row r="21" spans="1:13" x14ac:dyDescent="0.25">
      <c r="A21" s="85" t="s">
        <v>42</v>
      </c>
      <c r="B21" s="85"/>
      <c r="C21" s="84" t="s">
        <v>43</v>
      </c>
      <c r="D21" s="84"/>
      <c r="E21" s="84"/>
      <c r="F21" s="84"/>
      <c r="G21" s="50" t="s">
        <v>44</v>
      </c>
      <c r="H21" s="20"/>
      <c r="I21" s="20"/>
      <c r="J21" s="26"/>
    </row>
    <row r="22" spans="1:13" x14ac:dyDescent="0.25">
      <c r="A22" s="36"/>
      <c r="B22" s="36"/>
      <c r="C22" s="34"/>
      <c r="D22" s="34"/>
      <c r="E22" s="34"/>
      <c r="F22" s="34"/>
      <c r="G22" s="35"/>
      <c r="H22" s="20"/>
      <c r="I22" s="20"/>
      <c r="J22" s="26"/>
    </row>
    <row r="23" spans="1:13" ht="19.899999999999999" customHeight="1" x14ac:dyDescent="0.25">
      <c r="A23" s="72" t="s">
        <v>45</v>
      </c>
      <c r="B23" s="72"/>
      <c r="C23" s="72"/>
      <c r="D23" s="72"/>
      <c r="E23" s="72"/>
      <c r="F23" s="72"/>
      <c r="G23" s="72"/>
      <c r="H23" s="20"/>
      <c r="I23" s="20"/>
      <c r="J23" s="26"/>
    </row>
    <row r="24" spans="1:13" ht="15" customHeight="1" x14ac:dyDescent="0.25">
      <c r="D24" s="28"/>
      <c r="E24" s="29"/>
      <c r="K24" s="17"/>
      <c r="L24" s="17"/>
      <c r="M24" s="17"/>
    </row>
    <row r="25" spans="1:13" ht="34.9" customHeight="1" x14ac:dyDescent="0.25">
      <c r="A25" s="53" t="s">
        <v>46</v>
      </c>
      <c r="B25" s="77" t="s">
        <v>47</v>
      </c>
      <c r="C25" s="77"/>
      <c r="D25" s="77" t="s">
        <v>48</v>
      </c>
      <c r="E25" s="77"/>
      <c r="F25" s="73" t="s">
        <v>81</v>
      </c>
      <c r="G25" s="74"/>
      <c r="H25" s="17"/>
      <c r="I25" s="17"/>
      <c r="J25" s="17"/>
      <c r="K25" s="17"/>
      <c r="L25" s="17"/>
      <c r="M25" s="17"/>
    </row>
    <row r="26" spans="1:13" ht="34.9" customHeight="1" x14ac:dyDescent="0.25">
      <c r="A26" s="53" t="s">
        <v>49</v>
      </c>
      <c r="B26" s="77" t="s">
        <v>50</v>
      </c>
      <c r="C26" s="77"/>
      <c r="D26" s="77" t="s">
        <v>51</v>
      </c>
      <c r="E26" s="77"/>
      <c r="F26" s="73" t="s">
        <v>82</v>
      </c>
      <c r="G26" s="74"/>
      <c r="I26" s="17"/>
      <c r="J26" s="17"/>
      <c r="K26" s="27"/>
      <c r="L26" s="30"/>
      <c r="M26" s="18"/>
    </row>
    <row r="27" spans="1:13" ht="19.149999999999999" customHeight="1" x14ac:dyDescent="0.25">
      <c r="A27" s="54">
        <f>'3Thermal Properties'!B12</f>
        <v>7842</v>
      </c>
      <c r="B27" s="78">
        <f>'3Thermal Properties'!C12</f>
        <v>446</v>
      </c>
      <c r="C27" s="78"/>
      <c r="D27" s="79">
        <f>'3Thermal Properties'!D12:E12</f>
        <v>64.87</v>
      </c>
      <c r="E27" s="79"/>
      <c r="F27" s="81">
        <f>'3Thermal Properties'!F13:G13</f>
        <v>12.78</v>
      </c>
      <c r="G27" s="82"/>
      <c r="I27" s="20"/>
      <c r="J27" s="27"/>
    </row>
    <row r="28" spans="1:13" x14ac:dyDescent="0.25">
      <c r="A28" s="80" t="s">
        <v>52</v>
      </c>
      <c r="B28" s="80"/>
      <c r="C28" s="80"/>
      <c r="D28" s="80"/>
      <c r="E28" s="80"/>
      <c r="F28" s="80"/>
      <c r="G28" s="80"/>
    </row>
    <row r="30" spans="1:13" ht="43.9" customHeight="1" x14ac:dyDescent="0.25">
      <c r="A30" s="75" t="s">
        <v>53</v>
      </c>
      <c r="B30" s="76"/>
      <c r="C30" s="76"/>
      <c r="D30" s="76"/>
      <c r="E30" s="76"/>
      <c r="F30" s="76"/>
      <c r="G30" s="76"/>
    </row>
    <row r="31" spans="1:13" x14ac:dyDescent="0.25">
      <c r="B31" s="37"/>
      <c r="C31"/>
    </row>
    <row r="32" spans="1:13" x14ac:dyDescent="0.25">
      <c r="A32" s="40"/>
    </row>
  </sheetData>
  <mergeCells count="17">
    <mergeCell ref="A15:G15"/>
    <mergeCell ref="A8:G8"/>
    <mergeCell ref="A2:G2"/>
    <mergeCell ref="C21:F21"/>
    <mergeCell ref="A21:B21"/>
    <mergeCell ref="A23:G23"/>
    <mergeCell ref="F25:G25"/>
    <mergeCell ref="F26:G26"/>
    <mergeCell ref="A30:G30"/>
    <mergeCell ref="B25:C25"/>
    <mergeCell ref="B26:C26"/>
    <mergeCell ref="B27:C27"/>
    <mergeCell ref="D25:E25"/>
    <mergeCell ref="D26:E26"/>
    <mergeCell ref="D27:E27"/>
    <mergeCell ref="A28:G28"/>
    <mergeCell ref="F27:G27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H29"/>
  <sheetViews>
    <sheetView zoomScale="85" zoomScaleNormal="85" workbookViewId="0">
      <selection activeCell="C6" sqref="C6"/>
    </sheetView>
  </sheetViews>
  <sheetFormatPr defaultColWidth="8.85546875" defaultRowHeight="15.75" x14ac:dyDescent="0.25"/>
  <cols>
    <col min="1" max="7" width="19.7109375" style="13" customWidth="1"/>
    <col min="8" max="8" width="13.7109375" style="13" customWidth="1"/>
    <col min="9" max="16384" width="8.85546875" style="13"/>
  </cols>
  <sheetData>
    <row r="2" spans="1:8" ht="18.75" x14ac:dyDescent="0.25">
      <c r="A2" s="83" t="s">
        <v>0</v>
      </c>
      <c r="B2" s="83"/>
      <c r="C2" s="83"/>
      <c r="D2" s="83"/>
      <c r="E2" s="83"/>
      <c r="F2" s="83"/>
      <c r="G2" s="83"/>
    </row>
    <row r="4" spans="1:8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8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8" ht="47.25" customHeight="1" x14ac:dyDescent="0.25">
      <c r="C6" s="57" t="str">
        <f>'1Base Properties'!C6</f>
        <v>EN 10149</v>
      </c>
      <c r="D6" s="57" t="str">
        <f>'1Base Properties'!D6</f>
        <v>Hot rolled steel / Горячекатаная сталь</v>
      </c>
      <c r="E6" s="57" t="str">
        <f>'1Base Properties'!E6</f>
        <v>S550MC</v>
      </c>
      <c r="F6" s="60">
        <f>'1Base Properties'!F6</f>
        <v>5</v>
      </c>
      <c r="G6" s="16">
        <f>'1Base Properties'!G6</f>
        <v>45404</v>
      </c>
    </row>
    <row r="8" spans="1:8" ht="8.4499999999999993" customHeight="1" x14ac:dyDescent="0.25">
      <c r="A8" s="12"/>
      <c r="B8" s="12"/>
    </row>
    <row r="9" spans="1:8" ht="18.75" x14ac:dyDescent="0.25">
      <c r="A9" s="83" t="s">
        <v>54</v>
      </c>
      <c r="B9" s="83"/>
      <c r="C9" s="83"/>
      <c r="D9" s="83"/>
      <c r="E9" s="83"/>
      <c r="F9" s="83"/>
      <c r="G9" s="83"/>
    </row>
    <row r="11" spans="1:8" ht="69.95" customHeight="1" x14ac:dyDescent="0.25">
      <c r="A11" s="14" t="s">
        <v>27</v>
      </c>
      <c r="B11" s="53" t="s">
        <v>28</v>
      </c>
      <c r="C11" s="14" t="s">
        <v>29</v>
      </c>
      <c r="D11" s="14" t="s">
        <v>55</v>
      </c>
      <c r="E11" s="53" t="s">
        <v>31</v>
      </c>
      <c r="F11" s="53" t="s">
        <v>32</v>
      </c>
      <c r="G11" s="53" t="s">
        <v>33</v>
      </c>
    </row>
    <row r="12" spans="1:8" ht="69.95" customHeight="1" x14ac:dyDescent="0.25">
      <c r="A12" s="14" t="s">
        <v>34</v>
      </c>
      <c r="B12" s="53" t="s">
        <v>35</v>
      </c>
      <c r="C12" s="14" t="s">
        <v>36</v>
      </c>
      <c r="D12" s="14" t="s">
        <v>37</v>
      </c>
      <c r="E12" s="53" t="s">
        <v>38</v>
      </c>
      <c r="F12" s="53" t="s">
        <v>39</v>
      </c>
      <c r="G12" s="53" t="s">
        <v>40</v>
      </c>
    </row>
    <row r="13" spans="1:8" ht="19.149999999999999" customHeight="1" x14ac:dyDescent="0.25">
      <c r="A13" s="31">
        <v>0</v>
      </c>
      <c r="B13" s="56">
        <v>210000</v>
      </c>
      <c r="C13" s="56">
        <v>0.3</v>
      </c>
      <c r="D13" s="56">
        <f>'1Base Properties'!D19</f>
        <v>627.85</v>
      </c>
      <c r="E13" s="21">
        <f>'1Base Properties'!E19</f>
        <v>669.58</v>
      </c>
      <c r="F13" s="51">
        <f>'1Base Properties'!F19</f>
        <v>23.07</v>
      </c>
      <c r="G13" s="24" t="s">
        <v>41</v>
      </c>
    </row>
    <row r="14" spans="1:8" ht="19.149999999999999" customHeight="1" x14ac:dyDescent="0.25">
      <c r="A14" s="57">
        <v>90</v>
      </c>
      <c r="B14" s="56">
        <v>210000</v>
      </c>
      <c r="C14" s="56">
        <v>0.3</v>
      </c>
      <c r="D14" s="56">
        <f>'1Base Properties'!D20</f>
        <v>625.69000000000005</v>
      </c>
      <c r="E14" s="21">
        <f>'1Base Properties'!E20</f>
        <v>675.78</v>
      </c>
      <c r="F14" s="51">
        <f>'1Base Properties'!F20</f>
        <v>21.28</v>
      </c>
      <c r="G14" s="24" t="s">
        <v>41</v>
      </c>
    </row>
    <row r="15" spans="1:8" x14ac:dyDescent="0.25">
      <c r="A15" s="91" t="s">
        <v>42</v>
      </c>
      <c r="B15" s="91"/>
      <c r="C15" s="91"/>
      <c r="D15" s="84" t="s">
        <v>43</v>
      </c>
      <c r="E15" s="84"/>
      <c r="F15" s="84"/>
      <c r="G15" s="47" t="s">
        <v>44</v>
      </c>
      <c r="H15" s="32"/>
    </row>
    <row r="16" spans="1:8" x14ac:dyDescent="0.25">
      <c r="A16" s="45"/>
      <c r="B16" s="45"/>
      <c r="C16" s="45"/>
      <c r="D16" s="34"/>
      <c r="E16" s="34"/>
      <c r="F16" s="34"/>
      <c r="G16" s="46"/>
      <c r="H16" s="32"/>
    </row>
    <row r="17" spans="1:8" ht="46.9" customHeight="1" x14ac:dyDescent="0.25">
      <c r="A17" s="44" t="s">
        <v>27</v>
      </c>
      <c r="B17" s="44" t="s">
        <v>56</v>
      </c>
      <c r="C17" s="44" t="s">
        <v>57</v>
      </c>
      <c r="D17" s="44" t="s">
        <v>58</v>
      </c>
      <c r="E17" s="44" t="s">
        <v>59</v>
      </c>
      <c r="F17" s="44" t="s">
        <v>60</v>
      </c>
      <c r="G17" s="44" t="s">
        <v>61</v>
      </c>
    </row>
    <row r="18" spans="1:8" ht="46.9" customHeight="1" x14ac:dyDescent="0.25">
      <c r="A18" s="53" t="s">
        <v>34</v>
      </c>
      <c r="B18" s="53" t="s">
        <v>62</v>
      </c>
      <c r="C18" s="53" t="s">
        <v>63</v>
      </c>
      <c r="D18" s="53" t="s">
        <v>64</v>
      </c>
      <c r="E18" s="53" t="s">
        <v>65</v>
      </c>
      <c r="F18" s="53" t="s">
        <v>60</v>
      </c>
      <c r="G18" s="53" t="s">
        <v>66</v>
      </c>
    </row>
    <row r="19" spans="1:8" ht="19.149999999999999" customHeight="1" x14ac:dyDescent="0.25">
      <c r="A19" s="56">
        <v>0</v>
      </c>
      <c r="B19" s="112" t="s">
        <v>41</v>
      </c>
      <c r="C19" s="112" t="s">
        <v>41</v>
      </c>
      <c r="D19" s="113" t="s">
        <v>41</v>
      </c>
      <c r="E19" s="113" t="s">
        <v>41</v>
      </c>
      <c r="F19" s="114" t="s">
        <v>41</v>
      </c>
      <c r="G19" s="115" t="s">
        <v>41</v>
      </c>
    </row>
    <row r="20" spans="1:8" ht="19.149999999999999" customHeight="1" x14ac:dyDescent="0.25">
      <c r="A20" s="56">
        <v>90</v>
      </c>
      <c r="B20" s="112" t="s">
        <v>41</v>
      </c>
      <c r="C20" s="112" t="s">
        <v>41</v>
      </c>
      <c r="D20" s="113" t="s">
        <v>41</v>
      </c>
      <c r="E20" s="112" t="s">
        <v>41</v>
      </c>
      <c r="F20" s="114" t="s">
        <v>41</v>
      </c>
      <c r="G20" s="115" t="s">
        <v>41</v>
      </c>
    </row>
    <row r="21" spans="1:8" ht="35.450000000000003" customHeight="1" x14ac:dyDescent="0.25">
      <c r="A21" s="49" t="s">
        <v>42</v>
      </c>
      <c r="B21" s="48" t="s">
        <v>67</v>
      </c>
      <c r="C21" s="48" t="s">
        <v>68</v>
      </c>
      <c r="D21" s="92" t="s">
        <v>52</v>
      </c>
      <c r="E21" s="93"/>
      <c r="F21" s="94"/>
      <c r="G21" s="47" t="s">
        <v>43</v>
      </c>
      <c r="H21" s="32"/>
    </row>
    <row r="23" spans="1:8" ht="32.65" customHeight="1" x14ac:dyDescent="0.25">
      <c r="A23" s="88" t="s">
        <v>83</v>
      </c>
      <c r="B23" s="88"/>
      <c r="C23" s="88" t="s">
        <v>84</v>
      </c>
      <c r="D23" s="88"/>
      <c r="E23" s="88" t="s">
        <v>85</v>
      </c>
      <c r="F23" s="88"/>
      <c r="G23" s="88"/>
    </row>
    <row r="24" spans="1:8" ht="32.65" customHeight="1" x14ac:dyDescent="0.25">
      <c r="A24" s="88" t="s">
        <v>86</v>
      </c>
      <c r="B24" s="88"/>
      <c r="C24" s="89" t="s">
        <v>87</v>
      </c>
      <c r="D24" s="89"/>
      <c r="E24" s="90" t="s">
        <v>88</v>
      </c>
      <c r="F24" s="90"/>
      <c r="G24" s="90"/>
    </row>
    <row r="25" spans="1:8" ht="29.45" customHeight="1" x14ac:dyDescent="0.25">
      <c r="A25" s="86" t="s">
        <v>69</v>
      </c>
      <c r="B25" s="86"/>
      <c r="C25" s="87" t="s">
        <v>92</v>
      </c>
      <c r="D25" s="87"/>
      <c r="E25" s="87"/>
      <c r="F25" s="87"/>
      <c r="G25" s="87"/>
    </row>
    <row r="28" spans="1:8" ht="51" customHeight="1" x14ac:dyDescent="0.25">
      <c r="A28" s="75" t="s">
        <v>53</v>
      </c>
      <c r="B28" s="75"/>
      <c r="C28" s="75"/>
      <c r="D28" s="75"/>
      <c r="E28" s="75"/>
      <c r="F28" s="75"/>
      <c r="G28" s="75"/>
    </row>
    <row r="29" spans="1:8" ht="24" customHeight="1" x14ac:dyDescent="0.25">
      <c r="A29" s="41"/>
      <c r="B29" s="41"/>
      <c r="C29" s="41"/>
      <c r="D29" s="41"/>
      <c r="E29" s="41"/>
      <c r="F29" s="41"/>
      <c r="G29" s="41"/>
    </row>
  </sheetData>
  <mergeCells count="14">
    <mergeCell ref="A2:G2"/>
    <mergeCell ref="A9:G9"/>
    <mergeCell ref="A15:C15"/>
    <mergeCell ref="D15:F15"/>
    <mergeCell ref="D21:F21"/>
    <mergeCell ref="A28:G28"/>
    <mergeCell ref="A25:B25"/>
    <mergeCell ref="C25:G25"/>
    <mergeCell ref="A23:B23"/>
    <mergeCell ref="C23:D23"/>
    <mergeCell ref="E23:G23"/>
    <mergeCell ref="A24:B24"/>
    <mergeCell ref="C24:D24"/>
    <mergeCell ref="E24:G24"/>
  </mergeCells>
  <hyperlinks>
    <hyperlink ref="C25" r:id="rId1"/>
  </hyperlinks>
  <pageMargins left="0.39370078740157483" right="0.39370078740157483" top="0.39370078740157483" bottom="0.39370078740157483" header="0.31496062992125984" footer="0.31496062992125984"/>
  <pageSetup paperSize="9" scale="70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43"/>
  <sheetViews>
    <sheetView zoomScale="85" zoomScaleNormal="85" workbookViewId="0">
      <selection activeCell="C6" sqref="C6"/>
    </sheetView>
  </sheetViews>
  <sheetFormatPr defaultColWidth="8.85546875" defaultRowHeight="15.75" x14ac:dyDescent="0.25"/>
  <cols>
    <col min="1" max="7" width="19.7109375" style="13" customWidth="1"/>
    <col min="8" max="8" width="16.42578125" style="13" customWidth="1"/>
    <col min="9" max="16384" width="8.85546875" style="13"/>
  </cols>
  <sheetData>
    <row r="2" spans="1:7" ht="18.75" x14ac:dyDescent="0.25">
      <c r="A2" s="83" t="s">
        <v>0</v>
      </c>
      <c r="B2" s="83"/>
      <c r="C2" s="83"/>
      <c r="D2" s="83"/>
      <c r="E2" s="83"/>
      <c r="F2" s="83"/>
      <c r="G2" s="83"/>
    </row>
    <row r="4" spans="1:7" ht="31.9" customHeight="1" x14ac:dyDescent="0.25">
      <c r="C4" s="14" t="s">
        <v>1</v>
      </c>
      <c r="D4" s="14" t="s">
        <v>2</v>
      </c>
      <c r="E4" s="14" t="s">
        <v>3</v>
      </c>
      <c r="F4" s="14" t="s">
        <v>4</v>
      </c>
      <c r="G4" s="15" t="s">
        <v>5</v>
      </c>
    </row>
    <row r="5" spans="1:7" ht="31.9" customHeight="1" x14ac:dyDescent="0.25">
      <c r="C5" s="14" t="s">
        <v>6</v>
      </c>
      <c r="D5" s="14" t="s">
        <v>7</v>
      </c>
      <c r="E5" s="14" t="s">
        <v>8</v>
      </c>
      <c r="F5" s="14" t="s">
        <v>9</v>
      </c>
      <c r="G5" s="15" t="s">
        <v>10</v>
      </c>
    </row>
    <row r="6" spans="1:7" ht="47.25" customHeight="1" x14ac:dyDescent="0.25">
      <c r="C6" s="57" t="str">
        <f>'1Base Properties'!C6</f>
        <v>EN 10149</v>
      </c>
      <c r="D6" s="57" t="str">
        <f>'1Base Properties'!D6</f>
        <v>Hot rolled steel / Горячекатаная сталь</v>
      </c>
      <c r="E6" s="57" t="str">
        <f>'1Base Properties'!E6</f>
        <v>S550MC</v>
      </c>
      <c r="F6" s="60">
        <f>'1Base Properties'!F6</f>
        <v>5</v>
      </c>
      <c r="G6" s="16">
        <f>'1Base Properties'!G6</f>
        <v>45404</v>
      </c>
    </row>
    <row r="8" spans="1:7" ht="22.15" customHeight="1" x14ac:dyDescent="0.25">
      <c r="A8" s="72" t="s">
        <v>70</v>
      </c>
      <c r="B8" s="72"/>
      <c r="C8" s="72"/>
      <c r="D8" s="72"/>
      <c r="E8" s="72"/>
      <c r="F8" s="72"/>
      <c r="G8" s="72"/>
    </row>
    <row r="10" spans="1:7" ht="49.15" customHeight="1" x14ac:dyDescent="0.25">
      <c r="A10" s="53" t="s">
        <v>71</v>
      </c>
      <c r="B10" s="53" t="s">
        <v>46</v>
      </c>
      <c r="C10" s="53" t="s">
        <v>47</v>
      </c>
      <c r="D10" s="77" t="s">
        <v>48</v>
      </c>
      <c r="E10" s="77"/>
      <c r="F10" s="77" t="s">
        <v>81</v>
      </c>
      <c r="G10" s="77"/>
    </row>
    <row r="11" spans="1:7" ht="49.15" customHeight="1" x14ac:dyDescent="0.25">
      <c r="A11" s="53" t="s">
        <v>72</v>
      </c>
      <c r="B11" s="53" t="s">
        <v>49</v>
      </c>
      <c r="C11" s="53" t="s">
        <v>50</v>
      </c>
      <c r="D11" s="77" t="s">
        <v>51</v>
      </c>
      <c r="E11" s="77"/>
      <c r="F11" s="77" t="s">
        <v>82</v>
      </c>
      <c r="G11" s="77"/>
    </row>
    <row r="12" spans="1:7" ht="19.149999999999999" customHeight="1" x14ac:dyDescent="0.25">
      <c r="A12" s="56">
        <v>20</v>
      </c>
      <c r="B12" s="51">
        <v>7842</v>
      </c>
      <c r="C12" s="51">
        <v>446</v>
      </c>
      <c r="D12" s="98">
        <v>64.87</v>
      </c>
      <c r="E12" s="98"/>
      <c r="F12" s="104"/>
      <c r="G12" s="105"/>
    </row>
    <row r="13" spans="1:7" ht="19.149999999999999" customHeight="1" x14ac:dyDescent="0.25">
      <c r="A13" s="55">
        <v>100</v>
      </c>
      <c r="B13" s="52">
        <v>7820</v>
      </c>
      <c r="C13" s="52">
        <v>484</v>
      </c>
      <c r="D13" s="103">
        <v>59.99</v>
      </c>
      <c r="E13" s="103"/>
      <c r="F13" s="101">
        <v>12.78</v>
      </c>
      <c r="G13" s="102"/>
    </row>
    <row r="14" spans="1:7" ht="19.149999999999999" customHeight="1" x14ac:dyDescent="0.25">
      <c r="A14" s="56">
        <v>200</v>
      </c>
      <c r="B14" s="51">
        <v>7785</v>
      </c>
      <c r="C14" s="51">
        <v>567</v>
      </c>
      <c r="D14" s="98">
        <v>50.52</v>
      </c>
      <c r="E14" s="98"/>
      <c r="F14" s="99">
        <v>14.46</v>
      </c>
      <c r="G14" s="100"/>
    </row>
    <row r="15" spans="1:7" ht="19.149999999999999" customHeight="1" x14ac:dyDescent="0.25">
      <c r="A15" s="55">
        <v>300</v>
      </c>
      <c r="B15" s="52">
        <v>7749</v>
      </c>
      <c r="C15" s="52">
        <v>592</v>
      </c>
      <c r="D15" s="103">
        <v>44.97</v>
      </c>
      <c r="E15" s="103"/>
      <c r="F15" s="101">
        <v>14.58</v>
      </c>
      <c r="G15" s="102"/>
    </row>
    <row r="16" spans="1:7" ht="19.149999999999999" customHeight="1" x14ac:dyDescent="0.25">
      <c r="A16" s="56">
        <v>400</v>
      </c>
      <c r="B16" s="51">
        <v>7714</v>
      </c>
      <c r="C16" s="51">
        <v>633</v>
      </c>
      <c r="D16" s="98">
        <v>40.9</v>
      </c>
      <c r="E16" s="98"/>
      <c r="F16" s="99">
        <v>14.84</v>
      </c>
      <c r="G16" s="100"/>
    </row>
    <row r="17" spans="1:7" ht="19.149999999999999" customHeight="1" x14ac:dyDescent="0.25">
      <c r="A17" s="55">
        <v>500</v>
      </c>
      <c r="B17" s="52">
        <v>7677</v>
      </c>
      <c r="C17" s="52">
        <v>714</v>
      </c>
      <c r="D17" s="103">
        <v>37.57</v>
      </c>
      <c r="E17" s="103"/>
      <c r="F17" s="101">
        <v>15.08</v>
      </c>
      <c r="G17" s="102"/>
    </row>
    <row r="18" spans="1:7" ht="19.149999999999999" customHeight="1" x14ac:dyDescent="0.25">
      <c r="A18" s="56">
        <v>600</v>
      </c>
      <c r="B18" s="51">
        <v>7639</v>
      </c>
      <c r="C18" s="51">
        <v>810</v>
      </c>
      <c r="D18" s="98">
        <v>34.33</v>
      </c>
      <c r="E18" s="98"/>
      <c r="F18" s="99">
        <v>15.43</v>
      </c>
      <c r="G18" s="100"/>
    </row>
    <row r="19" spans="1:7" ht="19.149999999999999" customHeight="1" x14ac:dyDescent="0.25">
      <c r="A19" s="55">
        <v>700</v>
      </c>
      <c r="B19" s="52">
        <v>7612</v>
      </c>
      <c r="C19" s="52">
        <v>1026</v>
      </c>
      <c r="D19" s="103">
        <v>31.19</v>
      </c>
      <c r="E19" s="103"/>
      <c r="F19" s="101">
        <v>14.93</v>
      </c>
      <c r="G19" s="102"/>
    </row>
    <row r="20" spans="1:7" ht="19.149999999999999" customHeight="1" x14ac:dyDescent="0.25">
      <c r="A20" s="56">
        <v>800</v>
      </c>
      <c r="B20" s="51">
        <v>7622</v>
      </c>
      <c r="C20" s="51">
        <v>1018</v>
      </c>
      <c r="D20" s="98">
        <v>27.77</v>
      </c>
      <c r="E20" s="98"/>
      <c r="F20" s="99">
        <v>12.41</v>
      </c>
      <c r="G20" s="100"/>
    </row>
    <row r="21" spans="1:7" ht="19.149999999999999" customHeight="1" x14ac:dyDescent="0.25">
      <c r="A21" s="55">
        <v>900</v>
      </c>
      <c r="B21" s="52">
        <v>7591</v>
      </c>
      <c r="C21" s="52">
        <v>612</v>
      </c>
      <c r="D21" s="103">
        <v>27.95</v>
      </c>
      <c r="E21" s="103"/>
      <c r="F21" s="101">
        <v>12.61</v>
      </c>
      <c r="G21" s="102"/>
    </row>
    <row r="22" spans="1:7" ht="19.149999999999999" customHeight="1" x14ac:dyDescent="0.25">
      <c r="A22" s="56">
        <v>1000</v>
      </c>
      <c r="B22" s="51">
        <v>7536</v>
      </c>
      <c r="C22" s="51">
        <v>627</v>
      </c>
      <c r="D22" s="98">
        <v>29.18</v>
      </c>
      <c r="E22" s="98"/>
      <c r="F22" s="99">
        <v>13.89</v>
      </c>
      <c r="G22" s="100"/>
    </row>
    <row r="23" spans="1:7" ht="19.149999999999999" customHeight="1" x14ac:dyDescent="0.25">
      <c r="A23" s="55">
        <v>1100</v>
      </c>
      <c r="B23" s="52">
        <v>7482</v>
      </c>
      <c r="C23" s="52">
        <v>645</v>
      </c>
      <c r="D23" s="103">
        <v>30.41</v>
      </c>
      <c r="E23" s="103"/>
      <c r="F23" s="101">
        <v>14.94</v>
      </c>
      <c r="G23" s="102"/>
    </row>
    <row r="24" spans="1:7" ht="19.149999999999999" customHeight="1" x14ac:dyDescent="0.25">
      <c r="A24" s="56">
        <v>1200</v>
      </c>
      <c r="B24" s="51">
        <v>7428</v>
      </c>
      <c r="C24" s="51">
        <v>658</v>
      </c>
      <c r="D24" s="98">
        <v>31.62</v>
      </c>
      <c r="E24" s="98"/>
      <c r="F24" s="99">
        <v>15.84</v>
      </c>
      <c r="G24" s="100"/>
    </row>
    <row r="25" spans="1:7" ht="25.15" customHeight="1" x14ac:dyDescent="0.25">
      <c r="A25" s="97" t="s">
        <v>52</v>
      </c>
      <c r="B25" s="97"/>
      <c r="C25" s="97"/>
      <c r="D25" s="97"/>
      <c r="E25" s="97"/>
      <c r="F25" s="97"/>
      <c r="G25" s="97"/>
    </row>
    <row r="26" spans="1:7" ht="49.15" customHeight="1" x14ac:dyDescent="0.25">
      <c r="A26" s="53" t="s">
        <v>71</v>
      </c>
      <c r="B26" s="53" t="s">
        <v>30</v>
      </c>
      <c r="C26" s="53" t="s">
        <v>31</v>
      </c>
      <c r="D26" s="53" t="s">
        <v>32</v>
      </c>
      <c r="E26" s="53" t="s">
        <v>56</v>
      </c>
      <c r="F26" s="73" t="s">
        <v>57</v>
      </c>
      <c r="G26" s="74"/>
    </row>
    <row r="27" spans="1:7" ht="49.15" customHeight="1" x14ac:dyDescent="0.25">
      <c r="A27" s="53" t="s">
        <v>72</v>
      </c>
      <c r="B27" s="53" t="s">
        <v>37</v>
      </c>
      <c r="C27" s="53" t="s">
        <v>38</v>
      </c>
      <c r="D27" s="53" t="s">
        <v>39</v>
      </c>
      <c r="E27" s="53" t="s">
        <v>62</v>
      </c>
      <c r="F27" s="73" t="s">
        <v>63</v>
      </c>
      <c r="G27" s="74"/>
    </row>
    <row r="28" spans="1:7" ht="19.149999999999999" customHeight="1" x14ac:dyDescent="0.25">
      <c r="A28" s="56">
        <v>20</v>
      </c>
      <c r="B28" s="56"/>
      <c r="C28" s="56"/>
      <c r="D28" s="42"/>
      <c r="E28" s="42"/>
      <c r="F28" s="96"/>
      <c r="G28" s="96"/>
    </row>
    <row r="29" spans="1:7" ht="19.149999999999999" customHeight="1" x14ac:dyDescent="0.25">
      <c r="A29" s="55">
        <v>100</v>
      </c>
      <c r="B29" s="55"/>
      <c r="C29" s="55"/>
      <c r="D29" s="43"/>
      <c r="E29" s="43"/>
      <c r="F29" s="95"/>
      <c r="G29" s="95"/>
    </row>
    <row r="30" spans="1:7" ht="19.149999999999999" customHeight="1" x14ac:dyDescent="0.25">
      <c r="A30" s="56">
        <v>200</v>
      </c>
      <c r="B30" s="56"/>
      <c r="C30" s="56"/>
      <c r="D30" s="42"/>
      <c r="E30" s="42"/>
      <c r="F30" s="96"/>
      <c r="G30" s="96"/>
    </row>
    <row r="31" spans="1:7" ht="19.149999999999999" customHeight="1" x14ac:dyDescent="0.25">
      <c r="A31" s="55">
        <v>300</v>
      </c>
      <c r="B31" s="55"/>
      <c r="C31" s="55"/>
      <c r="D31" s="43"/>
      <c r="E31" s="43"/>
      <c r="F31" s="95"/>
      <c r="G31" s="95"/>
    </row>
    <row r="32" spans="1:7" ht="19.149999999999999" customHeight="1" x14ac:dyDescent="0.25">
      <c r="A32" s="56">
        <v>400</v>
      </c>
      <c r="B32" s="56"/>
      <c r="C32" s="56"/>
      <c r="D32" s="42"/>
      <c r="E32" s="42"/>
      <c r="F32" s="96"/>
      <c r="G32" s="96"/>
    </row>
    <row r="33" spans="1:7" ht="19.149999999999999" customHeight="1" x14ac:dyDescent="0.25">
      <c r="A33" s="55">
        <v>500</v>
      </c>
      <c r="B33" s="55"/>
      <c r="C33" s="55"/>
      <c r="D33" s="43"/>
      <c r="E33" s="43"/>
      <c r="F33" s="95"/>
      <c r="G33" s="95"/>
    </row>
    <row r="34" spans="1:7" ht="19.149999999999999" customHeight="1" x14ac:dyDescent="0.25">
      <c r="A34" s="56">
        <v>600</v>
      </c>
      <c r="B34" s="56"/>
      <c r="C34" s="56"/>
      <c r="D34" s="42"/>
      <c r="E34" s="42"/>
      <c r="F34" s="96"/>
      <c r="G34" s="96"/>
    </row>
    <row r="35" spans="1:7" ht="19.149999999999999" customHeight="1" x14ac:dyDescent="0.25">
      <c r="A35" s="55">
        <v>700</v>
      </c>
      <c r="B35" s="55"/>
      <c r="C35" s="55"/>
      <c r="D35" s="43"/>
      <c r="E35" s="43"/>
      <c r="F35" s="95"/>
      <c r="G35" s="95"/>
    </row>
    <row r="36" spans="1:7" ht="19.149999999999999" customHeight="1" x14ac:dyDescent="0.25">
      <c r="A36" s="56">
        <v>800</v>
      </c>
      <c r="B36" s="56"/>
      <c r="C36" s="56"/>
      <c r="D36" s="42"/>
      <c r="E36" s="42"/>
      <c r="F36" s="96"/>
      <c r="G36" s="96"/>
    </row>
    <row r="37" spans="1:7" ht="19.149999999999999" customHeight="1" x14ac:dyDescent="0.25">
      <c r="A37" s="55">
        <v>900</v>
      </c>
      <c r="B37" s="55"/>
      <c r="C37" s="55"/>
      <c r="D37" s="43"/>
      <c r="E37" s="43"/>
      <c r="F37" s="95"/>
      <c r="G37" s="95"/>
    </row>
    <row r="38" spans="1:7" ht="19.149999999999999" customHeight="1" x14ac:dyDescent="0.25">
      <c r="A38" s="56">
        <v>1000</v>
      </c>
      <c r="B38" s="56"/>
      <c r="C38" s="56"/>
      <c r="D38" s="42"/>
      <c r="E38" s="42"/>
      <c r="F38" s="96"/>
      <c r="G38" s="96"/>
    </row>
    <row r="39" spans="1:7" ht="19.149999999999999" customHeight="1" x14ac:dyDescent="0.25">
      <c r="A39" s="55">
        <v>1100</v>
      </c>
      <c r="B39" s="55"/>
      <c r="C39" s="55"/>
      <c r="D39" s="43"/>
      <c r="E39" s="43"/>
      <c r="F39" s="95"/>
      <c r="G39" s="95"/>
    </row>
    <row r="40" spans="1:7" ht="19.149999999999999" customHeight="1" x14ac:dyDescent="0.25">
      <c r="A40" s="56">
        <v>1200</v>
      </c>
      <c r="B40" s="56"/>
      <c r="C40" s="56"/>
      <c r="D40" s="42"/>
      <c r="E40" s="42"/>
      <c r="F40" s="96"/>
      <c r="G40" s="96"/>
    </row>
    <row r="41" spans="1:7" ht="22.15" customHeight="1" x14ac:dyDescent="0.25">
      <c r="A41" s="97" t="s">
        <v>52</v>
      </c>
      <c r="B41" s="97"/>
      <c r="C41" s="97"/>
      <c r="D41" s="97"/>
      <c r="E41" s="97"/>
      <c r="F41" s="97"/>
      <c r="G41" s="97"/>
    </row>
    <row r="43" spans="1:7" ht="52.9" customHeight="1" x14ac:dyDescent="0.25">
      <c r="A43" s="75" t="s">
        <v>53</v>
      </c>
      <c r="B43" s="76"/>
      <c r="C43" s="76"/>
      <c r="D43" s="76"/>
      <c r="E43" s="76"/>
      <c r="F43" s="76"/>
      <c r="G43" s="76"/>
    </row>
  </sheetData>
  <mergeCells count="50">
    <mergeCell ref="A2:G2"/>
    <mergeCell ref="A8:G8"/>
    <mergeCell ref="F10:G10"/>
    <mergeCell ref="F11:G11"/>
    <mergeCell ref="D10:E10"/>
    <mergeCell ref="D11:E11"/>
    <mergeCell ref="F12:G12"/>
    <mergeCell ref="F13:G13"/>
    <mergeCell ref="F14:G14"/>
    <mergeCell ref="D12:E12"/>
    <mergeCell ref="D13:E13"/>
    <mergeCell ref="D14:E14"/>
    <mergeCell ref="F15:G15"/>
    <mergeCell ref="F16:G16"/>
    <mergeCell ref="F17:G17"/>
    <mergeCell ref="D15:E15"/>
    <mergeCell ref="D16:E16"/>
    <mergeCell ref="D17:E17"/>
    <mergeCell ref="F23:G23"/>
    <mergeCell ref="D18:E18"/>
    <mergeCell ref="F18:G18"/>
    <mergeCell ref="D19:E19"/>
    <mergeCell ref="F19:G19"/>
    <mergeCell ref="D20:E20"/>
    <mergeCell ref="F20:G20"/>
    <mergeCell ref="D21:E21"/>
    <mergeCell ref="F21:G21"/>
    <mergeCell ref="D22:E22"/>
    <mergeCell ref="F22:G22"/>
    <mergeCell ref="D23:E23"/>
    <mergeCell ref="F34:G34"/>
    <mergeCell ref="F35:G35"/>
    <mergeCell ref="D24:E24"/>
    <mergeCell ref="F24:G24"/>
    <mergeCell ref="A25:G25"/>
    <mergeCell ref="F32:G32"/>
    <mergeCell ref="F33:G33"/>
    <mergeCell ref="F26:G26"/>
    <mergeCell ref="F27:G27"/>
    <mergeCell ref="F28:G28"/>
    <mergeCell ref="F29:G29"/>
    <mergeCell ref="F30:G30"/>
    <mergeCell ref="F31:G31"/>
    <mergeCell ref="F39:G39"/>
    <mergeCell ref="F40:G40"/>
    <mergeCell ref="A41:G41"/>
    <mergeCell ref="A43:G43"/>
    <mergeCell ref="F36:G36"/>
    <mergeCell ref="F37:G37"/>
    <mergeCell ref="F38:G38"/>
  </mergeCells>
  <pageMargins left="0.39370078740157483" right="0.39370078740157483" top="0.39370078740157483" bottom="0.39370078740157483" header="0.31496062992125984" footer="0.31496062992125984"/>
  <pageSetup paperSize="9" scale="7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K4490"/>
  <sheetViews>
    <sheetView zoomScaleNormal="100" workbookViewId="0">
      <selection activeCell="B25" sqref="B25"/>
    </sheetView>
  </sheetViews>
  <sheetFormatPr defaultRowHeight="12.75" x14ac:dyDescent="0.2"/>
  <cols>
    <col min="1" max="1" width="1.85546875" style="6" customWidth="1"/>
    <col min="2" max="3" width="25.140625" customWidth="1"/>
    <col min="4" max="4" width="6.7109375" hidden="1" customWidth="1"/>
    <col min="5" max="5" width="1.7109375" style="6" customWidth="1"/>
    <col min="6" max="7" width="25.140625" customWidth="1"/>
    <col min="8" max="8" width="6.7109375" hidden="1" customWidth="1"/>
    <col min="9" max="9" width="1.85546875" style="6" customWidth="1"/>
    <col min="10" max="11" width="25.140625" customWidth="1"/>
    <col min="12" max="12" width="6.7109375" hidden="1" customWidth="1"/>
    <col min="13" max="13" width="1.85546875" style="6" customWidth="1"/>
    <col min="14" max="15" width="25.140625" customWidth="1"/>
    <col min="16" max="16" width="6.7109375" hidden="1" customWidth="1"/>
    <col min="17" max="17" width="1.85546875" style="6" customWidth="1"/>
    <col min="18" max="18" width="6.7109375" hidden="1" customWidth="1"/>
    <col min="19" max="19" width="5.28515625" customWidth="1"/>
  </cols>
  <sheetData>
    <row r="1" spans="19:115" s="6" customFormat="1" x14ac:dyDescent="0.2"/>
    <row r="2" spans="19:115" x14ac:dyDescent="0.2"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</row>
    <row r="3" spans="19:115" ht="15.6" customHeight="1" x14ac:dyDescent="0.2">
      <c r="S3" s="6"/>
      <c r="T3" s="62"/>
      <c r="U3" s="62"/>
      <c r="V3" s="62"/>
      <c r="W3" s="62"/>
      <c r="X3" s="62"/>
      <c r="Y3" s="62"/>
      <c r="Z3" s="62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</row>
    <row r="4" spans="19:115" ht="13.15" customHeight="1" x14ac:dyDescent="0.2">
      <c r="S4" s="6"/>
      <c r="T4" s="62"/>
      <c r="U4" s="62"/>
      <c r="V4" s="62"/>
      <c r="W4" s="62"/>
      <c r="X4" s="62"/>
      <c r="Y4" s="62"/>
      <c r="Z4" s="62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</row>
    <row r="5" spans="19:115" ht="13.15" customHeight="1" x14ac:dyDescent="0.2">
      <c r="S5" s="6"/>
      <c r="T5" s="62"/>
      <c r="U5" s="62"/>
      <c r="V5" s="62"/>
      <c r="W5" s="62"/>
      <c r="X5" s="62"/>
      <c r="Y5" s="62"/>
      <c r="Z5" s="62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</row>
    <row r="6" spans="19:115" x14ac:dyDescent="0.2">
      <c r="S6" s="6"/>
      <c r="T6" s="62"/>
      <c r="U6" s="62"/>
      <c r="V6" s="62"/>
      <c r="W6" s="62"/>
      <c r="X6" s="62"/>
      <c r="Y6" s="62"/>
      <c r="Z6" s="62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</row>
    <row r="7" spans="19:115" x14ac:dyDescent="0.2">
      <c r="S7" s="6"/>
      <c r="T7" s="62"/>
      <c r="U7" s="62"/>
      <c r="V7" s="62"/>
      <c r="W7" s="62"/>
      <c r="X7" s="62"/>
      <c r="Y7" s="62"/>
      <c r="Z7" s="62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  <c r="DI7" s="6"/>
      <c r="DJ7" s="6"/>
      <c r="DK7" s="6"/>
    </row>
    <row r="8" spans="19:115" x14ac:dyDescent="0.2">
      <c r="S8" s="6"/>
      <c r="T8" s="63"/>
      <c r="U8" s="63"/>
      <c r="V8" s="63"/>
      <c r="W8" s="63"/>
      <c r="X8" s="63"/>
      <c r="Y8" s="63"/>
      <c r="Z8" s="63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</row>
    <row r="9" spans="19:115" x14ac:dyDescent="0.2"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  <c r="DI9" s="6"/>
      <c r="DJ9" s="6"/>
      <c r="DK9" s="6"/>
    </row>
    <row r="10" spans="19:115" x14ac:dyDescent="0.2"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</row>
    <row r="11" spans="19:115" x14ac:dyDescent="0.2"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</row>
    <row r="12" spans="19:115" x14ac:dyDescent="0.2"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</row>
    <row r="13" spans="19:115" x14ac:dyDescent="0.2"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</row>
    <row r="14" spans="19:115" x14ac:dyDescent="0.2"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</row>
    <row r="15" spans="19:115" x14ac:dyDescent="0.2"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</row>
    <row r="16" spans="19:115" x14ac:dyDescent="0.2"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</row>
    <row r="17" spans="1:115" x14ac:dyDescent="0.2"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</row>
    <row r="18" spans="1:115" x14ac:dyDescent="0.2"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</row>
    <row r="19" spans="1:115" x14ac:dyDescent="0.2"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</row>
    <row r="20" spans="1:115" x14ac:dyDescent="0.2"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</row>
    <row r="21" spans="1:115" x14ac:dyDescent="0.2"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</row>
    <row r="22" spans="1:115" x14ac:dyDescent="0.2"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</row>
    <row r="23" spans="1:115" s="65" customFormat="1" ht="37.5" customHeight="1" x14ac:dyDescent="0.2">
      <c r="A23" s="64"/>
      <c r="B23" s="7" t="s">
        <v>73</v>
      </c>
      <c r="C23" s="7" t="s">
        <v>74</v>
      </c>
      <c r="D23" s="7">
        <f>ROUNDUP(COUNTA('[1]4E-Data'!B24:B20000)/50,0)</f>
        <v>35</v>
      </c>
      <c r="E23" s="4"/>
      <c r="F23" s="7" t="s">
        <v>73</v>
      </c>
      <c r="G23" s="7" t="s">
        <v>75</v>
      </c>
      <c r="H23" s="7">
        <f>ROUNDUP(COUNTA('[1]4E-Data'!F24:F20000)/50,0)</f>
        <v>40</v>
      </c>
      <c r="I23" s="4"/>
      <c r="J23" s="7" t="s">
        <v>73</v>
      </c>
      <c r="K23" s="7" t="s">
        <v>76</v>
      </c>
      <c r="L23" s="7">
        <f>ROUNDUP(COUNTA('[1]4E-Data'!K24:K20000)/50,0)</f>
        <v>35</v>
      </c>
      <c r="M23" s="4"/>
      <c r="N23" s="7" t="s">
        <v>73</v>
      </c>
      <c r="O23" s="7" t="s">
        <v>77</v>
      </c>
      <c r="P23" s="7">
        <f>ROUNDUP(COUNTA('[1]4E-Data'!O24:O20000)/50,0)</f>
        <v>40</v>
      </c>
      <c r="Q23" s="4"/>
      <c r="R23" s="7">
        <f>ROUNDUP(COUNTA('[2]4E-Data'!V24:V20000)/50,0)</f>
        <v>0</v>
      </c>
      <c r="S23" s="64"/>
      <c r="T23" s="64"/>
      <c r="U23" s="64"/>
      <c r="V23" s="64"/>
      <c r="W23" s="64"/>
      <c r="X23" s="64"/>
      <c r="Y23" s="64"/>
      <c r="Z23" s="64"/>
      <c r="AA23" s="64"/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/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/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64"/>
      <c r="BP23" s="64"/>
      <c r="BQ23" s="64"/>
      <c r="BR23" s="64"/>
      <c r="BS23" s="64"/>
      <c r="BT23" s="64"/>
      <c r="BU23" s="64"/>
      <c r="BV23" s="64"/>
      <c r="BW23" s="64"/>
      <c r="BX23" s="64"/>
      <c r="BY23" s="64"/>
      <c r="BZ23" s="64"/>
      <c r="CA23" s="64"/>
      <c r="CB23" s="64"/>
      <c r="CC23" s="64"/>
      <c r="CD23" s="64"/>
      <c r="CE23" s="64"/>
      <c r="CF23" s="64"/>
      <c r="CG23" s="64"/>
      <c r="CH23" s="64"/>
      <c r="CI23" s="64"/>
      <c r="CJ23" s="64"/>
      <c r="CK23" s="64"/>
      <c r="CL23" s="64"/>
      <c r="CM23" s="64"/>
      <c r="CN23" s="64"/>
      <c r="CO23" s="64"/>
      <c r="CP23" s="64"/>
      <c r="CQ23" s="64"/>
      <c r="CR23" s="64"/>
      <c r="CS23" s="64"/>
      <c r="CT23" s="64"/>
      <c r="CU23" s="64"/>
      <c r="CV23" s="64"/>
      <c r="CW23" s="64"/>
      <c r="CX23" s="64"/>
      <c r="CY23" s="64"/>
      <c r="CZ23" s="64"/>
      <c r="DA23" s="64"/>
      <c r="DB23" s="64"/>
      <c r="DC23" s="64"/>
      <c r="DD23" s="64"/>
      <c r="DE23" s="64"/>
      <c r="DF23" s="64"/>
      <c r="DG23" s="64"/>
      <c r="DH23" s="64"/>
      <c r="DI23" s="64"/>
      <c r="DJ23" s="64"/>
    </row>
    <row r="24" spans="1:115" s="65" customFormat="1" x14ac:dyDescent="0.2">
      <c r="A24" s="64"/>
      <c r="B24" s="8" t="s">
        <v>78</v>
      </c>
      <c r="C24" s="8" t="s">
        <v>79</v>
      </c>
      <c r="D24" s="8" t="s">
        <v>80</v>
      </c>
      <c r="E24" s="5"/>
      <c r="F24" s="8" t="s">
        <v>78</v>
      </c>
      <c r="G24" s="8" t="s">
        <v>79</v>
      </c>
      <c r="H24" s="8" t="s">
        <v>80</v>
      </c>
      <c r="I24" s="5"/>
      <c r="J24" s="8" t="s">
        <v>78</v>
      </c>
      <c r="K24" s="8" t="s">
        <v>79</v>
      </c>
      <c r="L24" s="8" t="s">
        <v>80</v>
      </c>
      <c r="M24" s="5"/>
      <c r="N24" s="8" t="s">
        <v>78</v>
      </c>
      <c r="O24" s="8" t="s">
        <v>79</v>
      </c>
      <c r="P24" s="8" t="s">
        <v>80</v>
      </c>
      <c r="Q24" s="5"/>
      <c r="R24" s="8" t="s">
        <v>80</v>
      </c>
      <c r="S24" s="64"/>
      <c r="T24" s="64"/>
      <c r="U24" s="64"/>
      <c r="V24" s="64"/>
      <c r="W24" s="64"/>
      <c r="X24" s="64"/>
      <c r="Y24" s="64"/>
      <c r="Z24" s="64"/>
      <c r="AA24" s="64"/>
      <c r="AB24" s="64"/>
      <c r="AC24" s="64"/>
      <c r="AD24" s="64"/>
      <c r="AE24" s="64"/>
      <c r="AF24" s="64"/>
      <c r="AG24" s="64"/>
      <c r="AH24" s="64"/>
      <c r="AI24" s="64"/>
      <c r="AJ24" s="64"/>
      <c r="AK24" s="64"/>
      <c r="AL24" s="64"/>
      <c r="AM24" s="64"/>
      <c r="AN24" s="64"/>
      <c r="AO24" s="64"/>
      <c r="AP24" s="64"/>
      <c r="AQ24" s="64"/>
      <c r="AR24" s="64"/>
      <c r="AS24" s="64"/>
      <c r="AT24" s="64"/>
      <c r="AU24" s="64"/>
      <c r="AV24" s="64"/>
      <c r="AW24" s="64"/>
      <c r="AX24" s="64"/>
      <c r="AY24" s="64"/>
      <c r="AZ24" s="64"/>
      <c r="BA24" s="64"/>
      <c r="BB24" s="64"/>
      <c r="BC24" s="64"/>
      <c r="BD24" s="64"/>
      <c r="BE24" s="64"/>
      <c r="BF24" s="64"/>
      <c r="BG24" s="64"/>
      <c r="BH24" s="64"/>
      <c r="BI24" s="64"/>
      <c r="BJ24" s="64"/>
      <c r="BK24" s="64"/>
      <c r="BL24" s="64"/>
      <c r="BM24" s="64"/>
      <c r="BN24" s="64"/>
      <c r="BO24" s="64"/>
      <c r="BP24" s="64"/>
      <c r="BQ24" s="64"/>
      <c r="BR24" s="64"/>
      <c r="BS24" s="64"/>
      <c r="BT24" s="64"/>
      <c r="BU24" s="64"/>
      <c r="BV24" s="64"/>
      <c r="BW24" s="64"/>
      <c r="BX24" s="64"/>
      <c r="BY24" s="64"/>
      <c r="BZ24" s="64"/>
      <c r="CA24" s="64"/>
      <c r="CB24" s="64"/>
      <c r="CC24" s="64"/>
      <c r="CD24" s="64"/>
      <c r="CE24" s="64"/>
      <c r="CF24" s="64"/>
      <c r="CG24" s="64"/>
      <c r="CH24" s="64"/>
      <c r="CI24" s="64"/>
      <c r="CJ24" s="64"/>
      <c r="CK24" s="64"/>
      <c r="CL24" s="64"/>
      <c r="CM24" s="64"/>
      <c r="CN24" s="64"/>
      <c r="CO24" s="64"/>
      <c r="CP24" s="64"/>
      <c r="CQ24" s="64"/>
      <c r="CR24" s="64"/>
      <c r="CS24" s="64"/>
      <c r="CT24" s="64"/>
      <c r="CU24" s="64"/>
      <c r="CV24" s="64"/>
      <c r="CW24" s="64"/>
      <c r="CX24" s="64"/>
      <c r="CY24" s="64"/>
      <c r="CZ24" s="64"/>
      <c r="DA24" s="64"/>
      <c r="DB24" s="64"/>
      <c r="DC24" s="64"/>
      <c r="DD24" s="64"/>
      <c r="DE24" s="64"/>
      <c r="DF24" s="64"/>
      <c r="DG24" s="64"/>
      <c r="DH24" s="64"/>
      <c r="DI24" s="64"/>
      <c r="DJ24" s="64"/>
    </row>
    <row r="25" spans="1:115" x14ac:dyDescent="0.2">
      <c r="B25" s="1">
        <v>0</v>
      </c>
      <c r="C25" s="2">
        <v>0</v>
      </c>
      <c r="D25" s="1">
        <v>0</v>
      </c>
      <c r="F25" s="1">
        <v>0</v>
      </c>
      <c r="G25" s="2">
        <v>0</v>
      </c>
      <c r="H25" s="39">
        <f>F25*100</f>
        <v>0</v>
      </c>
      <c r="I25" s="58"/>
      <c r="J25" s="1">
        <v>0</v>
      </c>
      <c r="K25" s="2">
        <v>0</v>
      </c>
      <c r="L25" s="39">
        <v>0</v>
      </c>
      <c r="M25" s="58"/>
      <c r="N25" s="1">
        <v>0</v>
      </c>
      <c r="O25" s="2">
        <v>0</v>
      </c>
      <c r="P25" s="39">
        <f>N25*100</f>
        <v>0</v>
      </c>
      <c r="Q25" s="58"/>
      <c r="R25" s="39" t="e">
        <f>#REF!*100</f>
        <v>#REF!</v>
      </c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</row>
    <row r="26" spans="1:115" x14ac:dyDescent="0.2">
      <c r="B26" s="1">
        <v>1.9631018540461555E-3</v>
      </c>
      <c r="C26" s="66">
        <v>455.2</v>
      </c>
      <c r="D26" s="39">
        <v>0.19631018540461556</v>
      </c>
      <c r="F26" s="1">
        <v>1.9980026626730579E-3</v>
      </c>
      <c r="G26" s="66">
        <v>498.3</v>
      </c>
      <c r="H26" s="39">
        <f t="shared" ref="H26:H74" si="0">F26*100</f>
        <v>0.19980026626730579</v>
      </c>
      <c r="J26" s="1">
        <v>1.96503E-3</v>
      </c>
      <c r="K26" s="66">
        <v>454.3</v>
      </c>
      <c r="L26" s="39">
        <v>0.19650300000000001</v>
      </c>
      <c r="N26" s="1">
        <v>2E-3</v>
      </c>
      <c r="O26" s="66">
        <v>497.3</v>
      </c>
      <c r="P26" s="39">
        <f t="shared" ref="P26:P74" si="1">N26*100</f>
        <v>0.2</v>
      </c>
      <c r="R26" s="39" t="e">
        <f>#REF!*100</f>
        <v>#REF!</v>
      </c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</row>
    <row r="27" spans="1:115" x14ac:dyDescent="0.2">
      <c r="B27" s="1">
        <v>9.5500000000000001E-4</v>
      </c>
      <c r="C27" s="66">
        <v>238.7</v>
      </c>
      <c r="D27" s="39">
        <v>9.5500000000000002E-2</v>
      </c>
      <c r="F27" s="1">
        <v>1.209E-3</v>
      </c>
      <c r="G27" s="66">
        <v>319.5</v>
      </c>
      <c r="H27" s="39">
        <f t="shared" si="0"/>
        <v>0.12090000000000001</v>
      </c>
      <c r="J27" s="1">
        <v>2.5000000000000001E-3</v>
      </c>
      <c r="K27" s="66">
        <v>539</v>
      </c>
      <c r="L27" s="39">
        <v>0.25</v>
      </c>
      <c r="N27" s="1">
        <v>1.2099999999999999E-3</v>
      </c>
      <c r="O27" s="66">
        <v>319.10000000000002</v>
      </c>
      <c r="P27" s="39">
        <f t="shared" si="1"/>
        <v>0.121</v>
      </c>
      <c r="R27" s="39" t="e">
        <f>#REF!*100</f>
        <v>#REF!</v>
      </c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</row>
    <row r="28" spans="1:115" x14ac:dyDescent="0.2">
      <c r="B28" s="1">
        <v>1.6490000000000001E-3</v>
      </c>
      <c r="C28" s="66">
        <v>390</v>
      </c>
      <c r="D28" s="39">
        <v>0.16490000000000002</v>
      </c>
      <c r="F28" s="1">
        <v>2.1029999999999998E-3</v>
      </c>
      <c r="G28" s="66">
        <v>520.4</v>
      </c>
      <c r="H28" s="39">
        <f t="shared" si="0"/>
        <v>0.21029999999999999</v>
      </c>
      <c r="J28" s="1">
        <v>3.5049999999999999E-3</v>
      </c>
      <c r="K28" s="66">
        <v>611.4</v>
      </c>
      <c r="L28" s="39">
        <v>0.35049999999999998</v>
      </c>
      <c r="N28" s="1">
        <v>2.1050000000000001E-3</v>
      </c>
      <c r="O28" s="66">
        <v>519.29999999999995</v>
      </c>
      <c r="P28" s="39">
        <f t="shared" si="1"/>
        <v>0.21050000000000002</v>
      </c>
      <c r="R28" s="39" t="e">
        <f>#REF!*100</f>
        <v>#REF!</v>
      </c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</row>
    <row r="29" spans="1:115" x14ac:dyDescent="0.2">
      <c r="B29" s="1">
        <v>2.4970000000000001E-3</v>
      </c>
      <c r="C29" s="66">
        <v>540.29999999999995</v>
      </c>
      <c r="D29" s="39">
        <v>0.24970000000000001</v>
      </c>
      <c r="F29" s="1">
        <v>2.911E-3</v>
      </c>
      <c r="G29" s="66">
        <v>665.7</v>
      </c>
      <c r="H29" s="39">
        <f t="shared" si="0"/>
        <v>0.29109999999999997</v>
      </c>
      <c r="J29" s="1">
        <v>2.5000000000000001E-3</v>
      </c>
      <c r="K29" s="66">
        <v>539</v>
      </c>
      <c r="L29" s="39">
        <v>0.25</v>
      </c>
      <c r="N29" s="1">
        <v>2.9150000000000001E-3</v>
      </c>
      <c r="O29" s="66">
        <v>663.7</v>
      </c>
      <c r="P29" s="39">
        <f t="shared" si="1"/>
        <v>0.29149999999999998</v>
      </c>
      <c r="R29" s="39" t="e">
        <f>#REF!*100</f>
        <v>#REF!</v>
      </c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  <c r="DI29" s="6"/>
      <c r="DJ29" s="6"/>
    </row>
    <row r="30" spans="1:115" x14ac:dyDescent="0.2">
      <c r="B30" s="1">
        <v>3.4989999999999999E-3</v>
      </c>
      <c r="C30" s="66">
        <v>613.5</v>
      </c>
      <c r="D30" s="39">
        <v>0.34989999999999999</v>
      </c>
      <c r="F30" s="1">
        <v>4.888E-3</v>
      </c>
      <c r="G30" s="66">
        <v>629.79999999999995</v>
      </c>
      <c r="H30" s="39">
        <f t="shared" si="0"/>
        <v>0.48880000000000001</v>
      </c>
      <c r="J30" s="1">
        <v>3.5049999999999999E-3</v>
      </c>
      <c r="K30" s="66">
        <v>611.4</v>
      </c>
      <c r="L30" s="39">
        <v>0.35049999999999998</v>
      </c>
      <c r="N30" s="1">
        <v>4.8999999999999998E-3</v>
      </c>
      <c r="O30" s="66">
        <v>626.70000000000005</v>
      </c>
      <c r="P30" s="39">
        <f t="shared" si="1"/>
        <v>0.49</v>
      </c>
      <c r="R30" s="39" t="e">
        <f>#REF!*100</f>
        <v>#REF!</v>
      </c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</row>
    <row r="31" spans="1:115" x14ac:dyDescent="0.2">
      <c r="B31" s="1">
        <v>4.6340000000000001E-3</v>
      </c>
      <c r="C31" s="66">
        <v>630.6</v>
      </c>
      <c r="D31" s="39">
        <v>0.46340000000000003</v>
      </c>
      <c r="F31" s="1">
        <v>6.8760000000000002E-3</v>
      </c>
      <c r="G31" s="66">
        <v>632.4</v>
      </c>
      <c r="H31" s="39">
        <f t="shared" si="0"/>
        <v>0.68759999999999999</v>
      </c>
      <c r="J31" s="1">
        <v>4.6449999999999998E-3</v>
      </c>
      <c r="K31" s="66">
        <v>627.6</v>
      </c>
      <c r="L31" s="39">
        <v>0.46449999999999997</v>
      </c>
      <c r="N31" s="1">
        <v>6.8999999999999999E-3</v>
      </c>
      <c r="O31" s="66">
        <v>628</v>
      </c>
      <c r="P31" s="39">
        <f t="shared" si="1"/>
        <v>0.69</v>
      </c>
      <c r="R31" s="39" t="e">
        <f>#REF!*100</f>
        <v>#REF!</v>
      </c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  <c r="DI31" s="6"/>
      <c r="DJ31" s="6"/>
    </row>
    <row r="32" spans="1:115" x14ac:dyDescent="0.2">
      <c r="B32" s="1">
        <v>8.1320000000000003E-3</v>
      </c>
      <c r="C32" s="66">
        <v>601.79999999999995</v>
      </c>
      <c r="D32" s="39">
        <v>0.81320000000000003</v>
      </c>
      <c r="F32" s="1">
        <v>8.8210000000000007E-3</v>
      </c>
      <c r="G32" s="66">
        <v>630</v>
      </c>
      <c r="H32" s="39">
        <f t="shared" si="0"/>
        <v>0.88210000000000011</v>
      </c>
      <c r="J32" s="1">
        <v>8.1650000000000004E-3</v>
      </c>
      <c r="K32" s="66">
        <v>596.9</v>
      </c>
      <c r="L32" s="39">
        <v>0.8165</v>
      </c>
      <c r="N32" s="1">
        <v>8.8599999999999998E-3</v>
      </c>
      <c r="O32" s="66">
        <v>624.5</v>
      </c>
      <c r="P32" s="39">
        <f t="shared" si="1"/>
        <v>0.88600000000000001</v>
      </c>
      <c r="R32" s="39" t="e">
        <f>#REF!*100</f>
        <v>#REF!</v>
      </c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</row>
    <row r="33" spans="2:114" x14ac:dyDescent="0.2">
      <c r="B33" s="1">
        <v>1.2995E-2</v>
      </c>
      <c r="C33" s="66">
        <v>603.70000000000005</v>
      </c>
      <c r="D33" s="39">
        <v>1.2994999999999999</v>
      </c>
      <c r="F33" s="1">
        <v>1.0569E-2</v>
      </c>
      <c r="G33" s="66">
        <v>628.29999999999995</v>
      </c>
      <c r="H33" s="39">
        <f t="shared" si="0"/>
        <v>1.0569</v>
      </c>
      <c r="J33" s="1">
        <v>1.308E-2</v>
      </c>
      <c r="K33" s="66">
        <v>595.9</v>
      </c>
      <c r="L33" s="39">
        <v>1.3080000000000001</v>
      </c>
      <c r="N33" s="1">
        <v>1.0625000000000001E-2</v>
      </c>
      <c r="O33" s="66">
        <v>621.6</v>
      </c>
      <c r="P33" s="39">
        <f t="shared" si="1"/>
        <v>1.0625</v>
      </c>
      <c r="R33" s="39" t="e">
        <f>#REF!*100</f>
        <v>#REF!</v>
      </c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  <c r="DI33" s="6"/>
      <c r="DJ33" s="6"/>
    </row>
    <row r="34" spans="2:114" x14ac:dyDescent="0.2">
      <c r="B34" s="1">
        <v>1.7904E-2</v>
      </c>
      <c r="C34" s="66">
        <v>608.70000000000005</v>
      </c>
      <c r="D34" s="39">
        <v>1.7904</v>
      </c>
      <c r="F34" s="1">
        <v>1.2234999999999999E-2</v>
      </c>
      <c r="G34" s="66">
        <v>629.70000000000005</v>
      </c>
      <c r="H34" s="39">
        <f t="shared" si="0"/>
        <v>1.2235</v>
      </c>
      <c r="J34" s="1">
        <v>1.8065000000000001E-2</v>
      </c>
      <c r="K34" s="66">
        <v>597.9</v>
      </c>
      <c r="L34" s="39">
        <v>1.8065000000000002</v>
      </c>
      <c r="N34" s="1">
        <v>1.231E-2</v>
      </c>
      <c r="O34" s="66">
        <v>622</v>
      </c>
      <c r="P34" s="39">
        <f t="shared" si="1"/>
        <v>1.2309999999999999</v>
      </c>
      <c r="R34" s="39" t="e">
        <f>#REF!*100</f>
        <v>#REF!</v>
      </c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</row>
    <row r="35" spans="2:114" x14ac:dyDescent="0.2">
      <c r="B35" s="1">
        <v>2.3057000000000001E-2</v>
      </c>
      <c r="C35" s="66">
        <v>614.1</v>
      </c>
      <c r="D35" s="39">
        <v>2.3057000000000003</v>
      </c>
      <c r="F35" s="1">
        <v>1.4050999999999999E-2</v>
      </c>
      <c r="G35" s="66">
        <v>631.4</v>
      </c>
      <c r="H35" s="39">
        <f t="shared" si="0"/>
        <v>1.4051</v>
      </c>
      <c r="J35" s="1">
        <v>2.3324999999999999E-2</v>
      </c>
      <c r="K35" s="66">
        <v>600.1</v>
      </c>
      <c r="L35" s="39">
        <v>2.3325</v>
      </c>
      <c r="N35" s="1">
        <v>1.4149999999999999E-2</v>
      </c>
      <c r="O35" s="66">
        <v>622.6</v>
      </c>
      <c r="P35" s="39">
        <f t="shared" si="1"/>
        <v>1.415</v>
      </c>
      <c r="R35" s="39" t="e">
        <f>#REF!*100</f>
        <v>#REF!</v>
      </c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  <c r="DI35" s="6"/>
      <c r="DJ35" s="6"/>
    </row>
    <row r="36" spans="2:114" x14ac:dyDescent="0.2">
      <c r="B36" s="1">
        <v>2.7625E-2</v>
      </c>
      <c r="C36" s="66">
        <v>619.6</v>
      </c>
      <c r="D36" s="39">
        <v>2.7625000000000002</v>
      </c>
      <c r="F36" s="1">
        <v>1.5956999999999999E-2</v>
      </c>
      <c r="G36" s="66">
        <v>633.20000000000005</v>
      </c>
      <c r="H36" s="39">
        <f t="shared" si="0"/>
        <v>1.5956999999999999</v>
      </c>
      <c r="J36" s="1">
        <v>2.801E-2</v>
      </c>
      <c r="K36" s="66">
        <v>602.70000000000005</v>
      </c>
      <c r="L36" s="39">
        <v>2.8010000000000002</v>
      </c>
      <c r="N36" s="1">
        <v>1.6084999999999999E-2</v>
      </c>
      <c r="O36" s="66">
        <v>623.20000000000005</v>
      </c>
      <c r="P36" s="39">
        <f t="shared" si="1"/>
        <v>1.6084999999999998</v>
      </c>
      <c r="R36" s="39" t="e">
        <f>#REF!*100</f>
        <v>#REF!</v>
      </c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</row>
    <row r="37" spans="2:114" x14ac:dyDescent="0.2">
      <c r="B37" s="1">
        <v>3.193E-2</v>
      </c>
      <c r="C37" s="66">
        <v>623.79999999999995</v>
      </c>
      <c r="D37" s="39">
        <v>3.1930000000000001</v>
      </c>
      <c r="F37" s="1">
        <v>1.7933000000000001E-2</v>
      </c>
      <c r="G37" s="66">
        <v>634.79999999999995</v>
      </c>
      <c r="H37" s="39">
        <f t="shared" si="0"/>
        <v>1.7933000000000001</v>
      </c>
      <c r="J37" s="1">
        <v>3.2445000000000002E-2</v>
      </c>
      <c r="K37" s="66">
        <v>604.20000000000005</v>
      </c>
      <c r="L37" s="39">
        <v>3.2445000000000004</v>
      </c>
      <c r="N37" s="1">
        <v>1.8095E-2</v>
      </c>
      <c r="O37" s="66">
        <v>623.5</v>
      </c>
      <c r="P37" s="39">
        <f t="shared" si="1"/>
        <v>1.8094999999999999</v>
      </c>
      <c r="R37" s="39" t="e">
        <f>#REF!*100</f>
        <v>#REF!</v>
      </c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</row>
    <row r="38" spans="2:114" x14ac:dyDescent="0.2">
      <c r="B38" s="1">
        <v>3.4217999999999998E-2</v>
      </c>
      <c r="C38" s="66">
        <v>635.5</v>
      </c>
      <c r="D38" s="39">
        <v>3.4217999999999997</v>
      </c>
      <c r="F38" s="1">
        <v>1.9963999999999999E-2</v>
      </c>
      <c r="G38" s="66">
        <v>637</v>
      </c>
      <c r="H38" s="39">
        <f t="shared" si="0"/>
        <v>1.9964</v>
      </c>
      <c r="J38" s="1">
        <v>3.4810000000000001E-2</v>
      </c>
      <c r="K38" s="66">
        <v>614.1</v>
      </c>
      <c r="L38" s="39">
        <v>3.4809999999999999</v>
      </c>
      <c r="N38" s="1">
        <v>2.0164999999999999E-2</v>
      </c>
      <c r="O38" s="66">
        <v>624.4</v>
      </c>
      <c r="P38" s="39">
        <f t="shared" si="1"/>
        <v>2.0164999999999997</v>
      </c>
      <c r="R38" s="39" t="e">
        <f>#REF!*100</f>
        <v>#REF!</v>
      </c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</row>
    <row r="39" spans="2:114" x14ac:dyDescent="0.2">
      <c r="B39" s="1">
        <v>3.7916999999999999E-2</v>
      </c>
      <c r="C39" s="66">
        <v>644.79999999999995</v>
      </c>
      <c r="D39" s="39">
        <v>3.7917000000000001</v>
      </c>
      <c r="F39" s="1">
        <v>2.2001E-2</v>
      </c>
      <c r="G39" s="66">
        <v>638.70000000000005</v>
      </c>
      <c r="H39" s="39">
        <f t="shared" si="0"/>
        <v>2.2000999999999999</v>
      </c>
      <c r="J39" s="1">
        <v>3.8644999999999999E-2</v>
      </c>
      <c r="K39" s="66">
        <v>620.79999999999995</v>
      </c>
      <c r="L39" s="39">
        <v>3.8645</v>
      </c>
      <c r="N39" s="1">
        <v>2.2245000000000001E-2</v>
      </c>
      <c r="O39" s="66">
        <v>624.79999999999995</v>
      </c>
      <c r="P39" s="39">
        <f t="shared" si="1"/>
        <v>2.2244999999999999</v>
      </c>
      <c r="R39" s="39" t="e">
        <f>#REF!*100</f>
        <v>#REF!</v>
      </c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</row>
    <row r="40" spans="2:114" x14ac:dyDescent="0.2">
      <c r="B40" s="1">
        <v>4.1966999999999997E-2</v>
      </c>
      <c r="C40" s="66">
        <v>654.1</v>
      </c>
      <c r="D40" s="39">
        <v>4.1966999999999999</v>
      </c>
      <c r="F40" s="1">
        <v>2.4077999999999999E-2</v>
      </c>
      <c r="G40" s="66">
        <v>640.5</v>
      </c>
      <c r="H40" s="39">
        <f t="shared" si="0"/>
        <v>2.4077999999999999</v>
      </c>
      <c r="J40" s="1">
        <v>4.2860000000000002E-2</v>
      </c>
      <c r="K40" s="66">
        <v>627.20000000000005</v>
      </c>
      <c r="L40" s="39">
        <v>4.2860000000000005</v>
      </c>
      <c r="N40" s="1">
        <v>2.4369999999999999E-2</v>
      </c>
      <c r="O40" s="66">
        <v>625.29999999999995</v>
      </c>
      <c r="P40" s="39">
        <f t="shared" si="1"/>
        <v>2.4369999999999998</v>
      </c>
      <c r="R40" s="39" t="e">
        <f>#REF!*100</f>
        <v>#REF!</v>
      </c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</row>
    <row r="41" spans="2:114" x14ac:dyDescent="0.2">
      <c r="B41" s="1">
        <v>4.6095999999999998E-2</v>
      </c>
      <c r="C41" s="66">
        <v>662.8</v>
      </c>
      <c r="D41" s="39">
        <v>4.6095999999999995</v>
      </c>
      <c r="F41" s="1">
        <v>2.614E-2</v>
      </c>
      <c r="G41" s="66">
        <v>642.70000000000005</v>
      </c>
      <c r="H41" s="39">
        <f t="shared" si="0"/>
        <v>2.6139999999999999</v>
      </c>
      <c r="J41" s="1">
        <v>4.7175000000000002E-2</v>
      </c>
      <c r="K41" s="66">
        <v>632.9</v>
      </c>
      <c r="L41" s="39">
        <v>4.7175000000000002</v>
      </c>
      <c r="N41" s="1">
        <v>2.6485000000000002E-2</v>
      </c>
      <c r="O41" s="66">
        <v>626.1</v>
      </c>
      <c r="P41" s="39">
        <f t="shared" si="1"/>
        <v>2.6485000000000003</v>
      </c>
      <c r="R41" s="39" t="e">
        <f>#REF!*100</f>
        <v>#REF!</v>
      </c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  <c r="DI41" s="6"/>
      <c r="DJ41" s="6"/>
    </row>
    <row r="42" spans="2:114" x14ac:dyDescent="0.2">
      <c r="B42" s="1">
        <v>5.0340999999999997E-2</v>
      </c>
      <c r="C42" s="66">
        <v>671.2</v>
      </c>
      <c r="D42" s="39">
        <v>5.0340999999999996</v>
      </c>
      <c r="F42" s="1">
        <v>2.8223000000000002E-2</v>
      </c>
      <c r="G42" s="66">
        <v>644.79999999999995</v>
      </c>
      <c r="H42" s="39">
        <f t="shared" si="0"/>
        <v>2.8223000000000003</v>
      </c>
      <c r="J42" s="1">
        <v>5.1630000000000002E-2</v>
      </c>
      <c r="K42" s="66">
        <v>638.29999999999995</v>
      </c>
      <c r="L42" s="39">
        <v>5.1630000000000003</v>
      </c>
      <c r="N42" s="1">
        <v>2.8625000000000001E-2</v>
      </c>
      <c r="O42" s="66">
        <v>626.9</v>
      </c>
      <c r="P42" s="39">
        <f t="shared" si="1"/>
        <v>2.8625000000000003</v>
      </c>
      <c r="R42" s="39" t="e">
        <f>#REF!*100</f>
        <v>#REF!</v>
      </c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  <c r="DI42" s="6"/>
      <c r="DJ42" s="6"/>
    </row>
    <row r="43" spans="2:114" x14ac:dyDescent="0.2">
      <c r="B43" s="1">
        <v>5.4435999999999998E-2</v>
      </c>
      <c r="C43" s="66">
        <v>678.8</v>
      </c>
      <c r="D43" s="39">
        <v>5.4436</v>
      </c>
      <c r="F43" s="1">
        <v>3.0325000000000001E-2</v>
      </c>
      <c r="G43" s="66">
        <v>645.79999999999995</v>
      </c>
      <c r="H43" s="39">
        <f t="shared" si="0"/>
        <v>3.0325000000000002</v>
      </c>
      <c r="J43" s="1">
        <v>5.5945000000000002E-2</v>
      </c>
      <c r="K43" s="66">
        <v>642.79999999999995</v>
      </c>
      <c r="L43" s="39">
        <v>5.5945</v>
      </c>
      <c r="N43" s="1">
        <v>3.0790000000000001E-2</v>
      </c>
      <c r="O43" s="66">
        <v>626.5</v>
      </c>
      <c r="P43" s="39">
        <f t="shared" si="1"/>
        <v>3.0790000000000002</v>
      </c>
      <c r="R43" s="39" t="e">
        <f>#REF!*100</f>
        <v>#REF!</v>
      </c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</row>
    <row r="44" spans="2:114" x14ac:dyDescent="0.2">
      <c r="B44" s="1">
        <v>5.8656E-2</v>
      </c>
      <c r="C44" s="66">
        <v>686.1</v>
      </c>
      <c r="D44" s="39">
        <v>5.8655999999999997</v>
      </c>
      <c r="F44" s="1">
        <v>3.252E-2</v>
      </c>
      <c r="G44" s="66">
        <v>642.6</v>
      </c>
      <c r="H44" s="39">
        <f t="shared" si="0"/>
        <v>3.2520000000000002</v>
      </c>
      <c r="J44" s="1">
        <v>6.0409999999999998E-2</v>
      </c>
      <c r="K44" s="66">
        <v>647</v>
      </c>
      <c r="L44" s="39">
        <v>6.0409999999999995</v>
      </c>
      <c r="N44" s="1">
        <v>3.3055000000000001E-2</v>
      </c>
      <c r="O44" s="66">
        <v>622.1</v>
      </c>
      <c r="P44" s="39">
        <f t="shared" si="1"/>
        <v>3.3055000000000003</v>
      </c>
      <c r="R44" s="39" t="e">
        <f>#REF!*100</f>
        <v>#REF!</v>
      </c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  <c r="DI44" s="6"/>
      <c r="DJ44" s="6"/>
    </row>
    <row r="45" spans="2:114" x14ac:dyDescent="0.2">
      <c r="B45" s="1">
        <v>6.3087000000000004E-2</v>
      </c>
      <c r="C45" s="66">
        <v>693.2</v>
      </c>
      <c r="D45" s="39">
        <v>6.3087</v>
      </c>
      <c r="F45" s="1">
        <v>3.4715000000000003E-2</v>
      </c>
      <c r="G45" s="66">
        <v>640.6</v>
      </c>
      <c r="H45" s="39">
        <f t="shared" si="0"/>
        <v>3.4715000000000003</v>
      </c>
      <c r="J45" s="1">
        <v>6.5119999999999997E-2</v>
      </c>
      <c r="K45" s="66">
        <v>650.79999999999995</v>
      </c>
      <c r="L45" s="39">
        <v>6.5119999999999996</v>
      </c>
      <c r="N45" s="1">
        <v>3.5325000000000002E-2</v>
      </c>
      <c r="O45" s="66">
        <v>618.70000000000005</v>
      </c>
      <c r="P45" s="39">
        <f t="shared" si="1"/>
        <v>3.5325000000000002</v>
      </c>
      <c r="R45" s="39" t="e">
        <f>#REF!*100</f>
        <v>#REF!</v>
      </c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  <c r="DI45" s="6"/>
      <c r="DJ45" s="6"/>
    </row>
    <row r="46" spans="2:114" x14ac:dyDescent="0.2">
      <c r="B46" s="1">
        <v>6.7214999999999997E-2</v>
      </c>
      <c r="C46" s="66">
        <v>699.5</v>
      </c>
      <c r="D46" s="39">
        <v>6.7214999999999998</v>
      </c>
      <c r="F46" s="1">
        <v>3.6462000000000001E-2</v>
      </c>
      <c r="G46" s="66">
        <v>647.4</v>
      </c>
      <c r="H46" s="39">
        <f t="shared" si="0"/>
        <v>3.6462000000000003</v>
      </c>
      <c r="J46" s="1">
        <v>6.9525000000000003E-2</v>
      </c>
      <c r="K46" s="66">
        <v>654</v>
      </c>
      <c r="L46" s="39">
        <v>6.9525000000000006</v>
      </c>
      <c r="N46" s="1">
        <v>3.7135000000000001E-2</v>
      </c>
      <c r="O46" s="66">
        <v>624.29999999999995</v>
      </c>
      <c r="P46" s="39">
        <f t="shared" si="1"/>
        <v>3.7135000000000002</v>
      </c>
      <c r="R46" s="39" t="e">
        <f>#REF!*100</f>
        <v>#REF!</v>
      </c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  <c r="DI46" s="6"/>
      <c r="DJ46" s="6"/>
    </row>
    <row r="47" spans="2:114" x14ac:dyDescent="0.2">
      <c r="B47" s="1">
        <v>7.1389999999999995E-2</v>
      </c>
      <c r="C47" s="66">
        <v>705.4</v>
      </c>
      <c r="D47" s="39">
        <v>7.1389999999999993</v>
      </c>
      <c r="F47" s="1">
        <v>3.8105E-2</v>
      </c>
      <c r="G47" s="66">
        <v>652.9</v>
      </c>
      <c r="H47" s="39">
        <f t="shared" si="0"/>
        <v>3.8105000000000002</v>
      </c>
      <c r="J47" s="1">
        <v>7.3999999999999996E-2</v>
      </c>
      <c r="K47" s="66">
        <v>656.8</v>
      </c>
      <c r="L47" s="39">
        <v>7.3999999999999995</v>
      </c>
      <c r="N47" s="1">
        <v>3.884E-2</v>
      </c>
      <c r="O47" s="66">
        <v>628.5</v>
      </c>
      <c r="P47" s="39">
        <f t="shared" si="1"/>
        <v>3.8839999999999999</v>
      </c>
      <c r="R47" s="39" t="e">
        <f>#REF!*100</f>
        <v>#REF!</v>
      </c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  <c r="DI47" s="6"/>
      <c r="DJ47" s="6"/>
    </row>
    <row r="48" spans="2:114" x14ac:dyDescent="0.2">
      <c r="B48" s="1">
        <v>7.5871999999999995E-2</v>
      </c>
      <c r="C48" s="66">
        <v>711.4</v>
      </c>
      <c r="D48" s="39">
        <v>7.5871999999999993</v>
      </c>
      <c r="F48" s="1">
        <v>4.0062E-2</v>
      </c>
      <c r="G48" s="66">
        <v>662.9</v>
      </c>
      <c r="H48" s="39">
        <f t="shared" si="0"/>
        <v>4.0061999999999998</v>
      </c>
      <c r="J48" s="1">
        <v>7.8825000000000006E-2</v>
      </c>
      <c r="K48" s="66">
        <v>659.4</v>
      </c>
      <c r="L48" s="39">
        <v>7.8825000000000003</v>
      </c>
      <c r="N48" s="1">
        <v>4.0875000000000002E-2</v>
      </c>
      <c r="O48" s="66">
        <v>636.9</v>
      </c>
      <c r="P48" s="39">
        <f t="shared" si="1"/>
        <v>4.0875000000000004</v>
      </c>
      <c r="R48" s="39" t="e">
        <f>#REF!*100</f>
        <v>#REF!</v>
      </c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  <c r="DI48" s="6"/>
      <c r="DJ48" s="6"/>
    </row>
    <row r="49" spans="2:114" x14ac:dyDescent="0.2">
      <c r="B49" s="1">
        <v>8.0667000000000003E-2</v>
      </c>
      <c r="C49" s="66">
        <v>717.5</v>
      </c>
      <c r="D49" s="39">
        <v>8.0667000000000009</v>
      </c>
      <c r="F49" s="1">
        <v>4.1626000000000003E-2</v>
      </c>
      <c r="G49" s="66">
        <v>666.8</v>
      </c>
      <c r="H49" s="39">
        <f t="shared" si="0"/>
        <v>4.1626000000000003</v>
      </c>
      <c r="J49" s="1">
        <v>8.4010000000000001E-2</v>
      </c>
      <c r="K49" s="66">
        <v>661.9</v>
      </c>
      <c r="L49" s="39">
        <v>8.4009999999999998</v>
      </c>
      <c r="N49" s="1">
        <v>4.2505000000000001E-2</v>
      </c>
      <c r="O49" s="66">
        <v>639.6</v>
      </c>
      <c r="P49" s="39">
        <f t="shared" si="1"/>
        <v>4.2504999999999997</v>
      </c>
      <c r="R49" s="39" t="e">
        <f>#REF!*100</f>
        <v>#REF!</v>
      </c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  <c r="DI49" s="6"/>
      <c r="DJ49" s="6"/>
    </row>
    <row r="50" spans="2:114" x14ac:dyDescent="0.2">
      <c r="B50" s="1">
        <v>8.5250999999999993E-2</v>
      </c>
      <c r="C50" s="66">
        <v>722.8</v>
      </c>
      <c r="D50" s="39">
        <v>8.5251000000000001</v>
      </c>
      <c r="F50" s="1">
        <v>4.3576999999999998E-2</v>
      </c>
      <c r="G50" s="66">
        <v>670.9</v>
      </c>
      <c r="H50" s="39">
        <f t="shared" si="0"/>
        <v>4.3576999999999995</v>
      </c>
      <c r="J50" s="1">
        <v>8.899E-2</v>
      </c>
      <c r="K50" s="66">
        <v>663.8</v>
      </c>
      <c r="L50" s="39">
        <v>8.8989999999999991</v>
      </c>
      <c r="N50" s="1">
        <v>4.4540000000000003E-2</v>
      </c>
      <c r="O50" s="66">
        <v>642.29999999999995</v>
      </c>
      <c r="P50" s="39">
        <f t="shared" si="1"/>
        <v>4.4540000000000006</v>
      </c>
      <c r="R50" s="39" t="e">
        <f>#REF!*100</f>
        <v>#REF!</v>
      </c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  <c r="DI50" s="6"/>
      <c r="DJ50" s="6"/>
    </row>
    <row r="51" spans="2:114" x14ac:dyDescent="0.2">
      <c r="B51" s="1">
        <v>8.9534000000000002E-2</v>
      </c>
      <c r="C51" s="66">
        <v>727.6</v>
      </c>
      <c r="D51" s="39">
        <v>8.9534000000000002</v>
      </c>
      <c r="F51" s="1">
        <v>4.8427999999999999E-2</v>
      </c>
      <c r="G51" s="66">
        <v>680.2</v>
      </c>
      <c r="H51" s="39">
        <f t="shared" si="0"/>
        <v>4.8427999999999995</v>
      </c>
      <c r="J51" s="1">
        <v>9.3664999999999998E-2</v>
      </c>
      <c r="K51" s="66">
        <v>665.3</v>
      </c>
      <c r="L51" s="39">
        <v>9.3665000000000003</v>
      </c>
      <c r="N51" s="1">
        <v>4.9619999999999997E-2</v>
      </c>
      <c r="O51" s="66">
        <v>648</v>
      </c>
      <c r="P51" s="39">
        <f t="shared" si="1"/>
        <v>4.9619999999999997</v>
      </c>
      <c r="R51" s="39" t="e">
        <f>#REF!*100</f>
        <v>#REF!</v>
      </c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  <c r="DI51" s="6"/>
      <c r="DJ51" s="6"/>
    </row>
    <row r="52" spans="2:114" x14ac:dyDescent="0.2">
      <c r="B52" s="1">
        <v>9.3964000000000006E-2</v>
      </c>
      <c r="C52" s="66">
        <v>732.2</v>
      </c>
      <c r="D52" s="39">
        <v>9.3963999999999999</v>
      </c>
      <c r="F52" s="1">
        <v>5.3185000000000003E-2</v>
      </c>
      <c r="G52" s="66">
        <v>688.7</v>
      </c>
      <c r="H52" s="39">
        <f t="shared" si="0"/>
        <v>5.3185000000000002</v>
      </c>
      <c r="J52" s="1">
        <v>9.8519999999999996E-2</v>
      </c>
      <c r="K52" s="66">
        <v>666.5</v>
      </c>
      <c r="L52" s="39">
        <v>9.8520000000000003</v>
      </c>
      <c r="N52" s="1">
        <v>5.4625E-2</v>
      </c>
      <c r="O52" s="66">
        <v>653</v>
      </c>
      <c r="P52" s="39">
        <f t="shared" si="1"/>
        <v>5.4625000000000004</v>
      </c>
      <c r="R52" s="39" t="e">
        <f>#REF!*100</f>
        <v>#REF!</v>
      </c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</row>
    <row r="53" spans="2:114" x14ac:dyDescent="0.2">
      <c r="B53" s="1">
        <v>9.8555000000000004E-2</v>
      </c>
      <c r="C53" s="66">
        <v>736.7</v>
      </c>
      <c r="D53" s="39">
        <v>9.855500000000001</v>
      </c>
      <c r="F53" s="1">
        <v>5.8118000000000003E-2</v>
      </c>
      <c r="G53" s="66">
        <v>696.7</v>
      </c>
      <c r="H53" s="39">
        <f t="shared" si="0"/>
        <v>5.8117999999999999</v>
      </c>
      <c r="J53" s="1">
        <v>0.103575</v>
      </c>
      <c r="K53" s="66">
        <v>667.6</v>
      </c>
      <c r="L53" s="39">
        <v>10.3575</v>
      </c>
      <c r="N53" s="1">
        <v>5.9839999999999997E-2</v>
      </c>
      <c r="O53" s="66">
        <v>657.4</v>
      </c>
      <c r="P53" s="39">
        <f t="shared" si="1"/>
        <v>5.984</v>
      </c>
      <c r="R53" s="39" t="e">
        <f>#REF!*100</f>
        <v>#REF!</v>
      </c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  <c r="DI53" s="6"/>
      <c r="DJ53" s="6"/>
    </row>
    <row r="54" spans="2:114" x14ac:dyDescent="0.2">
      <c r="B54" s="1">
        <v>0.103301</v>
      </c>
      <c r="C54" s="66">
        <v>741.2</v>
      </c>
      <c r="D54" s="39">
        <v>10.3301</v>
      </c>
      <c r="F54" s="1">
        <v>6.3190999999999997E-2</v>
      </c>
      <c r="G54" s="66">
        <v>704.3</v>
      </c>
      <c r="H54" s="39">
        <f t="shared" si="0"/>
        <v>6.3190999999999997</v>
      </c>
      <c r="J54" s="1">
        <v>0.10882500000000001</v>
      </c>
      <c r="K54" s="66">
        <v>668.4</v>
      </c>
      <c r="L54" s="39">
        <v>10.8825</v>
      </c>
      <c r="N54" s="1">
        <v>6.5229999999999996E-2</v>
      </c>
      <c r="O54" s="66">
        <v>661.2</v>
      </c>
      <c r="P54" s="39">
        <f t="shared" si="1"/>
        <v>6.5229999999999997</v>
      </c>
      <c r="R54" s="39" t="e">
        <f>#REF!*100</f>
        <v>#REF!</v>
      </c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  <c r="DI54" s="6"/>
      <c r="DJ54" s="6"/>
    </row>
    <row r="55" spans="2:114" x14ac:dyDescent="0.2">
      <c r="B55" s="1">
        <v>0.108213</v>
      </c>
      <c r="C55" s="66">
        <v>745.6</v>
      </c>
      <c r="D55" s="39">
        <v>10.821300000000001</v>
      </c>
      <c r="F55" s="1">
        <v>6.9386000000000003E-2</v>
      </c>
      <c r="G55" s="66">
        <v>712.8</v>
      </c>
      <c r="H55" s="39">
        <f t="shared" si="0"/>
        <v>6.9386000000000001</v>
      </c>
      <c r="J55" s="1">
        <v>0.114285</v>
      </c>
      <c r="K55" s="66">
        <v>669.1</v>
      </c>
      <c r="L55" s="39">
        <v>11.4285</v>
      </c>
      <c r="N55" s="1">
        <v>7.1849999999999997E-2</v>
      </c>
      <c r="O55" s="66">
        <v>665.1</v>
      </c>
      <c r="P55" s="39">
        <f t="shared" si="1"/>
        <v>7.1849999999999996</v>
      </c>
      <c r="R55" s="39" t="e">
        <f>#REF!*100</f>
        <v>#REF!</v>
      </c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  <c r="DI55" s="6"/>
      <c r="DJ55" s="6"/>
    </row>
    <row r="56" spans="2:114" x14ac:dyDescent="0.2">
      <c r="B56" s="1">
        <v>0.113289</v>
      </c>
      <c r="C56" s="66">
        <v>749.8</v>
      </c>
      <c r="D56" s="39">
        <v>11.328900000000001</v>
      </c>
      <c r="F56" s="1">
        <v>7.5882000000000005E-2</v>
      </c>
      <c r="G56" s="66">
        <v>721</v>
      </c>
      <c r="H56" s="39">
        <f t="shared" si="0"/>
        <v>7.5882000000000005</v>
      </c>
      <c r="J56" s="1">
        <v>0.11995500000000001</v>
      </c>
      <c r="K56" s="66">
        <v>669.5</v>
      </c>
      <c r="L56" s="39">
        <v>11.9955</v>
      </c>
      <c r="N56" s="1">
        <v>7.8835000000000002E-2</v>
      </c>
      <c r="O56" s="66">
        <v>668.3</v>
      </c>
      <c r="P56" s="39">
        <f t="shared" si="1"/>
        <v>7.8835000000000006</v>
      </c>
      <c r="R56" s="39" t="e">
        <f>#REF!*100</f>
        <v>#REF!</v>
      </c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  <c r="DI56" s="6"/>
      <c r="DJ56" s="6"/>
    </row>
    <row r="57" spans="2:114" x14ac:dyDescent="0.2">
      <c r="B57" s="1">
        <v>0.118543</v>
      </c>
      <c r="C57" s="66">
        <v>753.9</v>
      </c>
      <c r="D57" s="39">
        <v>11.8543</v>
      </c>
      <c r="F57" s="1">
        <v>8.2574999999999996E-2</v>
      </c>
      <c r="G57" s="66">
        <v>728.6</v>
      </c>
      <c r="H57" s="39">
        <f t="shared" si="0"/>
        <v>8.2575000000000003</v>
      </c>
      <c r="J57" s="1">
        <v>0.12585499999999999</v>
      </c>
      <c r="K57" s="66">
        <v>669.6</v>
      </c>
      <c r="L57" s="39">
        <v>12.5855</v>
      </c>
      <c r="N57" s="1">
        <v>8.6080000000000004E-2</v>
      </c>
      <c r="O57" s="66">
        <v>670.9</v>
      </c>
      <c r="P57" s="39">
        <f t="shared" si="1"/>
        <v>8.6080000000000005</v>
      </c>
      <c r="R57" s="39" t="e">
        <f>#REF!*100</f>
        <v>#REF!</v>
      </c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</row>
    <row r="58" spans="2:114" x14ac:dyDescent="0.2">
      <c r="B58" s="1">
        <v>0.123381</v>
      </c>
      <c r="C58" s="66">
        <v>757.3</v>
      </c>
      <c r="D58" s="39">
        <v>12.338100000000001</v>
      </c>
      <c r="F58" s="1">
        <v>8.8995000000000005E-2</v>
      </c>
      <c r="G58" s="66">
        <v>735.3</v>
      </c>
      <c r="H58" s="39">
        <f t="shared" si="0"/>
        <v>8.8994999999999997</v>
      </c>
      <c r="J58" s="1">
        <v>0.13131499999999999</v>
      </c>
      <c r="K58" s="66">
        <v>669.4</v>
      </c>
      <c r="L58" s="39">
        <v>13.131499999999999</v>
      </c>
      <c r="N58" s="1">
        <v>9.3075000000000005E-2</v>
      </c>
      <c r="O58" s="66">
        <v>672.7</v>
      </c>
      <c r="P58" s="39">
        <f t="shared" si="1"/>
        <v>9.307500000000001</v>
      </c>
      <c r="R58" s="39" t="e">
        <f>#REF!*100</f>
        <v>#REF!</v>
      </c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</row>
    <row r="59" spans="2:114" x14ac:dyDescent="0.2">
      <c r="B59" s="1">
        <v>0.12816900000000001</v>
      </c>
      <c r="C59" s="66">
        <v>760.6</v>
      </c>
      <c r="D59" s="39">
        <v>12.8169</v>
      </c>
      <c r="F59" s="1">
        <v>9.5645999999999995E-2</v>
      </c>
      <c r="G59" s="66">
        <v>741.7</v>
      </c>
      <c r="H59" s="39">
        <f t="shared" si="0"/>
        <v>9.5645999999999987</v>
      </c>
      <c r="J59" s="1">
        <v>0.13674500000000001</v>
      </c>
      <c r="K59" s="66">
        <v>669.1</v>
      </c>
      <c r="L59" s="39">
        <v>13.6745</v>
      </c>
      <c r="N59" s="1">
        <v>0.10037</v>
      </c>
      <c r="O59" s="66">
        <v>674</v>
      </c>
      <c r="P59" s="39">
        <f t="shared" si="1"/>
        <v>10.037000000000001</v>
      </c>
      <c r="R59" s="39" t="e">
        <f>#REF!*100</f>
        <v>#REF!</v>
      </c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</row>
    <row r="60" spans="2:114" x14ac:dyDescent="0.2">
      <c r="B60" s="1">
        <v>0.13321</v>
      </c>
      <c r="C60" s="66">
        <v>763.6</v>
      </c>
      <c r="D60" s="39">
        <v>13.321</v>
      </c>
      <c r="F60" s="1">
        <v>0.102164</v>
      </c>
      <c r="G60" s="66">
        <v>747.3</v>
      </c>
      <c r="H60" s="39">
        <f t="shared" si="0"/>
        <v>10.2164</v>
      </c>
      <c r="J60" s="1">
        <v>0.14249000000000001</v>
      </c>
      <c r="K60" s="66">
        <v>668.3</v>
      </c>
      <c r="L60" s="39">
        <v>14.249000000000001</v>
      </c>
      <c r="N60" s="1">
        <v>0.10756499999999999</v>
      </c>
      <c r="O60" s="66">
        <v>674.8</v>
      </c>
      <c r="P60" s="39">
        <f t="shared" si="1"/>
        <v>10.756499999999999</v>
      </c>
      <c r="R60" s="39" t="e">
        <f>#REF!*100</f>
        <v>#REF!</v>
      </c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</row>
    <row r="61" spans="2:114" x14ac:dyDescent="0.2">
      <c r="B61" s="1">
        <v>0.13808699999999999</v>
      </c>
      <c r="C61" s="66">
        <v>766.1</v>
      </c>
      <c r="D61" s="39">
        <v>13.808699999999998</v>
      </c>
      <c r="F61" s="1">
        <v>0.108935</v>
      </c>
      <c r="G61" s="66">
        <v>752.8</v>
      </c>
      <c r="H61" s="39">
        <f t="shared" si="0"/>
        <v>10.8935</v>
      </c>
      <c r="J61" s="1">
        <v>0.14807500000000001</v>
      </c>
      <c r="K61" s="66">
        <v>667.3</v>
      </c>
      <c r="L61" s="39">
        <v>14.807500000000001</v>
      </c>
      <c r="N61" s="1">
        <v>0.11509</v>
      </c>
      <c r="O61" s="66">
        <v>675.1</v>
      </c>
      <c r="P61" s="39">
        <f t="shared" si="1"/>
        <v>11.509</v>
      </c>
      <c r="R61" s="39" t="e">
        <f>#REF!*100</f>
        <v>#REF!</v>
      </c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  <c r="DI61" s="6"/>
      <c r="DJ61" s="6"/>
    </row>
    <row r="62" spans="2:114" x14ac:dyDescent="0.2">
      <c r="B62" s="1">
        <v>0.143091</v>
      </c>
      <c r="C62" s="66">
        <v>768.1</v>
      </c>
      <c r="D62" s="39">
        <v>14.309099999999999</v>
      </c>
      <c r="F62" s="1">
        <v>0.115955</v>
      </c>
      <c r="G62" s="66">
        <v>757.8</v>
      </c>
      <c r="H62" s="39">
        <f t="shared" si="0"/>
        <v>11.595499999999999</v>
      </c>
      <c r="J62" s="1">
        <v>0.153835</v>
      </c>
      <c r="K62" s="66">
        <v>665.7</v>
      </c>
      <c r="L62" s="39">
        <v>15.3835</v>
      </c>
      <c r="N62" s="1">
        <v>0.122945</v>
      </c>
      <c r="O62" s="66">
        <v>674.8</v>
      </c>
      <c r="P62" s="39">
        <f t="shared" si="1"/>
        <v>12.294499999999999</v>
      </c>
      <c r="R62" s="39" t="e">
        <f>#REF!*100</f>
        <v>#REF!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</row>
    <row r="63" spans="2:114" x14ac:dyDescent="0.2">
      <c r="B63" s="1">
        <v>0.148364</v>
      </c>
      <c r="C63" s="66">
        <v>769.4</v>
      </c>
      <c r="D63" s="39">
        <v>14.836399999999999</v>
      </c>
      <c r="F63" s="1">
        <v>0.122877</v>
      </c>
      <c r="G63" s="66">
        <v>762.1</v>
      </c>
      <c r="H63" s="39">
        <f t="shared" si="0"/>
        <v>12.287699999999999</v>
      </c>
      <c r="J63" s="1">
        <v>0.15993499999999999</v>
      </c>
      <c r="K63" s="66">
        <v>663.3</v>
      </c>
      <c r="L63" s="39">
        <v>15.993499999999999</v>
      </c>
      <c r="N63" s="1">
        <v>0.130745</v>
      </c>
      <c r="O63" s="66">
        <v>674</v>
      </c>
      <c r="P63" s="39">
        <f t="shared" si="1"/>
        <v>13.0745</v>
      </c>
      <c r="R63" s="39" t="e">
        <f>#REF!*100</f>
        <v>#REF!</v>
      </c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</row>
    <row r="64" spans="2:114" x14ac:dyDescent="0.2">
      <c r="B64" s="1">
        <v>0.15360499999999999</v>
      </c>
      <c r="C64" s="66">
        <v>769.4</v>
      </c>
      <c r="D64" s="39">
        <v>15.360499999999998</v>
      </c>
      <c r="F64" s="1">
        <v>0.12969</v>
      </c>
      <c r="G64" s="66">
        <v>765.4</v>
      </c>
      <c r="H64" s="39">
        <f t="shared" si="0"/>
        <v>12.968999999999999</v>
      </c>
      <c r="J64" s="1">
        <v>0.16603000000000001</v>
      </c>
      <c r="K64" s="66">
        <v>659.8</v>
      </c>
      <c r="L64" s="39">
        <v>16.603000000000002</v>
      </c>
      <c r="N64" s="1">
        <v>0.13847499999999999</v>
      </c>
      <c r="O64" s="66">
        <v>672.3</v>
      </c>
      <c r="P64" s="39">
        <f t="shared" si="1"/>
        <v>13.847499999999998</v>
      </c>
      <c r="R64" s="39" t="e">
        <f>#REF!*100</f>
        <v>#REF!</v>
      </c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</row>
    <row r="65" spans="2:114" x14ac:dyDescent="0.2">
      <c r="B65" s="1">
        <v>0.15909599999999999</v>
      </c>
      <c r="C65" s="66">
        <v>767.8</v>
      </c>
      <c r="D65" s="39">
        <v>15.909599999999999</v>
      </c>
      <c r="F65" s="1">
        <v>0.13675699999999999</v>
      </c>
      <c r="G65" s="66">
        <v>767.6</v>
      </c>
      <c r="H65" s="39">
        <f t="shared" si="0"/>
        <v>13.675699999999999</v>
      </c>
      <c r="J65" s="1">
        <v>0.17244999999999999</v>
      </c>
      <c r="K65" s="66">
        <v>654.9</v>
      </c>
      <c r="L65" s="39">
        <v>17.244999999999997</v>
      </c>
      <c r="N65" s="1">
        <v>0.14655000000000001</v>
      </c>
      <c r="O65" s="66">
        <v>669.5</v>
      </c>
      <c r="P65" s="39">
        <f t="shared" si="1"/>
        <v>14.655000000000001</v>
      </c>
      <c r="R65" s="39" t="e">
        <f>#REF!*100</f>
        <v>#REF!</v>
      </c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  <c r="DI65" s="6"/>
      <c r="DJ65" s="6"/>
    </row>
    <row r="66" spans="2:114" x14ac:dyDescent="0.2">
      <c r="B66" s="1">
        <v>0.16486200000000001</v>
      </c>
      <c r="C66" s="66">
        <v>764.2</v>
      </c>
      <c r="D66" s="39">
        <v>16.4862</v>
      </c>
      <c r="F66" s="1">
        <v>0.143654</v>
      </c>
      <c r="G66" s="66">
        <v>767.7</v>
      </c>
      <c r="H66" s="39">
        <f t="shared" si="0"/>
        <v>14.365400000000001</v>
      </c>
      <c r="J66" s="1">
        <v>0.17923</v>
      </c>
      <c r="K66" s="66">
        <v>648</v>
      </c>
      <c r="L66" s="39">
        <v>17.923000000000002</v>
      </c>
      <c r="N66" s="1">
        <v>0.15448500000000001</v>
      </c>
      <c r="O66" s="66">
        <v>664.9</v>
      </c>
      <c r="P66" s="39">
        <f t="shared" si="1"/>
        <v>15.448500000000001</v>
      </c>
      <c r="R66" s="39" t="e">
        <f>#REF!*100</f>
        <v>#REF!</v>
      </c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  <c r="DI66" s="6"/>
      <c r="DJ66" s="6"/>
    </row>
    <row r="67" spans="2:114" x14ac:dyDescent="0.2">
      <c r="B67" s="1">
        <v>0.17038400000000001</v>
      </c>
      <c r="C67" s="66">
        <v>758.5</v>
      </c>
      <c r="D67" s="39">
        <v>17.038399999999999</v>
      </c>
      <c r="F67" s="1">
        <v>0.15090799999999999</v>
      </c>
      <c r="G67" s="66">
        <v>765.1</v>
      </c>
      <c r="H67" s="39">
        <f t="shared" si="0"/>
        <v>15.090799999999998</v>
      </c>
      <c r="J67" s="1">
        <v>0.19947000000000001</v>
      </c>
      <c r="K67" s="66">
        <v>615.70000000000005</v>
      </c>
      <c r="L67" s="39">
        <v>19.946999999999999</v>
      </c>
      <c r="N67" s="1">
        <v>0.16289000000000001</v>
      </c>
      <c r="O67" s="66">
        <v>657.9</v>
      </c>
      <c r="P67" s="39">
        <f t="shared" si="1"/>
        <v>16.289000000000001</v>
      </c>
      <c r="R67" s="39" t="e">
        <f>#REF!*100</f>
        <v>#REF!</v>
      </c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</row>
    <row r="68" spans="2:114" x14ac:dyDescent="0.2">
      <c r="B68" s="1">
        <v>0.17599300000000001</v>
      </c>
      <c r="C68" s="66">
        <v>750.3</v>
      </c>
      <c r="D68" s="39">
        <v>17.599299999999999</v>
      </c>
      <c r="F68" s="1">
        <v>0.15798200000000001</v>
      </c>
      <c r="G68" s="66">
        <v>759.5</v>
      </c>
      <c r="H68" s="39">
        <f t="shared" si="0"/>
        <v>15.798200000000001</v>
      </c>
      <c r="J68" s="1">
        <v>0.19242999999999999</v>
      </c>
      <c r="K68" s="66">
        <v>629.20000000000005</v>
      </c>
      <c r="L68" s="39">
        <v>19.242999999999999</v>
      </c>
      <c r="N68" s="1">
        <v>0.17114499999999999</v>
      </c>
      <c r="O68" s="66">
        <v>648.5</v>
      </c>
      <c r="P68" s="39">
        <f t="shared" si="1"/>
        <v>17.1145</v>
      </c>
      <c r="R68" s="39" t="e">
        <f>#REF!*100</f>
        <v>#REF!</v>
      </c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  <c r="DI68" s="6"/>
      <c r="DJ68" s="6"/>
    </row>
    <row r="69" spans="2:114" x14ac:dyDescent="0.2">
      <c r="B69" s="1">
        <v>0.18187999999999999</v>
      </c>
      <c r="C69" s="66">
        <v>738.6</v>
      </c>
      <c r="D69" s="39">
        <v>18.187999999999999</v>
      </c>
      <c r="F69" s="1">
        <v>0.16483200000000001</v>
      </c>
      <c r="G69" s="66">
        <v>751</v>
      </c>
      <c r="H69" s="39">
        <f t="shared" si="0"/>
        <v>16.4832</v>
      </c>
      <c r="J69" s="1">
        <v>0.19947000000000001</v>
      </c>
      <c r="K69" s="66">
        <v>615.70000000000005</v>
      </c>
      <c r="L69" s="39">
        <v>19.946999999999999</v>
      </c>
      <c r="N69" s="1">
        <v>0.17919499999999999</v>
      </c>
      <c r="O69" s="66">
        <v>636.79999999999995</v>
      </c>
      <c r="P69" s="39">
        <f t="shared" si="1"/>
        <v>17.919499999999999</v>
      </c>
      <c r="R69" s="39" t="e">
        <f>#REF!*100</f>
        <v>#REF!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  <c r="DI69" s="6"/>
      <c r="DJ69" s="6"/>
    </row>
    <row r="70" spans="2:114" x14ac:dyDescent="0.2">
      <c r="B70" s="1">
        <v>0.18766099999999999</v>
      </c>
      <c r="C70" s="66">
        <v>722.7</v>
      </c>
      <c r="D70" s="39">
        <v>18.766099999999998</v>
      </c>
      <c r="F70" s="1">
        <v>0.17185</v>
      </c>
      <c r="G70" s="66">
        <v>738.3</v>
      </c>
      <c r="H70" s="39">
        <f t="shared" si="0"/>
        <v>17.184999999999999</v>
      </c>
      <c r="J70" s="1">
        <v>0.206425</v>
      </c>
      <c r="K70" s="66">
        <v>599.1</v>
      </c>
      <c r="L70" s="39">
        <v>20.642499999999998</v>
      </c>
      <c r="N70" s="1">
        <v>0.1875</v>
      </c>
      <c r="O70" s="66">
        <v>621.70000000000005</v>
      </c>
      <c r="P70" s="39">
        <f t="shared" si="1"/>
        <v>18.75</v>
      </c>
      <c r="R70" s="39" t="e">
        <f>#REF!*100</f>
        <v>#REF!</v>
      </c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  <c r="DI70" s="6"/>
      <c r="DJ70" s="6"/>
    </row>
    <row r="71" spans="2:114" x14ac:dyDescent="0.2">
      <c r="B71" s="1">
        <v>0.193719</v>
      </c>
      <c r="C71" s="66">
        <v>700.4</v>
      </c>
      <c r="D71" s="39">
        <v>19.3719</v>
      </c>
      <c r="F71" s="1">
        <v>0.17868999999999999</v>
      </c>
      <c r="G71" s="66">
        <v>721.2</v>
      </c>
      <c r="H71" s="39">
        <f t="shared" si="0"/>
        <v>17.869</v>
      </c>
      <c r="J71" s="1">
        <v>0.213755</v>
      </c>
      <c r="K71" s="66">
        <v>577.1</v>
      </c>
      <c r="L71" s="39">
        <v>21.375499999999999</v>
      </c>
      <c r="N71" s="1">
        <v>0.19564999999999999</v>
      </c>
      <c r="O71" s="66">
        <v>603.20000000000005</v>
      </c>
      <c r="P71" s="39">
        <f t="shared" si="1"/>
        <v>19.564999999999998</v>
      </c>
      <c r="R71" s="39" t="e">
        <f>#REF!*100</f>
        <v>#REF!</v>
      </c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  <c r="DI71" s="6"/>
      <c r="DJ71" s="6"/>
    </row>
    <row r="72" spans="2:114" x14ac:dyDescent="0.2">
      <c r="B72" s="1">
        <v>0.199461</v>
      </c>
      <c r="C72" s="66">
        <v>671.5</v>
      </c>
      <c r="D72" s="39">
        <v>19.946100000000001</v>
      </c>
      <c r="F72" s="1">
        <v>0.185894</v>
      </c>
      <c r="G72" s="66">
        <v>696.1</v>
      </c>
      <c r="H72" s="39">
        <f t="shared" si="0"/>
        <v>18.589400000000001</v>
      </c>
      <c r="J72" s="1">
        <v>0.220745</v>
      </c>
      <c r="K72" s="66">
        <v>550.1</v>
      </c>
      <c r="L72" s="39">
        <v>22.0745</v>
      </c>
      <c r="N72" s="1">
        <v>0.204295</v>
      </c>
      <c r="O72" s="66">
        <v>578</v>
      </c>
      <c r="P72" s="39">
        <f t="shared" si="1"/>
        <v>20.429500000000001</v>
      </c>
      <c r="R72" s="39" t="e">
        <f>#REF!*100</f>
        <v>#REF!</v>
      </c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  <c r="DI72" s="6"/>
      <c r="DJ72" s="6"/>
    </row>
    <row r="73" spans="2:114" x14ac:dyDescent="0.2">
      <c r="B73" s="1">
        <v>0.20541100000000001</v>
      </c>
      <c r="C73" s="66">
        <v>628.6</v>
      </c>
      <c r="D73" s="39">
        <v>20.5411</v>
      </c>
      <c r="F73" s="1">
        <v>0.19298499999999999</v>
      </c>
      <c r="G73" s="66">
        <v>660.8</v>
      </c>
      <c r="H73" s="39">
        <f t="shared" si="0"/>
        <v>19.298500000000001</v>
      </c>
      <c r="J73" s="1">
        <v>0.22803000000000001</v>
      </c>
      <c r="K73" s="66">
        <v>511.9</v>
      </c>
      <c r="L73" s="39">
        <v>22.803000000000001</v>
      </c>
      <c r="N73" s="1">
        <v>0.210865</v>
      </c>
      <c r="O73" s="66">
        <v>544.79999999999995</v>
      </c>
      <c r="P73" s="39">
        <f t="shared" si="1"/>
        <v>21.086500000000001</v>
      </c>
      <c r="R73" s="39" t="e">
        <f>#REF!*100</f>
        <v>#REF!</v>
      </c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  <c r="DI73" s="6"/>
      <c r="DJ73" s="6"/>
    </row>
    <row r="74" spans="2:114" x14ac:dyDescent="0.2">
      <c r="B74" s="1">
        <v>0.20891480106347532</v>
      </c>
      <c r="C74" s="66">
        <v>590.70000000000005</v>
      </c>
      <c r="D74" s="39">
        <v>20.891480106347533</v>
      </c>
      <c r="F74" s="1">
        <v>0.2009224819430927</v>
      </c>
      <c r="G74" s="66">
        <v>596.6</v>
      </c>
      <c r="H74" s="39">
        <f t="shared" si="0"/>
        <v>20.092248194309271</v>
      </c>
      <c r="J74" s="1">
        <v>0.23234000000000002</v>
      </c>
      <c r="K74" s="66">
        <v>479.3</v>
      </c>
      <c r="L74" s="39">
        <v>23.234000000000002</v>
      </c>
      <c r="N74" s="1">
        <v>0.21253</v>
      </c>
      <c r="O74" s="66">
        <v>487.9</v>
      </c>
      <c r="P74" s="39">
        <f t="shared" si="1"/>
        <v>21.253</v>
      </c>
      <c r="R74" s="39" t="e">
        <f>#REF!*100</f>
        <v>#REF!</v>
      </c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</row>
    <row r="75" spans="2:114" x14ac:dyDescent="0.2">
      <c r="B75" s="68"/>
      <c r="C75" s="69"/>
      <c r="D75" s="70"/>
      <c r="F75" s="68"/>
      <c r="G75" s="69"/>
      <c r="H75" s="70"/>
      <c r="J75" s="71"/>
      <c r="K75" s="71"/>
      <c r="L75" s="67"/>
      <c r="N75" s="71"/>
      <c r="O75" s="71"/>
      <c r="P75" s="67"/>
      <c r="R75" s="67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</row>
    <row r="76" spans="2:114" x14ac:dyDescent="0.2">
      <c r="B76" s="106" t="s">
        <v>53</v>
      </c>
      <c r="C76" s="107"/>
      <c r="D76" s="107"/>
      <c r="E76" s="107"/>
      <c r="F76" s="107"/>
      <c r="G76" s="107"/>
      <c r="H76" s="107"/>
      <c r="I76" s="107"/>
      <c r="J76" s="106" t="s">
        <v>53</v>
      </c>
      <c r="K76" s="107"/>
      <c r="L76" s="107"/>
      <c r="M76" s="107"/>
      <c r="N76" s="107"/>
      <c r="O76" s="107"/>
      <c r="P76" s="107"/>
      <c r="Q76" s="107"/>
      <c r="R76" s="67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  <c r="DI76" s="6"/>
      <c r="DJ76" s="6"/>
    </row>
    <row r="77" spans="2:114" x14ac:dyDescent="0.2">
      <c r="B77" s="108"/>
      <c r="C77" s="109"/>
      <c r="D77" s="109"/>
      <c r="E77" s="109"/>
      <c r="F77" s="109"/>
      <c r="G77" s="109"/>
      <c r="H77" s="109"/>
      <c r="I77" s="109"/>
      <c r="J77" s="108"/>
      <c r="K77" s="109"/>
      <c r="L77" s="109"/>
      <c r="M77" s="109"/>
      <c r="N77" s="109"/>
      <c r="O77" s="109"/>
      <c r="P77" s="109"/>
      <c r="Q77" s="109"/>
      <c r="R77" s="67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  <c r="DI77" s="6"/>
      <c r="DJ77" s="6"/>
    </row>
    <row r="78" spans="2:114" x14ac:dyDescent="0.2">
      <c r="B78" s="108"/>
      <c r="C78" s="109"/>
      <c r="D78" s="109"/>
      <c r="E78" s="109"/>
      <c r="F78" s="109"/>
      <c r="G78" s="109"/>
      <c r="H78" s="109"/>
      <c r="I78" s="109"/>
      <c r="J78" s="108"/>
      <c r="K78" s="109"/>
      <c r="L78" s="109"/>
      <c r="M78" s="109"/>
      <c r="N78" s="109"/>
      <c r="O78" s="109"/>
      <c r="P78" s="109"/>
      <c r="Q78" s="109"/>
      <c r="R78" s="67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  <c r="DI78" s="6"/>
      <c r="DJ78" s="6"/>
    </row>
    <row r="79" spans="2:114" x14ac:dyDescent="0.2">
      <c r="B79" s="108"/>
      <c r="C79" s="109"/>
      <c r="D79" s="109"/>
      <c r="E79" s="109"/>
      <c r="F79" s="109"/>
      <c r="G79" s="109"/>
      <c r="H79" s="109"/>
      <c r="I79" s="109"/>
      <c r="J79" s="108"/>
      <c r="K79" s="109"/>
      <c r="L79" s="109"/>
      <c r="M79" s="109"/>
      <c r="N79" s="109"/>
      <c r="O79" s="109"/>
      <c r="P79" s="109"/>
      <c r="Q79" s="109"/>
      <c r="R79" s="67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  <c r="DI79" s="6"/>
      <c r="DJ79" s="6"/>
    </row>
    <row r="80" spans="2:114" x14ac:dyDescent="0.2">
      <c r="B80" s="110"/>
      <c r="C80" s="111"/>
      <c r="D80" s="111"/>
      <c r="E80" s="111"/>
      <c r="F80" s="111"/>
      <c r="G80" s="111"/>
      <c r="H80" s="111"/>
      <c r="I80" s="111"/>
      <c r="J80" s="110"/>
      <c r="K80" s="111"/>
      <c r="L80" s="111"/>
      <c r="M80" s="111"/>
      <c r="N80" s="111"/>
      <c r="O80" s="111"/>
      <c r="P80" s="111"/>
      <c r="Q80" s="111"/>
      <c r="R80" s="67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  <c r="DI80" s="6"/>
      <c r="DJ80" s="6"/>
    </row>
    <row r="81" spans="2:114" x14ac:dyDescent="0.2">
      <c r="B81" s="68"/>
      <c r="C81" s="69"/>
      <c r="D81" s="70"/>
      <c r="F81" s="68"/>
      <c r="G81" s="69"/>
      <c r="H81" s="70"/>
      <c r="J81" s="71"/>
      <c r="K81" s="71"/>
      <c r="L81" s="67"/>
      <c r="N81" s="71"/>
      <c r="O81" s="71"/>
      <c r="P81" s="67"/>
      <c r="R81" s="67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  <c r="DI81" s="6"/>
      <c r="DJ81" s="6"/>
    </row>
    <row r="82" spans="2:114" x14ac:dyDescent="0.2">
      <c r="B82" s="68"/>
      <c r="C82" s="69"/>
      <c r="D82" s="70"/>
      <c r="F82" s="68"/>
      <c r="G82" s="69"/>
      <c r="H82" s="70"/>
      <c r="J82" s="71"/>
      <c r="K82" s="71"/>
      <c r="L82" s="67"/>
      <c r="N82" s="71"/>
      <c r="O82" s="71"/>
      <c r="P82" s="67"/>
      <c r="R82" s="67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  <c r="DI82" s="6"/>
      <c r="DJ82" s="6"/>
    </row>
    <row r="83" spans="2:114" x14ac:dyDescent="0.2">
      <c r="B83" s="68"/>
      <c r="C83" s="69"/>
      <c r="D83" s="70"/>
      <c r="F83" s="68"/>
      <c r="G83" s="69"/>
      <c r="H83" s="70"/>
      <c r="J83" s="71"/>
      <c r="K83" s="71"/>
      <c r="L83" s="67"/>
      <c r="N83" s="71"/>
      <c r="O83" s="71"/>
      <c r="P83" s="67"/>
      <c r="R83" s="67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  <c r="DI83" s="6"/>
      <c r="DJ83" s="6"/>
    </row>
    <row r="84" spans="2:114" x14ac:dyDescent="0.2">
      <c r="B84" s="68"/>
      <c r="C84" s="69"/>
      <c r="D84" s="70"/>
      <c r="F84" s="68"/>
      <c r="G84" s="69"/>
      <c r="H84" s="70"/>
      <c r="J84" s="71"/>
      <c r="K84" s="71"/>
      <c r="L84" s="67"/>
      <c r="N84" s="71"/>
      <c r="O84" s="71"/>
      <c r="P84" s="67"/>
      <c r="R84" s="67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  <c r="DI84" s="6"/>
      <c r="DJ84" s="6"/>
    </row>
    <row r="85" spans="2:114" x14ac:dyDescent="0.2">
      <c r="B85" s="68"/>
      <c r="C85" s="69"/>
      <c r="D85" s="70"/>
      <c r="F85" s="68"/>
      <c r="G85" s="69"/>
      <c r="H85" s="70"/>
      <c r="J85" s="71"/>
      <c r="K85" s="71"/>
      <c r="L85" s="67"/>
      <c r="N85" s="71"/>
      <c r="O85" s="71"/>
      <c r="P85" s="67"/>
      <c r="R85" s="67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  <c r="DI85" s="6"/>
      <c r="DJ85" s="6"/>
    </row>
    <row r="86" spans="2:114" x14ac:dyDescent="0.2">
      <c r="B86" s="68"/>
      <c r="C86" s="69"/>
      <c r="D86" s="70"/>
      <c r="F86" s="68"/>
      <c r="G86" s="69"/>
      <c r="H86" s="70"/>
      <c r="J86" s="71"/>
      <c r="K86" s="71"/>
      <c r="L86" s="67"/>
      <c r="N86" s="71"/>
      <c r="O86" s="71"/>
      <c r="P86" s="67"/>
      <c r="R86" s="67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  <c r="DI86" s="6"/>
      <c r="DJ86" s="6"/>
    </row>
    <row r="87" spans="2:114" x14ac:dyDescent="0.2">
      <c r="B87" s="68"/>
      <c r="C87" s="69"/>
      <c r="D87" s="70"/>
      <c r="F87" s="68"/>
      <c r="G87" s="69"/>
      <c r="H87" s="70"/>
      <c r="J87" s="71"/>
      <c r="K87" s="71"/>
      <c r="L87" s="67"/>
      <c r="N87" s="71"/>
      <c r="O87" s="71"/>
      <c r="P87" s="67"/>
      <c r="R87" s="67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</row>
    <row r="88" spans="2:114" x14ac:dyDescent="0.2">
      <c r="B88" s="68"/>
      <c r="C88" s="69"/>
      <c r="D88" s="70"/>
      <c r="F88" s="68"/>
      <c r="G88" s="69"/>
      <c r="H88" s="70"/>
      <c r="J88" s="71"/>
      <c r="K88" s="71"/>
      <c r="L88" s="67"/>
      <c r="N88" s="71"/>
      <c r="O88" s="71"/>
      <c r="P88" s="67"/>
      <c r="R88" s="67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  <c r="DI88" s="6"/>
      <c r="DJ88" s="6"/>
    </row>
    <row r="89" spans="2:114" x14ac:dyDescent="0.2">
      <c r="B89" s="68"/>
      <c r="C89" s="69"/>
      <c r="D89" s="70"/>
      <c r="F89" s="68"/>
      <c r="G89" s="69"/>
      <c r="H89" s="70"/>
      <c r="J89" s="71"/>
      <c r="K89" s="71"/>
      <c r="L89" s="67"/>
      <c r="N89" s="71"/>
      <c r="O89" s="71"/>
      <c r="P89" s="67"/>
      <c r="R89" s="67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  <c r="DI89" s="6"/>
      <c r="DJ89" s="6"/>
    </row>
    <row r="90" spans="2:114" x14ac:dyDescent="0.2">
      <c r="B90" s="68"/>
      <c r="C90" s="69"/>
      <c r="D90" s="70"/>
      <c r="F90" s="68"/>
      <c r="G90" s="69"/>
      <c r="H90" s="70"/>
      <c r="J90" s="71"/>
      <c r="K90" s="71"/>
      <c r="L90" s="67"/>
      <c r="N90" s="71"/>
      <c r="O90" s="71"/>
      <c r="P90" s="67"/>
      <c r="R90" s="67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  <c r="DI90" s="6"/>
      <c r="DJ90" s="6"/>
    </row>
    <row r="91" spans="2:114" x14ac:dyDescent="0.2">
      <c r="B91" s="68"/>
      <c r="C91" s="69"/>
      <c r="D91" s="70"/>
      <c r="F91" s="68"/>
      <c r="G91" s="69"/>
      <c r="H91" s="70"/>
      <c r="J91" s="71"/>
      <c r="K91" s="71"/>
      <c r="L91" s="67"/>
      <c r="N91" s="71"/>
      <c r="O91" s="71"/>
      <c r="P91" s="67"/>
      <c r="R91" s="67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  <c r="DI91" s="6"/>
      <c r="DJ91" s="6"/>
    </row>
    <row r="92" spans="2:114" x14ac:dyDescent="0.2">
      <c r="B92" s="68"/>
      <c r="C92" s="69"/>
      <c r="D92" s="70"/>
      <c r="F92" s="68"/>
      <c r="G92" s="69"/>
      <c r="H92" s="70"/>
      <c r="J92" s="71"/>
      <c r="K92" s="71"/>
      <c r="L92" s="67"/>
      <c r="N92" s="71"/>
      <c r="O92" s="71"/>
      <c r="P92" s="67"/>
      <c r="R92" s="67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  <c r="DI92" s="6"/>
      <c r="DJ92" s="6"/>
    </row>
    <row r="93" spans="2:114" x14ac:dyDescent="0.2">
      <c r="B93" s="68"/>
      <c r="C93" s="69"/>
      <c r="D93" s="70"/>
      <c r="F93" s="68"/>
      <c r="G93" s="69"/>
      <c r="H93" s="70"/>
      <c r="J93" s="71"/>
      <c r="K93" s="71"/>
      <c r="L93" s="67"/>
      <c r="N93" s="71"/>
      <c r="O93" s="71"/>
      <c r="P93" s="67"/>
      <c r="R93" s="67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  <c r="DI93" s="6"/>
      <c r="DJ93" s="6"/>
    </row>
    <row r="94" spans="2:114" x14ac:dyDescent="0.2">
      <c r="B94" s="68"/>
      <c r="C94" s="69"/>
      <c r="D94" s="70"/>
      <c r="F94" s="68"/>
      <c r="G94" s="69"/>
      <c r="H94" s="70"/>
      <c r="J94" s="71"/>
      <c r="K94" s="71"/>
      <c r="L94" s="67"/>
      <c r="N94" s="71"/>
      <c r="O94" s="71"/>
      <c r="P94" s="67"/>
      <c r="R94" s="67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  <c r="DI94" s="6"/>
      <c r="DJ94" s="6"/>
    </row>
    <row r="95" spans="2:114" x14ac:dyDescent="0.2">
      <c r="B95" s="68"/>
      <c r="C95" s="69"/>
      <c r="D95" s="70"/>
      <c r="F95" s="68"/>
      <c r="G95" s="69"/>
      <c r="H95" s="70"/>
      <c r="J95" s="71"/>
      <c r="K95" s="71"/>
      <c r="L95" s="67"/>
      <c r="N95" s="71"/>
      <c r="O95" s="71"/>
      <c r="P95" s="67"/>
      <c r="R95" s="67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  <c r="DI95" s="6"/>
      <c r="DJ95" s="6"/>
    </row>
    <row r="96" spans="2:114" x14ac:dyDescent="0.2">
      <c r="B96" s="68"/>
      <c r="C96" s="69"/>
      <c r="D96" s="70"/>
      <c r="F96" s="68"/>
      <c r="G96" s="69"/>
      <c r="H96" s="70"/>
      <c r="J96" s="71"/>
      <c r="K96" s="71"/>
      <c r="L96" s="67"/>
      <c r="N96" s="71"/>
      <c r="O96" s="71"/>
      <c r="P96" s="67"/>
      <c r="R96" s="67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  <c r="DI96" s="6"/>
      <c r="DJ96" s="6"/>
    </row>
    <row r="97" spans="2:114" x14ac:dyDescent="0.2">
      <c r="B97" s="68"/>
      <c r="C97" s="69"/>
      <c r="D97" s="70"/>
      <c r="F97" s="68"/>
      <c r="G97" s="69"/>
      <c r="H97" s="70"/>
      <c r="J97" s="71"/>
      <c r="K97" s="71"/>
      <c r="L97" s="67"/>
      <c r="N97" s="71"/>
      <c r="O97" s="71"/>
      <c r="P97" s="67"/>
      <c r="R97" s="67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  <c r="DI97" s="6"/>
      <c r="DJ97" s="6"/>
    </row>
    <row r="98" spans="2:114" x14ac:dyDescent="0.2">
      <c r="B98" s="68"/>
      <c r="C98" s="69"/>
      <c r="D98" s="70"/>
      <c r="F98" s="68"/>
      <c r="G98" s="69"/>
      <c r="H98" s="70"/>
      <c r="J98" s="71"/>
      <c r="K98" s="71"/>
      <c r="L98" s="67"/>
      <c r="N98" s="71"/>
      <c r="O98" s="71"/>
      <c r="P98" s="67"/>
      <c r="R98" s="67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</row>
    <row r="99" spans="2:114" x14ac:dyDescent="0.2">
      <c r="B99" s="68"/>
      <c r="C99" s="69"/>
      <c r="D99" s="70"/>
      <c r="F99" s="68"/>
      <c r="G99" s="69"/>
      <c r="H99" s="70"/>
      <c r="J99" s="71"/>
      <c r="K99" s="71"/>
      <c r="L99" s="67"/>
      <c r="N99" s="71"/>
      <c r="O99" s="71"/>
      <c r="P99" s="67"/>
      <c r="R99" s="67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</row>
    <row r="100" spans="2:114" x14ac:dyDescent="0.2">
      <c r="B100" s="68"/>
      <c r="C100" s="69"/>
      <c r="D100" s="70"/>
      <c r="F100" s="68"/>
      <c r="G100" s="69"/>
      <c r="H100" s="70"/>
      <c r="J100" s="71"/>
      <c r="K100" s="71"/>
      <c r="L100" s="67"/>
      <c r="N100" s="71"/>
      <c r="O100" s="71"/>
      <c r="P100" s="67"/>
      <c r="R100" s="67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</row>
    <row r="101" spans="2:114" x14ac:dyDescent="0.2">
      <c r="B101" s="68"/>
      <c r="C101" s="69"/>
      <c r="D101" s="70"/>
      <c r="F101" s="68"/>
      <c r="G101" s="69"/>
      <c r="H101" s="70"/>
      <c r="J101" s="71"/>
      <c r="K101" s="71"/>
      <c r="L101" s="67"/>
      <c r="N101" s="71"/>
      <c r="O101" s="71"/>
      <c r="P101" s="67"/>
      <c r="R101" s="67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</row>
    <row r="102" spans="2:114" x14ac:dyDescent="0.2">
      <c r="B102" s="68"/>
      <c r="C102" s="69"/>
      <c r="D102" s="70"/>
      <c r="F102" s="68"/>
      <c r="G102" s="69"/>
      <c r="H102" s="70"/>
      <c r="J102" s="71"/>
      <c r="K102" s="71"/>
      <c r="L102" s="67"/>
      <c r="N102" s="71"/>
      <c r="O102" s="71"/>
      <c r="P102" s="67"/>
      <c r="R102" s="67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</row>
    <row r="103" spans="2:114" x14ac:dyDescent="0.2">
      <c r="B103" s="68"/>
      <c r="C103" s="69"/>
      <c r="D103" s="70"/>
      <c r="F103" s="68"/>
      <c r="G103" s="69"/>
      <c r="H103" s="70"/>
      <c r="J103" s="71"/>
      <c r="K103" s="71"/>
      <c r="L103" s="67"/>
      <c r="N103" s="71"/>
      <c r="O103" s="71"/>
      <c r="P103" s="67"/>
      <c r="R103" s="67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</row>
    <row r="104" spans="2:114" x14ac:dyDescent="0.2">
      <c r="B104" s="68"/>
      <c r="C104" s="69"/>
      <c r="D104" s="70"/>
      <c r="F104" s="68"/>
      <c r="G104" s="69"/>
      <c r="H104" s="70"/>
      <c r="J104" s="71"/>
      <c r="K104" s="71"/>
      <c r="L104" s="67"/>
      <c r="N104" s="71"/>
      <c r="O104" s="71"/>
      <c r="P104" s="67"/>
      <c r="R104" s="67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</row>
    <row r="105" spans="2:114" x14ac:dyDescent="0.2">
      <c r="B105" s="68"/>
      <c r="C105" s="69"/>
      <c r="D105" s="70"/>
      <c r="F105" s="68"/>
      <c r="G105" s="69"/>
      <c r="H105" s="70"/>
      <c r="J105" s="71"/>
      <c r="K105" s="71"/>
      <c r="L105" s="67"/>
      <c r="N105" s="71"/>
      <c r="O105" s="71"/>
      <c r="P105" s="67"/>
      <c r="R105" s="67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</row>
    <row r="106" spans="2:114" x14ac:dyDescent="0.2">
      <c r="B106" s="68"/>
      <c r="C106" s="69"/>
      <c r="D106" s="70"/>
      <c r="F106" s="68"/>
      <c r="G106" s="69"/>
      <c r="H106" s="70"/>
      <c r="J106" s="71"/>
      <c r="K106" s="71"/>
      <c r="L106" s="67"/>
      <c r="N106" s="71"/>
      <c r="O106" s="71"/>
      <c r="P106" s="67"/>
      <c r="R106" s="67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</row>
    <row r="107" spans="2:114" x14ac:dyDescent="0.2">
      <c r="B107" s="68"/>
      <c r="C107" s="69"/>
      <c r="D107" s="70"/>
      <c r="F107" s="68"/>
      <c r="G107" s="69"/>
      <c r="H107" s="70"/>
      <c r="J107" s="71"/>
      <c r="K107" s="71"/>
      <c r="L107" s="67"/>
      <c r="N107" s="71"/>
      <c r="O107" s="71"/>
      <c r="P107" s="67"/>
      <c r="R107" s="67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</row>
    <row r="108" spans="2:114" x14ac:dyDescent="0.2">
      <c r="B108" s="68"/>
      <c r="C108" s="69"/>
      <c r="D108" s="70"/>
      <c r="F108" s="68"/>
      <c r="G108" s="69"/>
      <c r="H108" s="70"/>
      <c r="J108" s="71"/>
      <c r="K108" s="71"/>
      <c r="L108" s="67"/>
      <c r="N108" s="71"/>
      <c r="O108" s="71"/>
      <c r="P108" s="67"/>
      <c r="R108" s="67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</row>
    <row r="109" spans="2:114" x14ac:dyDescent="0.2">
      <c r="B109" s="68"/>
      <c r="C109" s="69"/>
      <c r="D109" s="70"/>
      <c r="F109" s="68"/>
      <c r="G109" s="69"/>
      <c r="H109" s="70"/>
      <c r="J109" s="71"/>
      <c r="K109" s="71"/>
      <c r="L109" s="67"/>
      <c r="N109" s="71"/>
      <c r="O109" s="71"/>
      <c r="P109" s="67"/>
      <c r="R109" s="67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</row>
    <row r="110" spans="2:114" x14ac:dyDescent="0.2">
      <c r="B110" s="68"/>
      <c r="C110" s="69"/>
      <c r="D110" s="70"/>
      <c r="F110" s="68"/>
      <c r="G110" s="69"/>
      <c r="H110" s="70"/>
      <c r="J110" s="71"/>
      <c r="K110" s="71"/>
      <c r="L110" s="67"/>
      <c r="N110" s="71"/>
      <c r="O110" s="71"/>
      <c r="P110" s="67"/>
      <c r="R110" s="67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</row>
    <row r="111" spans="2:114" x14ac:dyDescent="0.2">
      <c r="B111" s="68"/>
      <c r="C111" s="69"/>
      <c r="D111" s="70"/>
      <c r="F111" s="68"/>
      <c r="G111" s="69"/>
      <c r="H111" s="70"/>
      <c r="J111" s="71"/>
      <c r="K111" s="71"/>
      <c r="L111" s="67"/>
      <c r="N111" s="71"/>
      <c r="O111" s="71"/>
      <c r="P111" s="67"/>
      <c r="R111" s="67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</row>
    <row r="112" spans="2:114" x14ac:dyDescent="0.2">
      <c r="B112" s="68"/>
      <c r="C112" s="69"/>
      <c r="D112" s="70"/>
      <c r="F112" s="68"/>
      <c r="G112" s="69"/>
      <c r="H112" s="70"/>
      <c r="J112" s="71"/>
      <c r="K112" s="71"/>
      <c r="L112" s="67"/>
      <c r="N112" s="71"/>
      <c r="O112" s="71"/>
      <c r="P112" s="67"/>
      <c r="R112" s="67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</row>
    <row r="113" spans="2:114" x14ac:dyDescent="0.2">
      <c r="B113" s="68"/>
      <c r="C113" s="69"/>
      <c r="D113" s="70"/>
      <c r="F113" s="68"/>
      <c r="G113" s="69"/>
      <c r="H113" s="70"/>
      <c r="J113" s="71"/>
      <c r="K113" s="71"/>
      <c r="L113" s="67"/>
      <c r="N113" s="71"/>
      <c r="O113" s="71"/>
      <c r="P113" s="67"/>
      <c r="R113" s="67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</row>
    <row r="114" spans="2:114" x14ac:dyDescent="0.2">
      <c r="B114" s="68"/>
      <c r="C114" s="69"/>
      <c r="D114" s="70"/>
      <c r="F114" s="68"/>
      <c r="G114" s="69"/>
      <c r="H114" s="70"/>
      <c r="J114" s="71"/>
      <c r="K114" s="71"/>
      <c r="L114" s="67"/>
      <c r="N114" s="71"/>
      <c r="O114" s="71"/>
      <c r="P114" s="67"/>
      <c r="R114" s="67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</row>
    <row r="115" spans="2:114" x14ac:dyDescent="0.2">
      <c r="B115" s="68"/>
      <c r="C115" s="69"/>
      <c r="D115" s="70"/>
      <c r="F115" s="68"/>
      <c r="G115" s="69"/>
      <c r="H115" s="70"/>
      <c r="J115" s="71"/>
      <c r="K115" s="71"/>
      <c r="L115" s="67"/>
      <c r="N115" s="71"/>
      <c r="O115" s="71"/>
      <c r="P115" s="67"/>
      <c r="R115" s="67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</row>
    <row r="116" spans="2:114" x14ac:dyDescent="0.2">
      <c r="B116" s="68"/>
      <c r="C116" s="69"/>
      <c r="D116" s="70"/>
      <c r="F116" s="68"/>
      <c r="G116" s="69"/>
      <c r="H116" s="70"/>
      <c r="J116" s="71"/>
      <c r="K116" s="71"/>
      <c r="L116" s="67"/>
      <c r="N116" s="71"/>
      <c r="O116" s="71"/>
      <c r="P116" s="67"/>
      <c r="R116" s="67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</row>
    <row r="117" spans="2:114" x14ac:dyDescent="0.2">
      <c r="B117" s="68"/>
      <c r="C117" s="69"/>
      <c r="D117" s="70"/>
      <c r="F117" s="68"/>
      <c r="G117" s="69"/>
      <c r="H117" s="70"/>
      <c r="J117" s="71"/>
      <c r="K117" s="71"/>
      <c r="L117" s="67"/>
      <c r="N117" s="71"/>
      <c r="O117" s="71"/>
      <c r="P117" s="67"/>
      <c r="R117" s="67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</row>
    <row r="118" spans="2:114" x14ac:dyDescent="0.2">
      <c r="B118" s="68"/>
      <c r="C118" s="69"/>
      <c r="D118" s="70"/>
      <c r="F118" s="68"/>
      <c r="G118" s="69"/>
      <c r="H118" s="70"/>
      <c r="J118" s="71"/>
      <c r="K118" s="71"/>
      <c r="L118" s="67"/>
      <c r="N118" s="71"/>
      <c r="O118" s="71"/>
      <c r="P118" s="67"/>
      <c r="R118" s="67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</row>
    <row r="119" spans="2:114" x14ac:dyDescent="0.2">
      <c r="B119" s="68"/>
      <c r="C119" s="69"/>
      <c r="D119" s="70"/>
      <c r="F119" s="68"/>
      <c r="G119" s="69"/>
      <c r="H119" s="70"/>
      <c r="J119" s="71"/>
      <c r="K119" s="71"/>
      <c r="L119" s="67"/>
      <c r="N119" s="71"/>
      <c r="O119" s="71"/>
      <c r="P119" s="67"/>
      <c r="R119" s="67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</row>
    <row r="120" spans="2:114" x14ac:dyDescent="0.2">
      <c r="B120" s="68"/>
      <c r="C120" s="69"/>
      <c r="D120" s="70"/>
      <c r="F120" s="68"/>
      <c r="G120" s="69"/>
      <c r="H120" s="70"/>
      <c r="J120" s="71"/>
      <c r="K120" s="71"/>
      <c r="L120" s="67"/>
      <c r="N120" s="71"/>
      <c r="O120" s="71"/>
      <c r="P120" s="67"/>
      <c r="R120" s="67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</row>
    <row r="121" spans="2:114" x14ac:dyDescent="0.2">
      <c r="B121" s="68"/>
      <c r="C121" s="69"/>
      <c r="D121" s="70"/>
      <c r="F121" s="68"/>
      <c r="G121" s="69"/>
      <c r="H121" s="70"/>
      <c r="J121" s="71"/>
      <c r="K121" s="71"/>
      <c r="L121" s="67"/>
      <c r="N121" s="71"/>
      <c r="O121" s="71"/>
      <c r="P121" s="67"/>
      <c r="R121" s="67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</row>
    <row r="122" spans="2:114" x14ac:dyDescent="0.2">
      <c r="B122" s="68"/>
      <c r="C122" s="69"/>
      <c r="D122" s="70"/>
      <c r="F122" s="68"/>
      <c r="G122" s="69"/>
      <c r="H122" s="70"/>
      <c r="J122" s="71"/>
      <c r="K122" s="71"/>
      <c r="L122" s="67"/>
      <c r="N122" s="71"/>
      <c r="O122" s="71"/>
      <c r="P122" s="67"/>
      <c r="R122" s="67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</row>
    <row r="123" spans="2:114" x14ac:dyDescent="0.2">
      <c r="B123" s="68"/>
      <c r="C123" s="69"/>
      <c r="D123" s="70"/>
      <c r="F123" s="68"/>
      <c r="G123" s="69"/>
      <c r="H123" s="70"/>
      <c r="J123" s="71"/>
      <c r="K123" s="71"/>
      <c r="L123" s="67"/>
      <c r="N123" s="71"/>
      <c r="O123" s="71"/>
      <c r="P123" s="67"/>
      <c r="R123" s="67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</row>
    <row r="124" spans="2:114" x14ac:dyDescent="0.2">
      <c r="B124" s="68"/>
      <c r="C124" s="69"/>
      <c r="D124" s="70"/>
      <c r="F124" s="68"/>
      <c r="G124" s="69"/>
      <c r="H124" s="70"/>
      <c r="J124" s="71"/>
      <c r="K124" s="71"/>
      <c r="L124" s="67"/>
      <c r="N124" s="71"/>
      <c r="O124" s="71"/>
      <c r="P124" s="67"/>
      <c r="R124" s="67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</row>
    <row r="125" spans="2:114" x14ac:dyDescent="0.2">
      <c r="B125" s="68"/>
      <c r="C125" s="69"/>
      <c r="D125" s="70"/>
      <c r="F125" s="68"/>
      <c r="G125" s="69"/>
      <c r="H125" s="70"/>
      <c r="J125" s="71"/>
      <c r="K125" s="71"/>
      <c r="L125" s="67"/>
      <c r="N125" s="71"/>
      <c r="O125" s="71"/>
      <c r="P125" s="67"/>
      <c r="R125" s="67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</row>
    <row r="126" spans="2:114" x14ac:dyDescent="0.2">
      <c r="B126" s="68"/>
      <c r="C126" s="69"/>
      <c r="D126" s="70"/>
      <c r="F126" s="68"/>
      <c r="G126" s="69"/>
      <c r="H126" s="70"/>
      <c r="J126" s="71"/>
      <c r="K126" s="71"/>
      <c r="L126" s="67"/>
      <c r="N126" s="71"/>
      <c r="O126" s="71"/>
      <c r="P126" s="67"/>
      <c r="R126" s="67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</row>
    <row r="127" spans="2:114" x14ac:dyDescent="0.2">
      <c r="B127" s="68"/>
      <c r="C127" s="69"/>
      <c r="D127" s="70"/>
      <c r="F127" s="68"/>
      <c r="G127" s="69"/>
      <c r="H127" s="70"/>
      <c r="J127" s="71"/>
      <c r="K127" s="71"/>
      <c r="L127" s="67"/>
      <c r="N127" s="71"/>
      <c r="O127" s="71"/>
      <c r="P127" s="67"/>
      <c r="R127" s="67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</row>
    <row r="128" spans="2:114" x14ac:dyDescent="0.2">
      <c r="B128" s="68"/>
      <c r="C128" s="69"/>
      <c r="D128" s="70"/>
      <c r="F128" s="68"/>
      <c r="G128" s="69"/>
      <c r="H128" s="70"/>
      <c r="J128" s="71"/>
      <c r="K128" s="71"/>
      <c r="L128" s="67"/>
      <c r="N128" s="71"/>
      <c r="O128" s="71"/>
      <c r="P128" s="67"/>
      <c r="R128" s="67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</row>
    <row r="129" spans="2:114" x14ac:dyDescent="0.2">
      <c r="B129" s="68"/>
      <c r="C129" s="69"/>
      <c r="D129" s="70"/>
      <c r="F129" s="68"/>
      <c r="G129" s="69"/>
      <c r="H129" s="70"/>
      <c r="J129" s="71"/>
      <c r="K129" s="71"/>
      <c r="L129" s="67"/>
      <c r="N129" s="71"/>
      <c r="O129" s="71"/>
      <c r="P129" s="67"/>
      <c r="R129" s="67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</row>
    <row r="130" spans="2:114" x14ac:dyDescent="0.2">
      <c r="B130" s="68"/>
      <c r="C130" s="69"/>
      <c r="D130" s="70"/>
      <c r="F130" s="68"/>
      <c r="G130" s="69"/>
      <c r="H130" s="70"/>
      <c r="J130" s="71"/>
      <c r="K130" s="71"/>
      <c r="L130" s="67"/>
      <c r="N130" s="71"/>
      <c r="O130" s="71"/>
      <c r="P130" s="67"/>
      <c r="R130" s="67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</row>
    <row r="131" spans="2:114" x14ac:dyDescent="0.2">
      <c r="B131" s="68"/>
      <c r="C131" s="69"/>
      <c r="D131" s="70"/>
      <c r="F131" s="68"/>
      <c r="G131" s="69"/>
      <c r="H131" s="70"/>
      <c r="J131" s="71"/>
      <c r="K131" s="71"/>
      <c r="L131" s="67"/>
      <c r="N131" s="71"/>
      <c r="O131" s="71"/>
      <c r="P131" s="67"/>
      <c r="R131" s="67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</row>
    <row r="132" spans="2:114" x14ac:dyDescent="0.2">
      <c r="B132" s="68"/>
      <c r="C132" s="69"/>
      <c r="D132" s="70"/>
      <c r="F132" s="68"/>
      <c r="G132" s="69"/>
      <c r="H132" s="70"/>
      <c r="J132" s="71"/>
      <c r="K132" s="71"/>
      <c r="L132" s="67"/>
      <c r="N132" s="71"/>
      <c r="O132" s="71"/>
      <c r="P132" s="67"/>
      <c r="R132" s="67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</row>
    <row r="133" spans="2:114" x14ac:dyDescent="0.2">
      <c r="B133" s="68"/>
      <c r="C133" s="69"/>
      <c r="D133" s="70"/>
      <c r="F133" s="68"/>
      <c r="G133" s="69"/>
      <c r="H133" s="70"/>
      <c r="J133" s="71"/>
      <c r="K133" s="71"/>
      <c r="L133" s="67"/>
      <c r="N133" s="71"/>
      <c r="O133" s="71"/>
      <c r="P133" s="67"/>
      <c r="R133" s="67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</row>
    <row r="134" spans="2:114" x14ac:dyDescent="0.2">
      <c r="B134" s="68"/>
      <c r="C134" s="69"/>
      <c r="D134" s="70"/>
      <c r="F134" s="68"/>
      <c r="G134" s="69"/>
      <c r="H134" s="70"/>
      <c r="J134" s="71"/>
      <c r="K134" s="71"/>
      <c r="L134" s="67"/>
      <c r="N134" s="71"/>
      <c r="O134" s="71"/>
      <c r="P134" s="67"/>
      <c r="R134" s="67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</row>
    <row r="135" spans="2:114" x14ac:dyDescent="0.2">
      <c r="B135" s="68"/>
      <c r="C135" s="69"/>
      <c r="D135" s="70"/>
      <c r="F135" s="68"/>
      <c r="G135" s="69"/>
      <c r="H135" s="70"/>
      <c r="J135" s="71"/>
      <c r="K135" s="71"/>
      <c r="L135" s="67"/>
      <c r="N135" s="71"/>
      <c r="O135" s="71"/>
      <c r="P135" s="67"/>
      <c r="R135" s="67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</row>
    <row r="136" spans="2:114" x14ac:dyDescent="0.2">
      <c r="B136" s="68"/>
      <c r="C136" s="69"/>
      <c r="D136" s="70"/>
      <c r="F136" s="68"/>
      <c r="G136" s="69"/>
      <c r="H136" s="70"/>
      <c r="J136" s="71"/>
      <c r="K136" s="71"/>
      <c r="L136" s="67"/>
      <c r="N136" s="71"/>
      <c r="O136" s="71"/>
      <c r="P136" s="67"/>
      <c r="R136" s="67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</row>
    <row r="137" spans="2:114" x14ac:dyDescent="0.2">
      <c r="B137" s="68"/>
      <c r="C137" s="69"/>
      <c r="D137" s="70"/>
      <c r="F137" s="68"/>
      <c r="G137" s="69"/>
      <c r="H137" s="70"/>
      <c r="J137" s="71"/>
      <c r="K137" s="71"/>
      <c r="L137" s="67"/>
      <c r="N137" s="71"/>
      <c r="O137" s="71"/>
      <c r="P137" s="67"/>
      <c r="R137" s="67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</row>
    <row r="138" spans="2:114" x14ac:dyDescent="0.2">
      <c r="B138" s="68"/>
      <c r="C138" s="69"/>
      <c r="D138" s="70"/>
      <c r="F138" s="68"/>
      <c r="G138" s="69"/>
      <c r="H138" s="70"/>
      <c r="J138" s="71"/>
      <c r="K138" s="71"/>
      <c r="L138" s="67"/>
      <c r="N138" s="71"/>
      <c r="O138" s="71"/>
      <c r="P138" s="67"/>
      <c r="R138" s="67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</row>
    <row r="139" spans="2:114" x14ac:dyDescent="0.2">
      <c r="B139" s="68"/>
      <c r="C139" s="69"/>
      <c r="D139" s="70"/>
      <c r="F139" s="68"/>
      <c r="G139" s="69"/>
      <c r="H139" s="70"/>
      <c r="J139" s="71"/>
      <c r="K139" s="71"/>
      <c r="L139" s="67"/>
      <c r="N139" s="71"/>
      <c r="O139" s="71"/>
      <c r="P139" s="67"/>
      <c r="R139" s="67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</row>
    <row r="140" spans="2:114" x14ac:dyDescent="0.2">
      <c r="B140" s="68"/>
      <c r="C140" s="69"/>
      <c r="D140" s="70"/>
      <c r="F140" s="68"/>
      <c r="G140" s="69"/>
      <c r="H140" s="70"/>
      <c r="J140" s="71"/>
      <c r="K140" s="71"/>
      <c r="L140" s="67"/>
      <c r="N140" s="71"/>
      <c r="O140" s="71"/>
      <c r="P140" s="67"/>
      <c r="R140" s="67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</row>
    <row r="141" spans="2:114" x14ac:dyDescent="0.2">
      <c r="B141" s="68"/>
      <c r="C141" s="69"/>
      <c r="D141" s="70"/>
      <c r="F141" s="68"/>
      <c r="G141" s="69"/>
      <c r="H141" s="70"/>
      <c r="J141" s="71"/>
      <c r="K141" s="71"/>
      <c r="L141" s="67"/>
      <c r="N141" s="71"/>
      <c r="O141" s="71"/>
      <c r="P141" s="67"/>
      <c r="R141" s="67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</row>
    <row r="142" spans="2:114" x14ac:dyDescent="0.2">
      <c r="B142" s="68"/>
      <c r="C142" s="69"/>
      <c r="D142" s="70"/>
      <c r="F142" s="68"/>
      <c r="G142" s="69"/>
      <c r="H142" s="70"/>
      <c r="J142" s="71"/>
      <c r="K142" s="71"/>
      <c r="L142" s="67"/>
      <c r="N142" s="71"/>
      <c r="O142" s="71"/>
      <c r="P142" s="67"/>
      <c r="R142" s="67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</row>
    <row r="143" spans="2:114" x14ac:dyDescent="0.2">
      <c r="B143" s="68"/>
      <c r="C143" s="69"/>
      <c r="D143" s="70"/>
      <c r="F143" s="68"/>
      <c r="G143" s="69"/>
      <c r="H143" s="70"/>
      <c r="J143" s="71"/>
      <c r="K143" s="71"/>
      <c r="L143" s="67"/>
      <c r="N143" s="71"/>
      <c r="O143" s="71"/>
      <c r="P143" s="67"/>
      <c r="R143" s="67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</row>
    <row r="144" spans="2:114" x14ac:dyDescent="0.2">
      <c r="B144" s="68"/>
      <c r="C144" s="69"/>
      <c r="D144" s="70"/>
      <c r="F144" s="68"/>
      <c r="G144" s="69"/>
      <c r="H144" s="70"/>
      <c r="J144" s="71"/>
      <c r="K144" s="71"/>
      <c r="L144" s="67"/>
      <c r="N144" s="71"/>
      <c r="O144" s="71"/>
      <c r="P144" s="67"/>
      <c r="R144" s="67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</row>
    <row r="145" spans="2:114" x14ac:dyDescent="0.2">
      <c r="B145" s="68"/>
      <c r="C145" s="69"/>
      <c r="D145" s="70"/>
      <c r="F145" s="68"/>
      <c r="G145" s="69"/>
      <c r="H145" s="70"/>
      <c r="J145" s="71"/>
      <c r="K145" s="71"/>
      <c r="L145" s="67"/>
      <c r="N145" s="71"/>
      <c r="O145" s="71"/>
      <c r="P145" s="67"/>
      <c r="R145" s="67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</row>
    <row r="146" spans="2:114" x14ac:dyDescent="0.2">
      <c r="B146" s="68"/>
      <c r="C146" s="69"/>
      <c r="D146" s="70"/>
      <c r="F146" s="68"/>
      <c r="G146" s="69"/>
      <c r="H146" s="70"/>
      <c r="J146" s="71"/>
      <c r="K146" s="71"/>
      <c r="L146" s="67"/>
      <c r="N146" s="71"/>
      <c r="O146" s="71"/>
      <c r="P146" s="67"/>
      <c r="R146" s="67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</row>
    <row r="147" spans="2:114" x14ac:dyDescent="0.2">
      <c r="B147" s="68"/>
      <c r="C147" s="69"/>
      <c r="D147" s="70"/>
      <c r="F147" s="68"/>
      <c r="G147" s="69"/>
      <c r="H147" s="70"/>
      <c r="J147" s="71"/>
      <c r="K147" s="71"/>
      <c r="L147" s="67"/>
      <c r="N147" s="71"/>
      <c r="O147" s="71"/>
      <c r="P147" s="67"/>
      <c r="R147" s="67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</row>
    <row r="148" spans="2:114" x14ac:dyDescent="0.2">
      <c r="B148" s="68"/>
      <c r="C148" s="69"/>
      <c r="D148" s="70"/>
      <c r="F148" s="68"/>
      <c r="G148" s="69"/>
      <c r="H148" s="70"/>
      <c r="J148" s="71"/>
      <c r="K148" s="71"/>
      <c r="L148" s="67"/>
      <c r="N148" s="71"/>
      <c r="O148" s="71"/>
      <c r="P148" s="67"/>
      <c r="R148" s="67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</row>
    <row r="149" spans="2:114" x14ac:dyDescent="0.2">
      <c r="B149" s="68"/>
      <c r="C149" s="69"/>
      <c r="D149" s="70"/>
      <c r="F149" s="68"/>
      <c r="G149" s="69"/>
      <c r="H149" s="70"/>
      <c r="J149" s="71"/>
      <c r="K149" s="71"/>
      <c r="L149" s="67"/>
      <c r="N149" s="71"/>
      <c r="O149" s="71"/>
      <c r="P149" s="67"/>
      <c r="R149" s="67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</row>
    <row r="150" spans="2:114" x14ac:dyDescent="0.2">
      <c r="B150" s="68"/>
      <c r="C150" s="69"/>
      <c r="D150" s="70"/>
      <c r="F150" s="68"/>
      <c r="G150" s="69"/>
      <c r="H150" s="70"/>
      <c r="J150" s="71"/>
      <c r="K150" s="71"/>
      <c r="L150" s="67"/>
      <c r="N150" s="71"/>
      <c r="O150" s="71"/>
      <c r="P150" s="67"/>
      <c r="R150" s="67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</row>
    <row r="151" spans="2:114" x14ac:dyDescent="0.2">
      <c r="B151" s="68"/>
      <c r="C151" s="69"/>
      <c r="D151" s="70"/>
      <c r="F151" s="68"/>
      <c r="G151" s="69"/>
      <c r="H151" s="70"/>
      <c r="J151" s="71"/>
      <c r="K151" s="71"/>
      <c r="L151" s="67"/>
      <c r="N151" s="71"/>
      <c r="O151" s="71"/>
      <c r="P151" s="67"/>
      <c r="R151" s="67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</row>
    <row r="152" spans="2:114" x14ac:dyDescent="0.2">
      <c r="B152" s="68"/>
      <c r="C152" s="69"/>
      <c r="D152" s="70"/>
      <c r="F152" s="68"/>
      <c r="G152" s="69"/>
      <c r="H152" s="70"/>
      <c r="J152" s="71"/>
      <c r="K152" s="71"/>
      <c r="L152" s="67"/>
      <c r="N152" s="71"/>
      <c r="O152" s="71"/>
      <c r="P152" s="67"/>
      <c r="R152" s="67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</row>
    <row r="153" spans="2:114" x14ac:dyDescent="0.2">
      <c r="B153" s="68"/>
      <c r="C153" s="69"/>
      <c r="D153" s="70"/>
      <c r="F153" s="68"/>
      <c r="G153" s="69"/>
      <c r="H153" s="70"/>
      <c r="J153" s="71"/>
      <c r="K153" s="71"/>
      <c r="L153" s="67"/>
      <c r="N153" s="71"/>
      <c r="O153" s="71"/>
      <c r="P153" s="67"/>
      <c r="R153" s="67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</row>
    <row r="154" spans="2:114" x14ac:dyDescent="0.2">
      <c r="B154" s="68"/>
      <c r="C154" s="69"/>
      <c r="D154" s="70"/>
      <c r="F154" s="68"/>
      <c r="G154" s="69"/>
      <c r="H154" s="70"/>
      <c r="J154" s="71"/>
      <c r="K154" s="71"/>
      <c r="L154" s="67"/>
      <c r="N154" s="71"/>
      <c r="O154" s="71"/>
      <c r="P154" s="67"/>
      <c r="R154" s="67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</row>
    <row r="155" spans="2:114" x14ac:dyDescent="0.2">
      <c r="B155" s="68"/>
      <c r="C155" s="69"/>
      <c r="D155" s="70"/>
      <c r="F155" s="68"/>
      <c r="G155" s="69"/>
      <c r="H155" s="70"/>
      <c r="J155" s="71"/>
      <c r="K155" s="71"/>
      <c r="L155" s="67"/>
      <c r="N155" s="71"/>
      <c r="O155" s="71"/>
      <c r="P155" s="67"/>
      <c r="R155" s="67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</row>
    <row r="156" spans="2:114" x14ac:dyDescent="0.2">
      <c r="B156" s="68"/>
      <c r="C156" s="69"/>
      <c r="D156" s="70"/>
      <c r="F156" s="68"/>
      <c r="G156" s="69"/>
      <c r="H156" s="70"/>
      <c r="J156" s="71"/>
      <c r="K156" s="71"/>
      <c r="L156" s="67"/>
      <c r="N156" s="71"/>
      <c r="O156" s="71"/>
      <c r="P156" s="67"/>
      <c r="R156" s="67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</row>
    <row r="157" spans="2:114" x14ac:dyDescent="0.2">
      <c r="B157" s="68"/>
      <c r="C157" s="69"/>
      <c r="D157" s="70"/>
      <c r="F157" s="68"/>
      <c r="G157" s="69"/>
      <c r="H157" s="70"/>
      <c r="J157" s="71"/>
      <c r="K157" s="71"/>
      <c r="L157" s="67"/>
      <c r="N157" s="71"/>
      <c r="O157" s="71"/>
      <c r="P157" s="67"/>
      <c r="R157" s="67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</row>
    <row r="158" spans="2:114" x14ac:dyDescent="0.2">
      <c r="B158" s="68"/>
      <c r="C158" s="69"/>
      <c r="D158" s="70"/>
      <c r="F158" s="68"/>
      <c r="G158" s="69"/>
      <c r="H158" s="70"/>
      <c r="J158" s="71"/>
      <c r="K158" s="71"/>
      <c r="L158" s="67"/>
      <c r="N158" s="71"/>
      <c r="O158" s="71"/>
      <c r="P158" s="67"/>
      <c r="R158" s="67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</row>
    <row r="159" spans="2:114" x14ac:dyDescent="0.2">
      <c r="B159" s="68"/>
      <c r="C159" s="69"/>
      <c r="D159" s="70"/>
      <c r="F159" s="68"/>
      <c r="G159" s="69"/>
      <c r="H159" s="70"/>
      <c r="J159" s="71"/>
      <c r="K159" s="71"/>
      <c r="L159" s="67"/>
      <c r="N159" s="71"/>
      <c r="O159" s="71"/>
      <c r="P159" s="67"/>
      <c r="R159" s="67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</row>
    <row r="160" spans="2:114" x14ac:dyDescent="0.2">
      <c r="B160" s="68"/>
      <c r="C160" s="69"/>
      <c r="D160" s="70"/>
      <c r="F160" s="68"/>
      <c r="G160" s="69"/>
      <c r="H160" s="70"/>
      <c r="J160" s="71"/>
      <c r="K160" s="71"/>
      <c r="L160" s="67"/>
      <c r="N160" s="71"/>
      <c r="O160" s="71"/>
      <c r="P160" s="67"/>
      <c r="R160" s="67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</row>
    <row r="161" spans="2:114" x14ac:dyDescent="0.2">
      <c r="B161" s="68"/>
      <c r="C161" s="69"/>
      <c r="D161" s="70"/>
      <c r="F161" s="68"/>
      <c r="G161" s="69"/>
      <c r="H161" s="70"/>
      <c r="J161" s="71"/>
      <c r="K161" s="71"/>
      <c r="L161" s="67"/>
      <c r="N161" s="71"/>
      <c r="O161" s="71"/>
      <c r="P161" s="67"/>
      <c r="R161" s="67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</row>
    <row r="162" spans="2:114" x14ac:dyDescent="0.2">
      <c r="B162" s="68"/>
      <c r="C162" s="69"/>
      <c r="D162" s="70"/>
      <c r="F162" s="68"/>
      <c r="G162" s="69"/>
      <c r="H162" s="70"/>
      <c r="J162" s="71"/>
      <c r="K162" s="71"/>
      <c r="L162" s="67"/>
      <c r="N162" s="71"/>
      <c r="O162" s="71"/>
      <c r="P162" s="67"/>
      <c r="R162" s="67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</row>
    <row r="163" spans="2:114" x14ac:dyDescent="0.2">
      <c r="B163" s="68"/>
      <c r="C163" s="69"/>
      <c r="D163" s="70"/>
      <c r="F163" s="68"/>
      <c r="G163" s="69"/>
      <c r="H163" s="70"/>
      <c r="J163" s="71"/>
      <c r="K163" s="71"/>
      <c r="L163" s="67"/>
      <c r="N163" s="71"/>
      <c r="O163" s="71"/>
      <c r="P163" s="67"/>
      <c r="R163" s="67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</row>
    <row r="164" spans="2:114" x14ac:dyDescent="0.2">
      <c r="B164" s="68"/>
      <c r="C164" s="69"/>
      <c r="D164" s="70"/>
      <c r="F164" s="68"/>
      <c r="G164" s="69"/>
      <c r="H164" s="70"/>
      <c r="J164" s="71"/>
      <c r="K164" s="71"/>
      <c r="L164" s="67"/>
      <c r="N164" s="71"/>
      <c r="O164" s="71"/>
      <c r="P164" s="67"/>
      <c r="R164" s="67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</row>
    <row r="165" spans="2:114" x14ac:dyDescent="0.2">
      <c r="B165" s="68"/>
      <c r="C165" s="69"/>
      <c r="D165" s="70"/>
      <c r="F165" s="68"/>
      <c r="G165" s="69"/>
      <c r="H165" s="70"/>
      <c r="J165" s="71"/>
      <c r="K165" s="71"/>
      <c r="L165" s="67"/>
      <c r="N165" s="71"/>
      <c r="O165" s="71"/>
      <c r="P165" s="67"/>
      <c r="R165" s="67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</row>
    <row r="166" spans="2:114" x14ac:dyDescent="0.2">
      <c r="B166" s="68"/>
      <c r="C166" s="69"/>
      <c r="D166" s="70"/>
      <c r="F166" s="68"/>
      <c r="G166" s="69"/>
      <c r="H166" s="70"/>
      <c r="J166" s="71"/>
      <c r="K166" s="71"/>
      <c r="L166" s="67"/>
      <c r="N166" s="71"/>
      <c r="O166" s="71"/>
      <c r="P166" s="67"/>
      <c r="R166" s="67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</row>
    <row r="167" spans="2:114" x14ac:dyDescent="0.2">
      <c r="B167" s="68"/>
      <c r="C167" s="69"/>
      <c r="D167" s="70"/>
      <c r="F167" s="68"/>
      <c r="G167" s="69"/>
      <c r="H167" s="70"/>
      <c r="J167" s="71"/>
      <c r="K167" s="71"/>
      <c r="L167" s="67"/>
      <c r="N167" s="71"/>
      <c r="O167" s="71"/>
      <c r="P167" s="67"/>
      <c r="R167" s="67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</row>
    <row r="168" spans="2:114" x14ac:dyDescent="0.2">
      <c r="B168" s="68"/>
      <c r="C168" s="69"/>
      <c r="D168" s="70"/>
      <c r="F168" s="68"/>
      <c r="G168" s="69"/>
      <c r="H168" s="70"/>
      <c r="J168" s="71"/>
      <c r="K168" s="71"/>
      <c r="L168" s="67"/>
      <c r="N168" s="71"/>
      <c r="O168" s="71"/>
      <c r="P168" s="67"/>
      <c r="R168" s="67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</row>
    <row r="169" spans="2:114" x14ac:dyDescent="0.2">
      <c r="B169" s="68"/>
      <c r="C169" s="69"/>
      <c r="D169" s="70"/>
      <c r="F169" s="68"/>
      <c r="G169" s="69"/>
      <c r="H169" s="70"/>
      <c r="J169" s="71"/>
      <c r="K169" s="71"/>
      <c r="L169" s="67"/>
      <c r="N169" s="71"/>
      <c r="O169" s="71"/>
      <c r="P169" s="67"/>
      <c r="R169" s="67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</row>
    <row r="170" spans="2:114" x14ac:dyDescent="0.2">
      <c r="B170" s="68"/>
      <c r="C170" s="69"/>
      <c r="D170" s="70"/>
      <c r="F170" s="68"/>
      <c r="G170" s="69"/>
      <c r="H170" s="70"/>
      <c r="J170" s="71"/>
      <c r="K170" s="71"/>
      <c r="L170" s="67"/>
      <c r="N170" s="71"/>
      <c r="O170" s="71"/>
      <c r="P170" s="67"/>
      <c r="R170" s="67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</row>
    <row r="171" spans="2:114" x14ac:dyDescent="0.2">
      <c r="B171" s="68"/>
      <c r="C171" s="69"/>
      <c r="D171" s="70"/>
      <c r="F171" s="68"/>
      <c r="G171" s="69"/>
      <c r="H171" s="70"/>
      <c r="J171" s="71"/>
      <c r="K171" s="71"/>
      <c r="L171" s="67"/>
      <c r="N171" s="71"/>
      <c r="O171" s="71"/>
      <c r="P171" s="67"/>
      <c r="R171" s="67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</row>
    <row r="172" spans="2:114" x14ac:dyDescent="0.2">
      <c r="B172" s="68"/>
      <c r="C172" s="69"/>
      <c r="D172" s="70"/>
      <c r="F172" s="68"/>
      <c r="G172" s="69"/>
      <c r="H172" s="70"/>
      <c r="J172" s="71"/>
      <c r="K172" s="71"/>
      <c r="L172" s="67"/>
      <c r="N172" s="71"/>
      <c r="O172" s="71"/>
      <c r="P172" s="67"/>
      <c r="R172" s="67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</row>
    <row r="173" spans="2:114" x14ac:dyDescent="0.2">
      <c r="B173" s="68"/>
      <c r="C173" s="69"/>
      <c r="D173" s="70"/>
      <c r="F173" s="68"/>
      <c r="G173" s="69"/>
      <c r="H173" s="70"/>
      <c r="J173" s="71"/>
      <c r="K173" s="71"/>
      <c r="L173" s="67"/>
      <c r="N173" s="71"/>
      <c r="O173" s="71"/>
      <c r="P173" s="67"/>
      <c r="R173" s="67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</row>
    <row r="174" spans="2:114" x14ac:dyDescent="0.2">
      <c r="B174" s="68"/>
      <c r="C174" s="69"/>
      <c r="D174" s="70"/>
      <c r="F174" s="68"/>
      <c r="G174" s="69"/>
      <c r="H174" s="70"/>
      <c r="J174" s="71"/>
      <c r="K174" s="71"/>
      <c r="L174" s="67"/>
      <c r="N174" s="71"/>
      <c r="O174" s="71"/>
      <c r="P174" s="67"/>
      <c r="R174" s="67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</row>
    <row r="175" spans="2:114" x14ac:dyDescent="0.2">
      <c r="B175" s="68"/>
      <c r="C175" s="69"/>
      <c r="D175" s="70"/>
      <c r="F175" s="68"/>
      <c r="G175" s="69"/>
      <c r="H175" s="70"/>
      <c r="J175" s="71"/>
      <c r="K175" s="71"/>
      <c r="L175" s="67"/>
      <c r="N175" s="71"/>
      <c r="O175" s="71"/>
      <c r="P175" s="67"/>
      <c r="R175" s="67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</row>
    <row r="176" spans="2:114" x14ac:dyDescent="0.2">
      <c r="B176" s="68"/>
      <c r="C176" s="69"/>
      <c r="D176" s="70"/>
      <c r="F176" s="68"/>
      <c r="G176" s="69"/>
      <c r="H176" s="70"/>
      <c r="J176" s="71"/>
      <c r="K176" s="71"/>
      <c r="L176" s="67"/>
      <c r="N176" s="71"/>
      <c r="O176" s="71"/>
      <c r="P176" s="67"/>
      <c r="R176" s="67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</row>
    <row r="177" spans="2:114" x14ac:dyDescent="0.2">
      <c r="B177" s="68"/>
      <c r="C177" s="69"/>
      <c r="D177" s="70"/>
      <c r="F177" s="68"/>
      <c r="G177" s="69"/>
      <c r="H177" s="70"/>
      <c r="J177" s="71"/>
      <c r="K177" s="71"/>
      <c r="L177" s="67"/>
      <c r="N177" s="71"/>
      <c r="O177" s="71"/>
      <c r="P177" s="67"/>
      <c r="R177" s="67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</row>
    <row r="178" spans="2:114" x14ac:dyDescent="0.2">
      <c r="B178" s="68"/>
      <c r="C178" s="69"/>
      <c r="D178" s="70"/>
      <c r="F178" s="68"/>
      <c r="G178" s="69"/>
      <c r="H178" s="70"/>
      <c r="J178" s="71"/>
      <c r="K178" s="71"/>
      <c r="L178" s="67"/>
      <c r="N178" s="71"/>
      <c r="O178" s="71"/>
      <c r="P178" s="67"/>
      <c r="R178" s="67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</row>
    <row r="179" spans="2:114" x14ac:dyDescent="0.2">
      <c r="B179" s="68"/>
      <c r="C179" s="69"/>
      <c r="D179" s="70"/>
      <c r="F179" s="68"/>
      <c r="G179" s="69"/>
      <c r="H179" s="70"/>
      <c r="J179" s="71"/>
      <c r="K179" s="71"/>
      <c r="L179" s="67"/>
      <c r="N179" s="71"/>
      <c r="O179" s="71"/>
      <c r="P179" s="67"/>
      <c r="R179" s="67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</row>
    <row r="180" spans="2:114" x14ac:dyDescent="0.2">
      <c r="B180" s="68"/>
      <c r="C180" s="69"/>
      <c r="D180" s="70"/>
      <c r="F180" s="68"/>
      <c r="G180" s="69"/>
      <c r="H180" s="70"/>
      <c r="J180" s="71"/>
      <c r="K180" s="71"/>
      <c r="L180" s="67"/>
      <c r="N180" s="71"/>
      <c r="O180" s="71"/>
      <c r="P180" s="67"/>
      <c r="R180" s="67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</row>
    <row r="181" spans="2:114" x14ac:dyDescent="0.2">
      <c r="B181" s="68"/>
      <c r="C181" s="69"/>
      <c r="D181" s="70"/>
      <c r="F181" s="68"/>
      <c r="G181" s="69"/>
      <c r="H181" s="70"/>
      <c r="J181" s="71"/>
      <c r="K181" s="71"/>
      <c r="L181" s="67"/>
      <c r="N181" s="71"/>
      <c r="O181" s="71"/>
      <c r="P181" s="67"/>
      <c r="R181" s="67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</row>
    <row r="182" spans="2:114" x14ac:dyDescent="0.2">
      <c r="B182" s="68"/>
      <c r="C182" s="69"/>
      <c r="D182" s="70"/>
      <c r="F182" s="68"/>
      <c r="G182" s="69"/>
      <c r="H182" s="70"/>
      <c r="J182" s="71"/>
      <c r="K182" s="71"/>
      <c r="L182" s="67"/>
      <c r="N182" s="71"/>
      <c r="O182" s="71"/>
      <c r="P182" s="67"/>
      <c r="R182" s="67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</row>
    <row r="183" spans="2:114" x14ac:dyDescent="0.2">
      <c r="B183" s="68"/>
      <c r="C183" s="69"/>
      <c r="D183" s="70"/>
      <c r="F183" s="68"/>
      <c r="G183" s="69"/>
      <c r="H183" s="70"/>
      <c r="J183" s="71"/>
      <c r="K183" s="71"/>
      <c r="L183" s="67"/>
      <c r="N183" s="71"/>
      <c r="O183" s="71"/>
      <c r="P183" s="67"/>
      <c r="R183" s="67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</row>
    <row r="184" spans="2:114" x14ac:dyDescent="0.2">
      <c r="B184" s="68"/>
      <c r="C184" s="69"/>
      <c r="D184" s="70"/>
      <c r="F184" s="68"/>
      <c r="G184" s="69"/>
      <c r="H184" s="70"/>
      <c r="J184" s="71"/>
      <c r="K184" s="71"/>
      <c r="L184" s="67"/>
      <c r="N184" s="71"/>
      <c r="O184" s="71"/>
      <c r="P184" s="67"/>
      <c r="R184" s="67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</row>
    <row r="185" spans="2:114" x14ac:dyDescent="0.2">
      <c r="B185" s="68"/>
      <c r="C185" s="69"/>
      <c r="D185" s="70"/>
      <c r="F185" s="68"/>
      <c r="G185" s="69"/>
      <c r="H185" s="70"/>
      <c r="J185" s="71"/>
      <c r="K185" s="71"/>
      <c r="L185" s="67"/>
      <c r="N185" s="71"/>
      <c r="O185" s="71"/>
      <c r="P185" s="67"/>
      <c r="R185" s="67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</row>
    <row r="186" spans="2:114" x14ac:dyDescent="0.2">
      <c r="B186" s="68"/>
      <c r="C186" s="69"/>
      <c r="D186" s="70"/>
      <c r="F186" s="68"/>
      <c r="G186" s="69"/>
      <c r="H186" s="70"/>
      <c r="J186" s="71"/>
      <c r="K186" s="71"/>
      <c r="L186" s="67"/>
      <c r="N186" s="71"/>
      <c r="O186" s="71"/>
      <c r="P186" s="67"/>
      <c r="R186" s="67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</row>
    <row r="187" spans="2:114" x14ac:dyDescent="0.2">
      <c r="B187" s="68"/>
      <c r="C187" s="69"/>
      <c r="D187" s="70"/>
      <c r="F187" s="68"/>
      <c r="G187" s="69"/>
      <c r="H187" s="70"/>
      <c r="J187" s="71"/>
      <c r="K187" s="71"/>
      <c r="L187" s="67"/>
      <c r="N187" s="71"/>
      <c r="O187" s="71"/>
      <c r="P187" s="67"/>
      <c r="R187" s="67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</row>
    <row r="188" spans="2:114" x14ac:dyDescent="0.2">
      <c r="B188" s="68"/>
      <c r="C188" s="69"/>
      <c r="D188" s="70"/>
      <c r="F188" s="68"/>
      <c r="G188" s="69"/>
      <c r="H188" s="70"/>
      <c r="J188" s="71"/>
      <c r="K188" s="71"/>
      <c r="L188" s="67"/>
      <c r="N188" s="71"/>
      <c r="O188" s="71"/>
      <c r="P188" s="67"/>
      <c r="R188" s="67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</row>
    <row r="189" spans="2:114" x14ac:dyDescent="0.2">
      <c r="B189" s="68"/>
      <c r="C189" s="69"/>
      <c r="D189" s="70"/>
      <c r="F189" s="68"/>
      <c r="G189" s="69"/>
      <c r="H189" s="70"/>
      <c r="J189" s="71"/>
      <c r="K189" s="71"/>
      <c r="L189" s="67"/>
      <c r="N189" s="71"/>
      <c r="O189" s="71"/>
      <c r="P189" s="67"/>
      <c r="R189" s="67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</row>
    <row r="190" spans="2:114" x14ac:dyDescent="0.2">
      <c r="B190" s="68"/>
      <c r="C190" s="69"/>
      <c r="D190" s="70"/>
      <c r="F190" s="68"/>
      <c r="G190" s="69"/>
      <c r="H190" s="70"/>
      <c r="J190" s="71"/>
      <c r="K190" s="71"/>
      <c r="L190" s="67"/>
      <c r="N190" s="71"/>
      <c r="O190" s="71"/>
      <c r="P190" s="67"/>
      <c r="R190" s="67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</row>
    <row r="191" spans="2:114" x14ac:dyDescent="0.2">
      <c r="B191" s="68"/>
      <c r="C191" s="69"/>
      <c r="D191" s="70"/>
      <c r="F191" s="68"/>
      <c r="G191" s="69"/>
      <c r="H191" s="70"/>
      <c r="J191" s="71"/>
      <c r="K191" s="71"/>
      <c r="L191" s="67"/>
      <c r="N191" s="71"/>
      <c r="O191" s="71"/>
      <c r="P191" s="67"/>
      <c r="R191" s="67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</row>
    <row r="192" spans="2:114" x14ac:dyDescent="0.2">
      <c r="B192" s="68"/>
      <c r="C192" s="69"/>
      <c r="D192" s="70"/>
      <c r="F192" s="68"/>
      <c r="G192" s="69"/>
      <c r="H192" s="70"/>
      <c r="J192" s="71"/>
      <c r="K192" s="71"/>
      <c r="L192" s="67"/>
      <c r="N192" s="71"/>
      <c r="O192" s="71"/>
      <c r="P192" s="67"/>
      <c r="R192" s="67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</row>
    <row r="193" spans="2:114" x14ac:dyDescent="0.2">
      <c r="B193" s="68"/>
      <c r="C193" s="69"/>
      <c r="D193" s="70"/>
      <c r="F193" s="68"/>
      <c r="G193" s="69"/>
      <c r="H193" s="70"/>
      <c r="J193" s="71"/>
      <c r="K193" s="71"/>
      <c r="L193" s="67"/>
      <c r="N193" s="71"/>
      <c r="O193" s="71"/>
      <c r="P193" s="67"/>
      <c r="R193" s="67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</row>
    <row r="194" spans="2:114" x14ac:dyDescent="0.2">
      <c r="B194" s="68"/>
      <c r="C194" s="69"/>
      <c r="D194" s="70"/>
      <c r="F194" s="68"/>
      <c r="G194" s="69"/>
      <c r="H194" s="70"/>
      <c r="J194" s="71"/>
      <c r="K194" s="71"/>
      <c r="L194" s="67"/>
      <c r="N194" s="71"/>
      <c r="O194" s="71"/>
      <c r="P194" s="67"/>
      <c r="R194" s="67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</row>
    <row r="195" spans="2:114" x14ac:dyDescent="0.2">
      <c r="B195" s="68"/>
      <c r="C195" s="69"/>
      <c r="D195" s="70"/>
      <c r="F195" s="68"/>
      <c r="G195" s="69"/>
      <c r="H195" s="70"/>
      <c r="J195" s="71"/>
      <c r="K195" s="71"/>
      <c r="L195" s="67"/>
      <c r="N195" s="71"/>
      <c r="O195" s="71"/>
      <c r="P195" s="67"/>
      <c r="R195" s="67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</row>
    <row r="196" spans="2:114" x14ac:dyDescent="0.2">
      <c r="B196" s="68"/>
      <c r="C196" s="69"/>
      <c r="D196" s="70"/>
      <c r="F196" s="68"/>
      <c r="G196" s="69"/>
      <c r="H196" s="70"/>
      <c r="J196" s="71"/>
      <c r="K196" s="71"/>
      <c r="L196" s="67"/>
      <c r="N196" s="71"/>
      <c r="O196" s="71"/>
      <c r="P196" s="67"/>
      <c r="R196" s="67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</row>
    <row r="197" spans="2:114" x14ac:dyDescent="0.2">
      <c r="B197" s="68"/>
      <c r="C197" s="69"/>
      <c r="D197" s="70"/>
      <c r="F197" s="68"/>
      <c r="G197" s="69"/>
      <c r="H197" s="70"/>
      <c r="J197" s="71"/>
      <c r="K197" s="71"/>
      <c r="L197" s="67"/>
      <c r="N197" s="71"/>
      <c r="O197" s="71"/>
      <c r="P197" s="67"/>
      <c r="R197" s="67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</row>
    <row r="198" spans="2:114" x14ac:dyDescent="0.2">
      <c r="B198" s="68"/>
      <c r="C198" s="69"/>
      <c r="D198" s="70"/>
      <c r="F198" s="68"/>
      <c r="G198" s="69"/>
      <c r="H198" s="70"/>
      <c r="J198" s="71"/>
      <c r="K198" s="71"/>
      <c r="L198" s="67"/>
      <c r="N198" s="71"/>
      <c r="O198" s="71"/>
      <c r="P198" s="67"/>
      <c r="R198" s="67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</row>
    <row r="199" spans="2:114" x14ac:dyDescent="0.2">
      <c r="B199" s="68"/>
      <c r="C199" s="69"/>
      <c r="D199" s="70"/>
      <c r="F199" s="68"/>
      <c r="G199" s="69"/>
      <c r="H199" s="70"/>
      <c r="J199" s="71"/>
      <c r="K199" s="71"/>
      <c r="L199" s="67"/>
      <c r="N199" s="71"/>
      <c r="O199" s="71"/>
      <c r="P199" s="67"/>
      <c r="R199" s="67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</row>
    <row r="200" spans="2:114" x14ac:dyDescent="0.2">
      <c r="B200" s="68"/>
      <c r="C200" s="69"/>
      <c r="D200" s="70"/>
      <c r="F200" s="68"/>
      <c r="G200" s="69"/>
      <c r="H200" s="70"/>
      <c r="J200" s="71"/>
      <c r="K200" s="71"/>
      <c r="L200" s="67"/>
      <c r="N200" s="71"/>
      <c r="O200" s="71"/>
      <c r="P200" s="67"/>
      <c r="R200" s="67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</row>
    <row r="201" spans="2:114" x14ac:dyDescent="0.2">
      <c r="B201" s="68"/>
      <c r="C201" s="69"/>
      <c r="D201" s="70"/>
      <c r="F201" s="68"/>
      <c r="G201" s="69"/>
      <c r="H201" s="70"/>
      <c r="J201" s="71"/>
      <c r="K201" s="71"/>
      <c r="L201" s="67"/>
      <c r="N201" s="71"/>
      <c r="O201" s="71"/>
      <c r="P201" s="67"/>
      <c r="R201" s="67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</row>
    <row r="202" spans="2:114" x14ac:dyDescent="0.2">
      <c r="B202" s="68"/>
      <c r="C202" s="69"/>
      <c r="D202" s="70"/>
      <c r="F202" s="68"/>
      <c r="G202" s="69"/>
      <c r="H202" s="70"/>
      <c r="J202" s="71"/>
      <c r="K202" s="71"/>
      <c r="L202" s="67"/>
      <c r="N202" s="71"/>
      <c r="O202" s="71"/>
      <c r="P202" s="67"/>
      <c r="R202" s="67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</row>
    <row r="203" spans="2:114" x14ac:dyDescent="0.2">
      <c r="B203" s="68"/>
      <c r="C203" s="69"/>
      <c r="D203" s="70"/>
      <c r="F203" s="68"/>
      <c r="G203" s="69"/>
      <c r="H203" s="70"/>
      <c r="J203" s="71"/>
      <c r="K203" s="71"/>
      <c r="L203" s="67"/>
      <c r="N203" s="71"/>
      <c r="O203" s="71"/>
      <c r="P203" s="67"/>
      <c r="R203" s="67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</row>
    <row r="204" spans="2:114" x14ac:dyDescent="0.2">
      <c r="B204" s="68"/>
      <c r="C204" s="69"/>
      <c r="D204" s="70"/>
      <c r="F204" s="68"/>
      <c r="G204" s="69"/>
      <c r="H204" s="70"/>
      <c r="J204" s="71"/>
      <c r="K204" s="71"/>
      <c r="L204" s="67"/>
      <c r="N204" s="71"/>
      <c r="O204" s="71"/>
      <c r="P204" s="67"/>
      <c r="R204" s="67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</row>
    <row r="205" spans="2:114" x14ac:dyDescent="0.2">
      <c r="B205" s="68"/>
      <c r="C205" s="69"/>
      <c r="D205" s="70"/>
      <c r="F205" s="68"/>
      <c r="G205" s="69"/>
      <c r="H205" s="70"/>
      <c r="J205" s="71"/>
      <c r="K205" s="71"/>
      <c r="L205" s="67"/>
      <c r="N205" s="71"/>
      <c r="O205" s="71"/>
      <c r="P205" s="67"/>
      <c r="R205" s="67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</row>
    <row r="206" spans="2:114" x14ac:dyDescent="0.2">
      <c r="B206" s="68"/>
      <c r="C206" s="69"/>
      <c r="D206" s="70"/>
      <c r="F206" s="68"/>
      <c r="G206" s="69"/>
      <c r="H206" s="70"/>
      <c r="J206" s="71"/>
      <c r="K206" s="71"/>
      <c r="L206" s="67"/>
      <c r="N206" s="71"/>
      <c r="O206" s="71"/>
      <c r="P206" s="67"/>
      <c r="R206" s="67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</row>
    <row r="207" spans="2:114" x14ac:dyDescent="0.2">
      <c r="B207" s="68"/>
      <c r="C207" s="69"/>
      <c r="D207" s="70"/>
      <c r="F207" s="68"/>
      <c r="G207" s="69"/>
      <c r="H207" s="70"/>
      <c r="J207" s="71"/>
      <c r="K207" s="71"/>
      <c r="L207" s="67"/>
      <c r="N207" s="71"/>
      <c r="O207" s="71"/>
      <c r="P207" s="67"/>
      <c r="R207" s="67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</row>
    <row r="208" spans="2:114" x14ac:dyDescent="0.2">
      <c r="B208" s="68"/>
      <c r="C208" s="69"/>
      <c r="D208" s="70"/>
      <c r="F208" s="68"/>
      <c r="G208" s="69"/>
      <c r="H208" s="70"/>
      <c r="J208" s="71"/>
      <c r="K208" s="71"/>
      <c r="L208" s="67"/>
      <c r="N208" s="71"/>
      <c r="O208" s="71"/>
      <c r="P208" s="67"/>
      <c r="R208" s="67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</row>
    <row r="209" spans="2:114" x14ac:dyDescent="0.2">
      <c r="B209" s="68"/>
      <c r="C209" s="69"/>
      <c r="D209" s="70"/>
      <c r="F209" s="68"/>
      <c r="G209" s="69"/>
      <c r="H209" s="70"/>
      <c r="J209" s="71"/>
      <c r="K209" s="71"/>
      <c r="L209" s="67"/>
      <c r="N209" s="71"/>
      <c r="O209" s="71"/>
      <c r="P209" s="67"/>
      <c r="R209" s="67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</row>
    <row r="210" spans="2:114" x14ac:dyDescent="0.2">
      <c r="B210" s="68"/>
      <c r="C210" s="69"/>
      <c r="D210" s="70"/>
      <c r="F210" s="68"/>
      <c r="G210" s="69"/>
      <c r="H210" s="70"/>
      <c r="J210" s="71"/>
      <c r="K210" s="71"/>
      <c r="L210" s="67"/>
      <c r="N210" s="71"/>
      <c r="O210" s="71"/>
      <c r="P210" s="67"/>
      <c r="R210" s="67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</row>
    <row r="211" spans="2:114" x14ac:dyDescent="0.2">
      <c r="B211" s="68"/>
      <c r="C211" s="69"/>
      <c r="D211" s="70"/>
      <c r="F211" s="68"/>
      <c r="G211" s="69"/>
      <c r="H211" s="70"/>
      <c r="J211" s="71"/>
      <c r="K211" s="71"/>
      <c r="L211" s="67"/>
      <c r="N211" s="71"/>
      <c r="O211" s="71"/>
      <c r="P211" s="67"/>
      <c r="R211" s="67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</row>
    <row r="212" spans="2:114" x14ac:dyDescent="0.2">
      <c r="B212" s="68"/>
      <c r="C212" s="69"/>
      <c r="D212" s="70"/>
      <c r="F212" s="68"/>
      <c r="G212" s="69"/>
      <c r="H212" s="70"/>
      <c r="J212" s="71"/>
      <c r="K212" s="71"/>
      <c r="L212" s="67"/>
      <c r="N212" s="71"/>
      <c r="O212" s="71"/>
      <c r="P212" s="67"/>
      <c r="R212" s="67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</row>
    <row r="213" spans="2:114" x14ac:dyDescent="0.2">
      <c r="B213" s="68"/>
      <c r="C213" s="69"/>
      <c r="D213" s="70"/>
      <c r="F213" s="68"/>
      <c r="G213" s="69"/>
      <c r="H213" s="70"/>
      <c r="J213" s="71"/>
      <c r="K213" s="71"/>
      <c r="L213" s="67"/>
      <c r="N213" s="71"/>
      <c r="O213" s="71"/>
      <c r="P213" s="67"/>
      <c r="R213" s="67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</row>
    <row r="214" spans="2:114" x14ac:dyDescent="0.2">
      <c r="B214" s="68"/>
      <c r="C214" s="69"/>
      <c r="D214" s="70"/>
      <c r="F214" s="68"/>
      <c r="G214" s="69"/>
      <c r="H214" s="70"/>
      <c r="J214" s="71"/>
      <c r="K214" s="71"/>
      <c r="L214" s="67"/>
      <c r="N214" s="71"/>
      <c r="O214" s="71"/>
      <c r="P214" s="67"/>
      <c r="R214" s="67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</row>
    <row r="215" spans="2:114" x14ac:dyDescent="0.2">
      <c r="B215" s="68"/>
      <c r="C215" s="69"/>
      <c r="D215" s="70"/>
      <c r="F215" s="68"/>
      <c r="G215" s="69"/>
      <c r="H215" s="70"/>
      <c r="J215" s="71"/>
      <c r="K215" s="71"/>
      <c r="L215" s="67"/>
      <c r="N215" s="71"/>
      <c r="O215" s="71"/>
      <c r="P215" s="67"/>
      <c r="R215" s="67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</row>
    <row r="216" spans="2:114" x14ac:dyDescent="0.2">
      <c r="B216" s="68"/>
      <c r="C216" s="69"/>
      <c r="D216" s="70"/>
      <c r="F216" s="68"/>
      <c r="G216" s="69"/>
      <c r="H216" s="70"/>
      <c r="J216" s="71"/>
      <c r="K216" s="71"/>
      <c r="L216" s="67"/>
      <c r="N216" s="71"/>
      <c r="O216" s="71"/>
      <c r="P216" s="67"/>
      <c r="R216" s="67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</row>
    <row r="217" spans="2:114" x14ac:dyDescent="0.2">
      <c r="B217" s="68"/>
      <c r="C217" s="69"/>
      <c r="D217" s="70"/>
      <c r="F217" s="68"/>
      <c r="G217" s="69"/>
      <c r="H217" s="70"/>
      <c r="J217" s="71"/>
      <c r="K217" s="71"/>
      <c r="L217" s="67"/>
      <c r="N217" s="71"/>
      <c r="O217" s="71"/>
      <c r="P217" s="67"/>
      <c r="R217" s="67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</row>
    <row r="218" spans="2:114" x14ac:dyDescent="0.2">
      <c r="B218" s="68"/>
      <c r="C218" s="69"/>
      <c r="D218" s="70"/>
      <c r="F218" s="68"/>
      <c r="G218" s="69"/>
      <c r="H218" s="70"/>
      <c r="J218" s="71"/>
      <c r="K218" s="71"/>
      <c r="L218" s="67"/>
      <c r="N218" s="71"/>
      <c r="O218" s="71"/>
      <c r="P218" s="67"/>
      <c r="R218" s="67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</row>
    <row r="219" spans="2:114" x14ac:dyDescent="0.2">
      <c r="B219" s="68"/>
      <c r="C219" s="69"/>
      <c r="D219" s="70"/>
      <c r="F219" s="68"/>
      <c r="G219" s="69"/>
      <c r="H219" s="70"/>
      <c r="J219" s="71"/>
      <c r="K219" s="71"/>
      <c r="L219" s="67"/>
      <c r="N219" s="71"/>
      <c r="O219" s="71"/>
      <c r="P219" s="67"/>
      <c r="R219" s="67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</row>
    <row r="220" spans="2:114" x14ac:dyDescent="0.2">
      <c r="B220" s="68"/>
      <c r="C220" s="69"/>
      <c r="D220" s="70"/>
      <c r="F220" s="68"/>
      <c r="G220" s="69"/>
      <c r="H220" s="70"/>
      <c r="J220" s="71"/>
      <c r="K220" s="71"/>
      <c r="L220" s="67"/>
      <c r="N220" s="71"/>
      <c r="O220" s="71"/>
      <c r="P220" s="67"/>
      <c r="R220" s="67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</row>
    <row r="221" spans="2:114" x14ac:dyDescent="0.2">
      <c r="B221" s="68"/>
      <c r="C221" s="69"/>
      <c r="D221" s="70"/>
      <c r="F221" s="68"/>
      <c r="G221" s="69"/>
      <c r="H221" s="70"/>
      <c r="J221" s="71"/>
      <c r="K221" s="71"/>
      <c r="L221" s="67"/>
      <c r="N221" s="71"/>
      <c r="O221" s="71"/>
      <c r="P221" s="67"/>
      <c r="R221" s="67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</row>
    <row r="222" spans="2:114" x14ac:dyDescent="0.2">
      <c r="B222" s="68"/>
      <c r="C222" s="69"/>
      <c r="D222" s="70"/>
      <c r="F222" s="68"/>
      <c r="G222" s="69"/>
      <c r="H222" s="70"/>
      <c r="J222" s="71"/>
      <c r="K222" s="71"/>
      <c r="L222" s="67"/>
      <c r="N222" s="71"/>
      <c r="O222" s="71"/>
      <c r="P222" s="67"/>
      <c r="R222" s="67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</row>
    <row r="223" spans="2:114" x14ac:dyDescent="0.2">
      <c r="B223" s="68"/>
      <c r="C223" s="69"/>
      <c r="D223" s="70"/>
      <c r="F223" s="68"/>
      <c r="G223" s="69"/>
      <c r="H223" s="70"/>
      <c r="J223" s="71"/>
      <c r="K223" s="71"/>
      <c r="L223" s="67"/>
      <c r="N223" s="71"/>
      <c r="O223" s="71"/>
      <c r="P223" s="67"/>
      <c r="R223" s="67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</row>
    <row r="224" spans="2:114" x14ac:dyDescent="0.2">
      <c r="B224" s="68"/>
      <c r="C224" s="69"/>
      <c r="D224" s="70"/>
      <c r="F224" s="68"/>
      <c r="G224" s="69"/>
      <c r="H224" s="70"/>
      <c r="J224" s="71"/>
      <c r="K224" s="71"/>
      <c r="L224" s="67"/>
      <c r="N224" s="71"/>
      <c r="O224" s="71"/>
      <c r="P224" s="67"/>
      <c r="R224" s="67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</row>
    <row r="225" spans="2:114" x14ac:dyDescent="0.2">
      <c r="B225" s="68"/>
      <c r="C225" s="69"/>
      <c r="D225" s="70"/>
      <c r="F225" s="68"/>
      <c r="G225" s="69"/>
      <c r="H225" s="70"/>
      <c r="J225" s="71"/>
      <c r="K225" s="71"/>
      <c r="L225" s="67"/>
      <c r="N225" s="71"/>
      <c r="O225" s="71"/>
      <c r="P225" s="67"/>
      <c r="R225" s="67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</row>
    <row r="226" spans="2:114" x14ac:dyDescent="0.2">
      <c r="B226" s="68"/>
      <c r="C226" s="69"/>
      <c r="D226" s="70"/>
      <c r="F226" s="68"/>
      <c r="G226" s="69"/>
      <c r="H226" s="70"/>
      <c r="J226" s="71"/>
      <c r="K226" s="71"/>
      <c r="L226" s="67"/>
      <c r="N226" s="71"/>
      <c r="O226" s="71"/>
      <c r="P226" s="67"/>
      <c r="R226" s="67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</row>
    <row r="227" spans="2:114" x14ac:dyDescent="0.2">
      <c r="B227" s="68"/>
      <c r="C227" s="69"/>
      <c r="D227" s="70"/>
      <c r="F227" s="68"/>
      <c r="G227" s="69"/>
      <c r="H227" s="70"/>
      <c r="J227" s="71"/>
      <c r="K227" s="71"/>
      <c r="L227" s="67"/>
      <c r="N227" s="71"/>
      <c r="O227" s="71"/>
      <c r="P227" s="67"/>
      <c r="R227" s="67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</row>
    <row r="228" spans="2:114" x14ac:dyDescent="0.2">
      <c r="B228" s="68"/>
      <c r="C228" s="69"/>
      <c r="D228" s="70"/>
      <c r="F228" s="68"/>
      <c r="G228" s="69"/>
      <c r="H228" s="70"/>
      <c r="J228" s="71"/>
      <c r="K228" s="71"/>
      <c r="L228" s="67"/>
      <c r="N228" s="71"/>
      <c r="O228" s="71"/>
      <c r="P228" s="67"/>
      <c r="R228" s="67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</row>
    <row r="229" spans="2:114" x14ac:dyDescent="0.2">
      <c r="B229" s="68"/>
      <c r="C229" s="69"/>
      <c r="D229" s="70"/>
      <c r="F229" s="68"/>
      <c r="G229" s="69"/>
      <c r="H229" s="70"/>
      <c r="J229" s="71"/>
      <c r="K229" s="71"/>
      <c r="L229" s="67"/>
      <c r="N229" s="71"/>
      <c r="O229" s="71"/>
      <c r="P229" s="67"/>
      <c r="R229" s="67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</row>
    <row r="230" spans="2:114" x14ac:dyDescent="0.2">
      <c r="B230" s="68"/>
      <c r="C230" s="69"/>
      <c r="D230" s="70"/>
      <c r="F230" s="68"/>
      <c r="G230" s="69"/>
      <c r="H230" s="70"/>
      <c r="J230" s="71"/>
      <c r="K230" s="71"/>
      <c r="L230" s="67"/>
      <c r="N230" s="71"/>
      <c r="O230" s="71"/>
      <c r="P230" s="67"/>
      <c r="R230" s="67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</row>
    <row r="231" spans="2:114" x14ac:dyDescent="0.2">
      <c r="B231" s="68"/>
      <c r="C231" s="69"/>
      <c r="D231" s="70"/>
      <c r="F231" s="68"/>
      <c r="G231" s="69"/>
      <c r="H231" s="70"/>
      <c r="J231" s="71"/>
      <c r="K231" s="71"/>
      <c r="L231" s="67"/>
      <c r="N231" s="71"/>
      <c r="O231" s="71"/>
      <c r="P231" s="67"/>
      <c r="R231" s="67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</row>
    <row r="232" spans="2:114" x14ac:dyDescent="0.2">
      <c r="B232" s="68"/>
      <c r="C232" s="69"/>
      <c r="D232" s="70"/>
      <c r="F232" s="68"/>
      <c r="G232" s="69"/>
      <c r="H232" s="70"/>
      <c r="J232" s="71"/>
      <c r="K232" s="71"/>
      <c r="L232" s="67"/>
      <c r="N232" s="71"/>
      <c r="O232" s="71"/>
      <c r="P232" s="67"/>
      <c r="R232" s="67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</row>
    <row r="233" spans="2:114" x14ac:dyDescent="0.2">
      <c r="B233" s="68"/>
      <c r="C233" s="69"/>
      <c r="D233" s="70"/>
      <c r="F233" s="68"/>
      <c r="G233" s="69"/>
      <c r="H233" s="70"/>
      <c r="J233" s="71"/>
      <c r="K233" s="71"/>
      <c r="L233" s="67"/>
      <c r="N233" s="71"/>
      <c r="O233" s="71"/>
      <c r="P233" s="67"/>
      <c r="R233" s="67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</row>
    <row r="234" spans="2:114" x14ac:dyDescent="0.2">
      <c r="B234" s="68"/>
      <c r="C234" s="69"/>
      <c r="D234" s="70"/>
      <c r="F234" s="68"/>
      <c r="G234" s="69"/>
      <c r="H234" s="70"/>
      <c r="J234" s="71"/>
      <c r="K234" s="71"/>
      <c r="L234" s="67"/>
      <c r="N234" s="71"/>
      <c r="O234" s="71"/>
      <c r="P234" s="67"/>
      <c r="R234" s="67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</row>
    <row r="235" spans="2:114" x14ac:dyDescent="0.2">
      <c r="B235" s="68"/>
      <c r="C235" s="69"/>
      <c r="D235" s="70"/>
      <c r="F235" s="68"/>
      <c r="G235" s="69"/>
      <c r="H235" s="70"/>
      <c r="J235" s="71"/>
      <c r="K235" s="71"/>
      <c r="L235" s="67"/>
      <c r="N235" s="71"/>
      <c r="O235" s="71"/>
      <c r="P235" s="67"/>
      <c r="R235" s="67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</row>
    <row r="236" spans="2:114" x14ac:dyDescent="0.2">
      <c r="B236" s="68"/>
      <c r="C236" s="69"/>
      <c r="D236" s="70"/>
      <c r="F236" s="68"/>
      <c r="G236" s="69"/>
      <c r="H236" s="70"/>
      <c r="J236" s="71"/>
      <c r="K236" s="71"/>
      <c r="L236" s="67"/>
      <c r="N236" s="71"/>
      <c r="O236" s="71"/>
      <c r="P236" s="67"/>
      <c r="R236" s="67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</row>
    <row r="237" spans="2:114" x14ac:dyDescent="0.2">
      <c r="B237" s="68"/>
      <c r="C237" s="69"/>
      <c r="D237" s="70"/>
      <c r="F237" s="68"/>
      <c r="G237" s="69"/>
      <c r="H237" s="70"/>
      <c r="J237" s="71"/>
      <c r="K237" s="71"/>
      <c r="L237" s="67"/>
      <c r="N237" s="71"/>
      <c r="O237" s="71"/>
      <c r="P237" s="67"/>
      <c r="R237" s="67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</row>
    <row r="238" spans="2:114" x14ac:dyDescent="0.2">
      <c r="B238" s="68"/>
      <c r="C238" s="69"/>
      <c r="D238" s="70"/>
      <c r="F238" s="68"/>
      <c r="G238" s="69"/>
      <c r="H238" s="70"/>
      <c r="J238" s="71"/>
      <c r="K238" s="71"/>
      <c r="L238" s="67"/>
      <c r="N238" s="71"/>
      <c r="O238" s="71"/>
      <c r="P238" s="67"/>
      <c r="R238" s="67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</row>
    <row r="239" spans="2:114" x14ac:dyDescent="0.2">
      <c r="B239" s="68"/>
      <c r="C239" s="69"/>
      <c r="D239" s="70"/>
      <c r="F239" s="68"/>
      <c r="G239" s="69"/>
      <c r="H239" s="70"/>
      <c r="J239" s="71"/>
      <c r="K239" s="71"/>
      <c r="L239" s="67"/>
      <c r="N239" s="71"/>
      <c r="O239" s="71"/>
      <c r="P239" s="67"/>
      <c r="R239" s="67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</row>
    <row r="240" spans="2:114" x14ac:dyDescent="0.2">
      <c r="B240" s="68"/>
      <c r="C240" s="69"/>
      <c r="D240" s="70"/>
      <c r="F240" s="68"/>
      <c r="G240" s="69"/>
      <c r="H240" s="70"/>
      <c r="J240" s="71"/>
      <c r="K240" s="71"/>
      <c r="L240" s="67"/>
      <c r="N240" s="71"/>
      <c r="O240" s="71"/>
      <c r="P240" s="67"/>
      <c r="R240" s="67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</row>
    <row r="241" spans="2:114" x14ac:dyDescent="0.2">
      <c r="B241" s="68"/>
      <c r="C241" s="69"/>
      <c r="D241" s="70"/>
      <c r="F241" s="68"/>
      <c r="G241" s="69"/>
      <c r="H241" s="70"/>
      <c r="J241" s="71"/>
      <c r="K241" s="71"/>
      <c r="L241" s="67"/>
      <c r="N241" s="71"/>
      <c r="O241" s="71"/>
      <c r="P241" s="67"/>
      <c r="R241" s="67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</row>
    <row r="242" spans="2:114" x14ac:dyDescent="0.2">
      <c r="B242" s="68"/>
      <c r="C242" s="69"/>
      <c r="D242" s="70"/>
      <c r="F242" s="68"/>
      <c r="G242" s="69"/>
      <c r="H242" s="70"/>
      <c r="J242" s="71"/>
      <c r="K242" s="71"/>
      <c r="L242" s="67"/>
      <c r="N242" s="71"/>
      <c r="O242" s="71"/>
      <c r="P242" s="67"/>
      <c r="R242" s="67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</row>
    <row r="243" spans="2:114" x14ac:dyDescent="0.2">
      <c r="B243" s="68"/>
      <c r="C243" s="69"/>
      <c r="D243" s="70"/>
      <c r="F243" s="68"/>
      <c r="G243" s="69"/>
      <c r="H243" s="70"/>
      <c r="J243" s="71"/>
      <c r="K243" s="71"/>
      <c r="L243" s="67"/>
      <c r="N243" s="71"/>
      <c r="O243" s="71"/>
      <c r="P243" s="67"/>
      <c r="R243" s="67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</row>
    <row r="244" spans="2:114" x14ac:dyDescent="0.2">
      <c r="B244" s="68"/>
      <c r="C244" s="69"/>
      <c r="D244" s="70"/>
      <c r="F244" s="68"/>
      <c r="G244" s="69"/>
      <c r="H244" s="70"/>
      <c r="J244" s="71"/>
      <c r="K244" s="71"/>
      <c r="L244" s="67"/>
      <c r="N244" s="71"/>
      <c r="O244" s="71"/>
      <c r="P244" s="67"/>
      <c r="R244" s="67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</row>
    <row r="245" spans="2:114" x14ac:dyDescent="0.2">
      <c r="B245" s="68"/>
      <c r="C245" s="69"/>
      <c r="D245" s="70"/>
      <c r="F245" s="68"/>
      <c r="G245" s="69"/>
      <c r="H245" s="70"/>
      <c r="J245" s="71"/>
      <c r="K245" s="71"/>
      <c r="L245" s="67"/>
      <c r="N245" s="71"/>
      <c r="O245" s="71"/>
      <c r="P245" s="67"/>
      <c r="R245" s="67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</row>
    <row r="246" spans="2:114" x14ac:dyDescent="0.2">
      <c r="B246" s="68"/>
      <c r="C246" s="69"/>
      <c r="D246" s="70"/>
      <c r="F246" s="68"/>
      <c r="G246" s="69"/>
      <c r="H246" s="70"/>
      <c r="J246" s="71"/>
      <c r="K246" s="71"/>
      <c r="L246" s="67"/>
      <c r="N246" s="71"/>
      <c r="O246" s="71"/>
      <c r="P246" s="67"/>
      <c r="R246" s="67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</row>
    <row r="247" spans="2:114" x14ac:dyDescent="0.2">
      <c r="B247" s="68"/>
      <c r="C247" s="69"/>
      <c r="D247" s="70"/>
      <c r="F247" s="68"/>
      <c r="G247" s="69"/>
      <c r="H247" s="70"/>
      <c r="J247" s="71"/>
      <c r="K247" s="71"/>
      <c r="L247" s="67"/>
      <c r="N247" s="71"/>
      <c r="O247" s="71"/>
      <c r="P247" s="67"/>
      <c r="R247" s="67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</row>
    <row r="248" spans="2:114" x14ac:dyDescent="0.2">
      <c r="B248" s="68"/>
      <c r="C248" s="69"/>
      <c r="D248" s="70"/>
      <c r="F248" s="68"/>
      <c r="G248" s="69"/>
      <c r="H248" s="70"/>
      <c r="J248" s="71"/>
      <c r="K248" s="71"/>
      <c r="L248" s="67"/>
      <c r="N248" s="71"/>
      <c r="O248" s="71"/>
      <c r="P248" s="67"/>
      <c r="R248" s="67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</row>
    <row r="249" spans="2:114" x14ac:dyDescent="0.2">
      <c r="B249" s="68"/>
      <c r="C249" s="69"/>
      <c r="D249" s="70"/>
      <c r="F249" s="68"/>
      <c r="G249" s="69"/>
      <c r="H249" s="70"/>
      <c r="J249" s="71"/>
      <c r="K249" s="71"/>
      <c r="L249" s="67"/>
      <c r="N249" s="71"/>
      <c r="O249" s="71"/>
      <c r="P249" s="67"/>
      <c r="R249" s="67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</row>
    <row r="250" spans="2:114" x14ac:dyDescent="0.2">
      <c r="B250" s="68"/>
      <c r="C250" s="69"/>
      <c r="D250" s="70"/>
      <c r="F250" s="68"/>
      <c r="G250" s="69"/>
      <c r="H250" s="70"/>
      <c r="J250" s="71"/>
      <c r="K250" s="71"/>
      <c r="L250" s="67"/>
      <c r="N250" s="71"/>
      <c r="O250" s="71"/>
      <c r="P250" s="67"/>
      <c r="R250" s="67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</row>
    <row r="251" spans="2:114" x14ac:dyDescent="0.2">
      <c r="B251" s="68"/>
      <c r="C251" s="69"/>
      <c r="D251" s="70"/>
      <c r="F251" s="68"/>
      <c r="G251" s="69"/>
      <c r="H251" s="70"/>
      <c r="J251" s="71"/>
      <c r="K251" s="71"/>
      <c r="L251" s="67"/>
      <c r="N251" s="71"/>
      <c r="O251" s="71"/>
      <c r="P251" s="67"/>
      <c r="R251" s="67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</row>
    <row r="252" spans="2:114" x14ac:dyDescent="0.2">
      <c r="B252" s="68"/>
      <c r="C252" s="69"/>
      <c r="D252" s="70"/>
      <c r="F252" s="68"/>
      <c r="G252" s="69"/>
      <c r="H252" s="70"/>
      <c r="J252" s="71"/>
      <c r="K252" s="71"/>
      <c r="L252" s="67"/>
      <c r="N252" s="71"/>
      <c r="O252" s="71"/>
      <c r="P252" s="67"/>
      <c r="R252" s="67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</row>
    <row r="253" spans="2:114" x14ac:dyDescent="0.2">
      <c r="B253" s="68"/>
      <c r="C253" s="69"/>
      <c r="D253" s="70"/>
      <c r="F253" s="68"/>
      <c r="G253" s="69"/>
      <c r="H253" s="70"/>
      <c r="J253" s="71"/>
      <c r="K253" s="71"/>
      <c r="L253" s="67"/>
      <c r="N253" s="71"/>
      <c r="O253" s="71"/>
      <c r="P253" s="67"/>
      <c r="R253" s="67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</row>
    <row r="254" spans="2:114" x14ac:dyDescent="0.2">
      <c r="B254" s="68"/>
      <c r="C254" s="69"/>
      <c r="D254" s="70"/>
      <c r="F254" s="68"/>
      <c r="G254" s="69"/>
      <c r="H254" s="70"/>
      <c r="J254" s="71"/>
      <c r="K254" s="71"/>
      <c r="L254" s="67"/>
      <c r="N254" s="71"/>
      <c r="O254" s="71"/>
      <c r="P254" s="67"/>
      <c r="R254" s="67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</row>
    <row r="255" spans="2:114" x14ac:dyDescent="0.2">
      <c r="B255" s="68"/>
      <c r="C255" s="69"/>
      <c r="D255" s="70"/>
      <c r="F255" s="68"/>
      <c r="G255" s="69"/>
      <c r="H255" s="70"/>
      <c r="J255" s="71"/>
      <c r="K255" s="71"/>
      <c r="L255" s="67"/>
      <c r="N255" s="71"/>
      <c r="O255" s="71"/>
      <c r="P255" s="67"/>
      <c r="R255" s="67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</row>
    <row r="256" spans="2:114" x14ac:dyDescent="0.2">
      <c r="B256" s="68"/>
      <c r="C256" s="69"/>
      <c r="D256" s="70"/>
      <c r="F256" s="68"/>
      <c r="G256" s="69"/>
      <c r="H256" s="70"/>
      <c r="J256" s="71"/>
      <c r="K256" s="71"/>
      <c r="L256" s="67"/>
      <c r="N256" s="71"/>
      <c r="O256" s="71"/>
      <c r="P256" s="67"/>
      <c r="R256" s="67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</row>
    <row r="257" spans="2:114" x14ac:dyDescent="0.2">
      <c r="B257" s="68"/>
      <c r="C257" s="69"/>
      <c r="D257" s="70"/>
      <c r="F257" s="68"/>
      <c r="G257" s="69"/>
      <c r="H257" s="70"/>
      <c r="J257" s="71"/>
      <c r="K257" s="71"/>
      <c r="L257" s="67"/>
      <c r="N257" s="71"/>
      <c r="O257" s="71"/>
      <c r="P257" s="67"/>
      <c r="R257" s="67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</row>
    <row r="258" spans="2:114" x14ac:dyDescent="0.2">
      <c r="B258" s="68"/>
      <c r="C258" s="69"/>
      <c r="D258" s="70"/>
      <c r="F258" s="68"/>
      <c r="G258" s="69"/>
      <c r="H258" s="70"/>
      <c r="J258" s="71"/>
      <c r="K258" s="71"/>
      <c r="L258" s="67"/>
      <c r="N258" s="71"/>
      <c r="O258" s="71"/>
      <c r="P258" s="67"/>
      <c r="R258" s="67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</row>
    <row r="259" spans="2:114" x14ac:dyDescent="0.2">
      <c r="B259" s="68"/>
      <c r="C259" s="69"/>
      <c r="D259" s="70"/>
      <c r="F259" s="68"/>
      <c r="G259" s="69"/>
      <c r="H259" s="70"/>
      <c r="J259" s="71"/>
      <c r="K259" s="71"/>
      <c r="L259" s="67"/>
      <c r="N259" s="71"/>
      <c r="O259" s="71"/>
      <c r="P259" s="67"/>
      <c r="R259" s="67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</row>
    <row r="260" spans="2:114" x14ac:dyDescent="0.2">
      <c r="B260" s="68"/>
      <c r="C260" s="69"/>
      <c r="D260" s="70"/>
      <c r="F260" s="68"/>
      <c r="G260" s="69"/>
      <c r="H260" s="70"/>
      <c r="J260" s="71"/>
      <c r="K260" s="71"/>
      <c r="L260" s="67"/>
      <c r="N260" s="71"/>
      <c r="O260" s="71"/>
      <c r="P260" s="67"/>
      <c r="R260" s="67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</row>
    <row r="261" spans="2:114" x14ac:dyDescent="0.2">
      <c r="B261" s="68"/>
      <c r="C261" s="69"/>
      <c r="D261" s="70"/>
      <c r="F261" s="68"/>
      <c r="G261" s="69"/>
      <c r="H261" s="70"/>
      <c r="J261" s="71"/>
      <c r="K261" s="71"/>
      <c r="L261" s="67"/>
      <c r="N261" s="71"/>
      <c r="O261" s="71"/>
      <c r="P261" s="67"/>
      <c r="R261" s="67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</row>
    <row r="262" spans="2:114" x14ac:dyDescent="0.2">
      <c r="B262" s="68"/>
      <c r="C262" s="69"/>
      <c r="D262" s="70"/>
      <c r="F262" s="68"/>
      <c r="G262" s="69"/>
      <c r="H262" s="70"/>
      <c r="J262" s="71"/>
      <c r="K262" s="71"/>
      <c r="L262" s="67"/>
      <c r="N262" s="71"/>
      <c r="O262" s="71"/>
      <c r="P262" s="67"/>
      <c r="R262" s="67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</row>
    <row r="263" spans="2:114" x14ac:dyDescent="0.2">
      <c r="B263" s="68"/>
      <c r="C263" s="69"/>
      <c r="D263" s="70"/>
      <c r="F263" s="68"/>
      <c r="G263" s="69"/>
      <c r="H263" s="70"/>
      <c r="J263" s="71"/>
      <c r="K263" s="71"/>
      <c r="L263" s="67"/>
      <c r="N263" s="71"/>
      <c r="O263" s="71"/>
      <c r="P263" s="67"/>
      <c r="R263" s="67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</row>
    <row r="264" spans="2:114" x14ac:dyDescent="0.2">
      <c r="B264" s="68"/>
      <c r="C264" s="69"/>
      <c r="D264" s="70"/>
      <c r="F264" s="68"/>
      <c r="G264" s="69"/>
      <c r="H264" s="70"/>
      <c r="J264" s="71"/>
      <c r="K264" s="71"/>
      <c r="L264" s="67"/>
      <c r="N264" s="71"/>
      <c r="O264" s="71"/>
      <c r="P264" s="67"/>
      <c r="R264" s="67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</row>
    <row r="265" spans="2:114" x14ac:dyDescent="0.2">
      <c r="B265" s="68"/>
      <c r="C265" s="69"/>
      <c r="D265" s="70"/>
      <c r="F265" s="68"/>
      <c r="G265" s="69"/>
      <c r="H265" s="70"/>
      <c r="J265" s="71"/>
      <c r="K265" s="71"/>
      <c r="L265" s="67"/>
      <c r="N265" s="71"/>
      <c r="O265" s="71"/>
      <c r="P265" s="67"/>
      <c r="R265" s="67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</row>
    <row r="266" spans="2:114" x14ac:dyDescent="0.2">
      <c r="B266" s="68"/>
      <c r="C266" s="69"/>
      <c r="D266" s="70"/>
      <c r="F266" s="68"/>
      <c r="G266" s="69"/>
      <c r="H266" s="70"/>
      <c r="J266" s="71"/>
      <c r="K266" s="71"/>
      <c r="L266" s="67"/>
      <c r="N266" s="71"/>
      <c r="O266" s="71"/>
      <c r="P266" s="67"/>
      <c r="R266" s="67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</row>
    <row r="267" spans="2:114" x14ac:dyDescent="0.2">
      <c r="B267" s="68"/>
      <c r="C267" s="69"/>
      <c r="D267" s="70"/>
      <c r="F267" s="68"/>
      <c r="G267" s="69"/>
      <c r="H267" s="70"/>
      <c r="J267" s="71"/>
      <c r="K267" s="71"/>
      <c r="L267" s="67"/>
      <c r="N267" s="71"/>
      <c r="O267" s="71"/>
      <c r="P267" s="67"/>
      <c r="R267" s="67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</row>
    <row r="268" spans="2:114" x14ac:dyDescent="0.2">
      <c r="B268" s="68"/>
      <c r="C268" s="69"/>
      <c r="D268" s="70"/>
      <c r="F268" s="68"/>
      <c r="G268" s="69"/>
      <c r="H268" s="70"/>
      <c r="J268" s="71"/>
      <c r="K268" s="71"/>
      <c r="L268" s="67"/>
      <c r="N268" s="71"/>
      <c r="O268" s="71"/>
      <c r="P268" s="67"/>
      <c r="R268" s="67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</row>
    <row r="269" spans="2:114" x14ac:dyDescent="0.2">
      <c r="B269" s="68"/>
      <c r="C269" s="69"/>
      <c r="D269" s="70"/>
      <c r="F269" s="68"/>
      <c r="G269" s="69"/>
      <c r="H269" s="70"/>
      <c r="J269" s="71"/>
      <c r="K269" s="71"/>
      <c r="L269" s="67"/>
      <c r="N269" s="71"/>
      <c r="O269" s="71"/>
      <c r="P269" s="67"/>
      <c r="R269" s="67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</row>
    <row r="270" spans="2:114" x14ac:dyDescent="0.2">
      <c r="B270" s="68"/>
      <c r="C270" s="69"/>
      <c r="D270" s="70"/>
      <c r="F270" s="68"/>
      <c r="G270" s="69"/>
      <c r="H270" s="70"/>
      <c r="J270" s="71"/>
      <c r="K270" s="71"/>
      <c r="L270" s="67"/>
      <c r="N270" s="71"/>
      <c r="O270" s="71"/>
      <c r="P270" s="67"/>
      <c r="R270" s="67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</row>
    <row r="271" spans="2:114" x14ac:dyDescent="0.2">
      <c r="B271" s="68"/>
      <c r="C271" s="69"/>
      <c r="D271" s="70"/>
      <c r="F271" s="68"/>
      <c r="G271" s="69"/>
      <c r="H271" s="70"/>
      <c r="J271" s="71"/>
      <c r="K271" s="71"/>
      <c r="L271" s="67"/>
      <c r="N271" s="71"/>
      <c r="O271" s="71"/>
      <c r="P271" s="67"/>
      <c r="R271" s="67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</row>
    <row r="272" spans="2:114" x14ac:dyDescent="0.2">
      <c r="B272" s="68"/>
      <c r="C272" s="69"/>
      <c r="D272" s="70"/>
      <c r="F272" s="68"/>
      <c r="G272" s="69"/>
      <c r="H272" s="70"/>
      <c r="J272" s="71"/>
      <c r="K272" s="71"/>
      <c r="L272" s="67"/>
      <c r="N272" s="71"/>
      <c r="O272" s="71"/>
      <c r="P272" s="67"/>
      <c r="R272" s="67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</row>
    <row r="273" spans="2:114" x14ac:dyDescent="0.2">
      <c r="B273" s="68"/>
      <c r="C273" s="69"/>
      <c r="D273" s="70"/>
      <c r="F273" s="68"/>
      <c r="G273" s="69"/>
      <c r="H273" s="70"/>
      <c r="J273" s="71"/>
      <c r="K273" s="71"/>
      <c r="L273" s="67"/>
      <c r="N273" s="71"/>
      <c r="O273" s="71"/>
      <c r="P273" s="67"/>
      <c r="R273" s="67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</row>
    <row r="274" spans="2:114" x14ac:dyDescent="0.2">
      <c r="B274" s="68"/>
      <c r="C274" s="69"/>
      <c r="D274" s="70"/>
      <c r="F274" s="68"/>
      <c r="G274" s="69"/>
      <c r="H274" s="70"/>
      <c r="J274" s="71"/>
      <c r="K274" s="71"/>
      <c r="L274" s="67"/>
      <c r="N274" s="71"/>
      <c r="O274" s="71"/>
      <c r="P274" s="67"/>
      <c r="R274" s="67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</row>
    <row r="275" spans="2:114" x14ac:dyDescent="0.2">
      <c r="B275" s="68"/>
      <c r="C275" s="69"/>
      <c r="D275" s="70"/>
      <c r="F275" s="68"/>
      <c r="G275" s="69"/>
      <c r="H275" s="70"/>
      <c r="J275" s="71"/>
      <c r="K275" s="71"/>
      <c r="L275" s="67"/>
      <c r="N275" s="71"/>
      <c r="O275" s="71"/>
      <c r="P275" s="67"/>
      <c r="R275" s="67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</row>
    <row r="276" spans="2:114" x14ac:dyDescent="0.2">
      <c r="B276" s="68"/>
      <c r="C276" s="69"/>
      <c r="D276" s="70"/>
      <c r="F276" s="68"/>
      <c r="G276" s="69"/>
      <c r="H276" s="70"/>
      <c r="J276" s="71"/>
      <c r="K276" s="71"/>
      <c r="L276" s="67"/>
      <c r="N276" s="71"/>
      <c r="O276" s="71"/>
      <c r="P276" s="67"/>
      <c r="R276" s="67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</row>
    <row r="277" spans="2:114" x14ac:dyDescent="0.2">
      <c r="B277" s="68"/>
      <c r="C277" s="69"/>
      <c r="D277" s="70"/>
      <c r="F277" s="68"/>
      <c r="G277" s="69"/>
      <c r="H277" s="70"/>
      <c r="J277" s="71"/>
      <c r="K277" s="71"/>
      <c r="L277" s="67"/>
      <c r="N277" s="71"/>
      <c r="O277" s="71"/>
      <c r="P277" s="67"/>
      <c r="R277" s="67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</row>
    <row r="278" spans="2:114" x14ac:dyDescent="0.2">
      <c r="B278" s="68"/>
      <c r="C278" s="69"/>
      <c r="D278" s="70"/>
      <c r="F278" s="68"/>
      <c r="G278" s="69"/>
      <c r="H278" s="70"/>
      <c r="J278" s="71"/>
      <c r="K278" s="71"/>
      <c r="L278" s="67"/>
      <c r="N278" s="71"/>
      <c r="O278" s="71"/>
      <c r="P278" s="67"/>
      <c r="R278" s="67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</row>
    <row r="279" spans="2:114" x14ac:dyDescent="0.2">
      <c r="B279" s="68"/>
      <c r="C279" s="69"/>
      <c r="D279" s="70"/>
      <c r="F279" s="68"/>
      <c r="G279" s="69"/>
      <c r="H279" s="70"/>
      <c r="J279" s="71"/>
      <c r="K279" s="71"/>
      <c r="L279" s="67"/>
      <c r="N279" s="71"/>
      <c r="O279" s="71"/>
      <c r="P279" s="67"/>
      <c r="R279" s="67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</row>
    <row r="280" spans="2:114" x14ac:dyDescent="0.2">
      <c r="B280" s="68"/>
      <c r="C280" s="69"/>
      <c r="D280" s="70"/>
      <c r="F280" s="68"/>
      <c r="G280" s="69"/>
      <c r="H280" s="70"/>
      <c r="J280" s="71"/>
      <c r="K280" s="71"/>
      <c r="L280" s="67"/>
      <c r="N280" s="71"/>
      <c r="O280" s="71"/>
      <c r="P280" s="67"/>
      <c r="R280" s="67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</row>
    <row r="281" spans="2:114" x14ac:dyDescent="0.2">
      <c r="B281" s="68"/>
      <c r="C281" s="69"/>
      <c r="D281" s="70"/>
      <c r="F281" s="68"/>
      <c r="G281" s="69"/>
      <c r="H281" s="70"/>
      <c r="J281" s="71"/>
      <c r="K281" s="71"/>
      <c r="L281" s="67"/>
      <c r="N281" s="71"/>
      <c r="O281" s="71"/>
      <c r="P281" s="67"/>
      <c r="R281" s="67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</row>
    <row r="282" spans="2:114" x14ac:dyDescent="0.2">
      <c r="B282" s="68"/>
      <c r="C282" s="69"/>
      <c r="D282" s="70"/>
      <c r="F282" s="68"/>
      <c r="G282" s="69"/>
      <c r="H282" s="70"/>
      <c r="J282" s="71"/>
      <c r="K282" s="71"/>
      <c r="L282" s="67"/>
      <c r="N282" s="71"/>
      <c r="O282" s="71"/>
      <c r="P282" s="67"/>
      <c r="R282" s="67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</row>
    <row r="283" spans="2:114" x14ac:dyDescent="0.2">
      <c r="B283" s="68"/>
      <c r="C283" s="69"/>
      <c r="D283" s="70"/>
      <c r="F283" s="68"/>
      <c r="G283" s="69"/>
      <c r="H283" s="70"/>
      <c r="J283" s="71"/>
      <c r="K283" s="71"/>
      <c r="L283" s="67"/>
      <c r="N283" s="71"/>
      <c r="O283" s="71"/>
      <c r="P283" s="67"/>
      <c r="R283" s="67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</row>
    <row r="284" spans="2:114" x14ac:dyDescent="0.2">
      <c r="B284" s="68"/>
      <c r="C284" s="69"/>
      <c r="D284" s="70"/>
      <c r="F284" s="68"/>
      <c r="G284" s="69"/>
      <c r="H284" s="70"/>
      <c r="J284" s="71"/>
      <c r="K284" s="71"/>
      <c r="L284" s="67"/>
      <c r="N284" s="71"/>
      <c r="O284" s="71"/>
      <c r="P284" s="67"/>
      <c r="R284" s="67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</row>
    <row r="285" spans="2:114" x14ac:dyDescent="0.2">
      <c r="B285" s="68"/>
      <c r="C285" s="69"/>
      <c r="D285" s="70"/>
      <c r="F285" s="68"/>
      <c r="G285" s="69"/>
      <c r="H285" s="70"/>
      <c r="J285" s="71"/>
      <c r="K285" s="71"/>
      <c r="L285" s="67"/>
      <c r="N285" s="71"/>
      <c r="O285" s="71"/>
      <c r="P285" s="67"/>
      <c r="R285" s="67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</row>
    <row r="286" spans="2:114" x14ac:dyDescent="0.2">
      <c r="B286" s="68"/>
      <c r="C286" s="69"/>
      <c r="D286" s="70"/>
      <c r="F286" s="68"/>
      <c r="G286" s="69"/>
      <c r="H286" s="70"/>
      <c r="J286" s="71"/>
      <c r="K286" s="71"/>
      <c r="L286" s="67"/>
      <c r="N286" s="71"/>
      <c r="O286" s="71"/>
      <c r="P286" s="67"/>
      <c r="R286" s="67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</row>
    <row r="287" spans="2:114" x14ac:dyDescent="0.2">
      <c r="B287" s="68"/>
      <c r="C287" s="69"/>
      <c r="D287" s="70"/>
      <c r="F287" s="68"/>
      <c r="G287" s="69"/>
      <c r="H287" s="70"/>
      <c r="J287" s="71"/>
      <c r="K287" s="71"/>
      <c r="L287" s="67"/>
      <c r="N287" s="71"/>
      <c r="O287" s="71"/>
      <c r="P287" s="67"/>
      <c r="R287" s="67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</row>
    <row r="288" spans="2:114" x14ac:dyDescent="0.2">
      <c r="B288" s="68"/>
      <c r="C288" s="69"/>
      <c r="D288" s="70"/>
      <c r="F288" s="68"/>
      <c r="G288" s="69"/>
      <c r="H288" s="70"/>
      <c r="J288" s="71"/>
      <c r="K288" s="71"/>
      <c r="L288" s="67"/>
      <c r="N288" s="71"/>
      <c r="O288" s="71"/>
      <c r="P288" s="67"/>
      <c r="R288" s="67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</row>
    <row r="289" spans="2:114" x14ac:dyDescent="0.2">
      <c r="B289" s="68"/>
      <c r="C289" s="69"/>
      <c r="D289" s="70"/>
      <c r="F289" s="68"/>
      <c r="G289" s="69"/>
      <c r="H289" s="70"/>
      <c r="J289" s="71"/>
      <c r="K289" s="71"/>
      <c r="L289" s="67"/>
      <c r="N289" s="71"/>
      <c r="O289" s="71"/>
      <c r="P289" s="67"/>
      <c r="R289" s="67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</row>
    <row r="290" spans="2:114" x14ac:dyDescent="0.2">
      <c r="B290" s="68"/>
      <c r="C290" s="69"/>
      <c r="D290" s="70"/>
      <c r="F290" s="68"/>
      <c r="G290" s="69"/>
      <c r="H290" s="70"/>
      <c r="J290" s="71"/>
      <c r="K290" s="71"/>
      <c r="L290" s="67"/>
      <c r="N290" s="71"/>
      <c r="O290" s="71"/>
      <c r="P290" s="67"/>
      <c r="R290" s="67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</row>
    <row r="291" spans="2:114" x14ac:dyDescent="0.2">
      <c r="B291" s="68"/>
      <c r="C291" s="69"/>
      <c r="D291" s="70"/>
      <c r="F291" s="68"/>
      <c r="G291" s="69"/>
      <c r="H291" s="70"/>
      <c r="J291" s="71"/>
      <c r="K291" s="71"/>
      <c r="L291" s="67"/>
      <c r="N291" s="71"/>
      <c r="O291" s="71"/>
      <c r="P291" s="67"/>
      <c r="R291" s="67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</row>
    <row r="292" spans="2:114" x14ac:dyDescent="0.2">
      <c r="B292" s="68"/>
      <c r="C292" s="69"/>
      <c r="D292" s="70"/>
      <c r="F292" s="68"/>
      <c r="G292" s="69"/>
      <c r="H292" s="70"/>
      <c r="J292" s="71"/>
      <c r="K292" s="71"/>
      <c r="L292" s="67"/>
      <c r="N292" s="71"/>
      <c r="O292" s="71"/>
      <c r="P292" s="67"/>
      <c r="R292" s="67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</row>
    <row r="293" spans="2:114" x14ac:dyDescent="0.2">
      <c r="B293" s="68"/>
      <c r="C293" s="69"/>
      <c r="D293" s="70"/>
      <c r="F293" s="68"/>
      <c r="G293" s="69"/>
      <c r="H293" s="70"/>
      <c r="J293" s="71"/>
      <c r="K293" s="71"/>
      <c r="L293" s="67"/>
      <c r="N293" s="71"/>
      <c r="O293" s="71"/>
      <c r="P293" s="67"/>
      <c r="R293" s="67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</row>
    <row r="294" spans="2:114" x14ac:dyDescent="0.2">
      <c r="B294" s="68"/>
      <c r="C294" s="69"/>
      <c r="D294" s="70"/>
      <c r="F294" s="68"/>
      <c r="G294" s="69"/>
      <c r="H294" s="70"/>
      <c r="J294" s="71"/>
      <c r="K294" s="71"/>
      <c r="L294" s="67"/>
      <c r="N294" s="71"/>
      <c r="O294" s="71"/>
      <c r="P294" s="67"/>
      <c r="R294" s="67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</row>
    <row r="295" spans="2:114" x14ac:dyDescent="0.2">
      <c r="B295" s="68"/>
      <c r="C295" s="69"/>
      <c r="D295" s="70"/>
      <c r="F295" s="68"/>
      <c r="G295" s="69"/>
      <c r="H295" s="70"/>
      <c r="J295" s="71"/>
      <c r="K295" s="71"/>
      <c r="L295" s="67"/>
      <c r="N295" s="71"/>
      <c r="O295" s="71"/>
      <c r="P295" s="67"/>
      <c r="R295" s="67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</row>
    <row r="296" spans="2:114" x14ac:dyDescent="0.2">
      <c r="B296" s="68"/>
      <c r="C296" s="69"/>
      <c r="D296" s="70"/>
      <c r="F296" s="68"/>
      <c r="G296" s="69"/>
      <c r="H296" s="70"/>
      <c r="J296" s="71"/>
      <c r="K296" s="71"/>
      <c r="L296" s="67"/>
      <c r="N296" s="71"/>
      <c r="O296" s="71"/>
      <c r="P296" s="67"/>
      <c r="R296" s="67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</row>
    <row r="297" spans="2:114" x14ac:dyDescent="0.2">
      <c r="B297" s="68"/>
      <c r="C297" s="69"/>
      <c r="D297" s="70"/>
      <c r="F297" s="68"/>
      <c r="G297" s="69"/>
      <c r="H297" s="70"/>
      <c r="J297" s="71"/>
      <c r="K297" s="71"/>
      <c r="L297" s="67"/>
      <c r="N297" s="71"/>
      <c r="O297" s="71"/>
      <c r="P297" s="67"/>
      <c r="R297" s="67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</row>
    <row r="298" spans="2:114" x14ac:dyDescent="0.2">
      <c r="B298" s="68"/>
      <c r="C298" s="69"/>
      <c r="D298" s="70"/>
      <c r="F298" s="68"/>
      <c r="G298" s="69"/>
      <c r="H298" s="70"/>
      <c r="J298" s="71"/>
      <c r="K298" s="71"/>
      <c r="L298" s="67"/>
      <c r="N298" s="71"/>
      <c r="O298" s="71"/>
      <c r="P298" s="67"/>
      <c r="R298" s="67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6"/>
      <c r="BY298" s="6"/>
      <c r="BZ298" s="6"/>
      <c r="CA298" s="6"/>
      <c r="CB298" s="6"/>
      <c r="CC298" s="6"/>
      <c r="CD298" s="6"/>
      <c r="CE298" s="6"/>
      <c r="CF298" s="6"/>
      <c r="CG298" s="6"/>
      <c r="CH298" s="6"/>
      <c r="CI298" s="6"/>
      <c r="CJ298" s="6"/>
      <c r="CK298" s="6"/>
      <c r="CL298" s="6"/>
      <c r="CM298" s="6"/>
      <c r="CN298" s="6"/>
      <c r="CO298" s="6"/>
      <c r="CP298" s="6"/>
      <c r="CQ298" s="6"/>
      <c r="CR298" s="6"/>
      <c r="CS298" s="6"/>
      <c r="CT298" s="6"/>
      <c r="CU298" s="6"/>
      <c r="CV298" s="6"/>
      <c r="CW298" s="6"/>
      <c r="CX298" s="6"/>
      <c r="CY298" s="6"/>
      <c r="CZ298" s="6"/>
      <c r="DA298" s="6"/>
      <c r="DB298" s="6"/>
      <c r="DC298" s="6"/>
      <c r="DD298" s="6"/>
      <c r="DE298" s="6"/>
      <c r="DF298" s="6"/>
      <c r="DG298" s="6"/>
      <c r="DH298" s="6"/>
      <c r="DI298" s="6"/>
      <c r="DJ298" s="6"/>
    </row>
    <row r="299" spans="2:114" x14ac:dyDescent="0.2">
      <c r="B299" s="68"/>
      <c r="C299" s="69"/>
      <c r="D299" s="70"/>
      <c r="F299" s="68"/>
      <c r="G299" s="69"/>
      <c r="H299" s="70"/>
      <c r="J299" s="71"/>
      <c r="K299" s="71"/>
      <c r="L299" s="67"/>
      <c r="N299" s="71"/>
      <c r="O299" s="71"/>
      <c r="P299" s="67"/>
      <c r="R299" s="67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6"/>
      <c r="BY299" s="6"/>
      <c r="BZ299" s="6"/>
      <c r="CA299" s="6"/>
      <c r="CB299" s="6"/>
      <c r="CC299" s="6"/>
      <c r="CD299" s="6"/>
      <c r="CE299" s="6"/>
      <c r="CF299" s="6"/>
      <c r="CG299" s="6"/>
      <c r="CH299" s="6"/>
      <c r="CI299" s="6"/>
      <c r="CJ299" s="6"/>
      <c r="CK299" s="6"/>
      <c r="CL299" s="6"/>
      <c r="CM299" s="6"/>
      <c r="CN299" s="6"/>
      <c r="CO299" s="6"/>
      <c r="CP299" s="6"/>
      <c r="CQ299" s="6"/>
      <c r="CR299" s="6"/>
      <c r="CS299" s="6"/>
      <c r="CT299" s="6"/>
      <c r="CU299" s="6"/>
      <c r="CV299" s="6"/>
      <c r="CW299" s="6"/>
      <c r="CX299" s="6"/>
      <c r="CY299" s="6"/>
      <c r="CZ299" s="6"/>
      <c r="DA299" s="6"/>
      <c r="DB299" s="6"/>
      <c r="DC299" s="6"/>
      <c r="DD299" s="6"/>
      <c r="DE299" s="6"/>
      <c r="DF299" s="6"/>
      <c r="DG299" s="6"/>
      <c r="DH299" s="6"/>
      <c r="DI299" s="6"/>
      <c r="DJ299" s="6"/>
    </row>
    <row r="300" spans="2:114" x14ac:dyDescent="0.2">
      <c r="B300" s="68"/>
      <c r="C300" s="69"/>
      <c r="D300" s="70"/>
      <c r="F300" s="68"/>
      <c r="G300" s="69"/>
      <c r="H300" s="70"/>
      <c r="J300" s="71"/>
      <c r="K300" s="71"/>
      <c r="L300" s="67"/>
      <c r="N300" s="71"/>
      <c r="O300" s="71"/>
      <c r="P300" s="67"/>
      <c r="R300" s="67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6"/>
      <c r="BY300" s="6"/>
      <c r="BZ300" s="6"/>
      <c r="CA300" s="6"/>
      <c r="CB300" s="6"/>
      <c r="CC300" s="6"/>
      <c r="CD300" s="6"/>
      <c r="CE300" s="6"/>
      <c r="CF300" s="6"/>
      <c r="CG300" s="6"/>
      <c r="CH300" s="6"/>
      <c r="CI300" s="6"/>
      <c r="CJ300" s="6"/>
      <c r="CK300" s="6"/>
      <c r="CL300" s="6"/>
      <c r="CM300" s="6"/>
      <c r="CN300" s="6"/>
      <c r="CO300" s="6"/>
      <c r="CP300" s="6"/>
      <c r="CQ300" s="6"/>
      <c r="CR300" s="6"/>
      <c r="CS300" s="6"/>
      <c r="CT300" s="6"/>
      <c r="CU300" s="6"/>
      <c r="CV300" s="6"/>
      <c r="CW300" s="6"/>
      <c r="CX300" s="6"/>
      <c r="CY300" s="6"/>
      <c r="CZ300" s="6"/>
      <c r="DA300" s="6"/>
      <c r="DB300" s="6"/>
      <c r="DC300" s="6"/>
      <c r="DD300" s="6"/>
      <c r="DE300" s="6"/>
      <c r="DF300" s="6"/>
      <c r="DG300" s="6"/>
      <c r="DH300" s="6"/>
      <c r="DI300" s="6"/>
      <c r="DJ300" s="6"/>
    </row>
    <row r="301" spans="2:114" x14ac:dyDescent="0.2">
      <c r="B301" s="68"/>
      <c r="C301" s="69"/>
      <c r="D301" s="70"/>
      <c r="F301" s="68"/>
      <c r="G301" s="69"/>
      <c r="H301" s="70"/>
      <c r="J301" s="71"/>
      <c r="K301" s="71"/>
      <c r="L301" s="67"/>
      <c r="N301" s="71"/>
      <c r="O301" s="71"/>
      <c r="P301" s="67"/>
      <c r="R301" s="67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6"/>
      <c r="BY301" s="6"/>
      <c r="BZ301" s="6"/>
      <c r="CA301" s="6"/>
      <c r="CB301" s="6"/>
      <c r="CC301" s="6"/>
      <c r="CD301" s="6"/>
      <c r="CE301" s="6"/>
      <c r="CF301" s="6"/>
      <c r="CG301" s="6"/>
      <c r="CH301" s="6"/>
      <c r="CI301" s="6"/>
      <c r="CJ301" s="6"/>
      <c r="CK301" s="6"/>
      <c r="CL301" s="6"/>
      <c r="CM301" s="6"/>
      <c r="CN301" s="6"/>
      <c r="CO301" s="6"/>
      <c r="CP301" s="6"/>
      <c r="CQ301" s="6"/>
      <c r="CR301" s="6"/>
      <c r="CS301" s="6"/>
      <c r="CT301" s="6"/>
      <c r="CU301" s="6"/>
      <c r="CV301" s="6"/>
      <c r="CW301" s="6"/>
      <c r="CX301" s="6"/>
      <c r="CY301" s="6"/>
      <c r="CZ301" s="6"/>
      <c r="DA301" s="6"/>
      <c r="DB301" s="6"/>
      <c r="DC301" s="6"/>
      <c r="DD301" s="6"/>
      <c r="DE301" s="6"/>
      <c r="DF301" s="6"/>
      <c r="DG301" s="6"/>
      <c r="DH301" s="6"/>
      <c r="DI301" s="6"/>
      <c r="DJ301" s="6"/>
    </row>
    <row r="302" spans="2:114" x14ac:dyDescent="0.2">
      <c r="B302" s="68"/>
      <c r="C302" s="69"/>
      <c r="D302" s="70"/>
      <c r="F302" s="68"/>
      <c r="G302" s="69"/>
      <c r="H302" s="70"/>
      <c r="J302" s="71"/>
      <c r="K302" s="71"/>
      <c r="L302" s="67"/>
      <c r="N302" s="71"/>
      <c r="O302" s="71"/>
      <c r="P302" s="67"/>
      <c r="R302" s="67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6"/>
      <c r="BY302" s="6"/>
      <c r="BZ302" s="6"/>
      <c r="CA302" s="6"/>
      <c r="CB302" s="6"/>
      <c r="CC302" s="6"/>
      <c r="CD302" s="6"/>
      <c r="CE302" s="6"/>
      <c r="CF302" s="6"/>
      <c r="CG302" s="6"/>
      <c r="CH302" s="6"/>
      <c r="CI302" s="6"/>
      <c r="CJ302" s="6"/>
      <c r="CK302" s="6"/>
      <c r="CL302" s="6"/>
      <c r="CM302" s="6"/>
      <c r="CN302" s="6"/>
      <c r="CO302" s="6"/>
      <c r="CP302" s="6"/>
      <c r="CQ302" s="6"/>
      <c r="CR302" s="6"/>
      <c r="CS302" s="6"/>
      <c r="CT302" s="6"/>
      <c r="CU302" s="6"/>
      <c r="CV302" s="6"/>
      <c r="CW302" s="6"/>
      <c r="CX302" s="6"/>
      <c r="CY302" s="6"/>
      <c r="CZ302" s="6"/>
      <c r="DA302" s="6"/>
      <c r="DB302" s="6"/>
      <c r="DC302" s="6"/>
      <c r="DD302" s="6"/>
      <c r="DE302" s="6"/>
      <c r="DF302" s="6"/>
      <c r="DG302" s="6"/>
      <c r="DH302" s="6"/>
      <c r="DI302" s="6"/>
      <c r="DJ302" s="6"/>
    </row>
    <row r="303" spans="2:114" x14ac:dyDescent="0.2">
      <c r="B303" s="68"/>
      <c r="C303" s="69"/>
      <c r="D303" s="70"/>
      <c r="F303" s="68"/>
      <c r="G303" s="69"/>
      <c r="H303" s="70"/>
      <c r="J303" s="71"/>
      <c r="K303" s="71"/>
      <c r="L303" s="67"/>
      <c r="N303" s="71"/>
      <c r="O303" s="71"/>
      <c r="P303" s="67"/>
      <c r="R303" s="67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6"/>
      <c r="BY303" s="6"/>
      <c r="BZ303" s="6"/>
      <c r="CA303" s="6"/>
      <c r="CB303" s="6"/>
      <c r="CC303" s="6"/>
      <c r="CD303" s="6"/>
      <c r="CE303" s="6"/>
      <c r="CF303" s="6"/>
      <c r="CG303" s="6"/>
      <c r="CH303" s="6"/>
      <c r="CI303" s="6"/>
      <c r="CJ303" s="6"/>
      <c r="CK303" s="6"/>
      <c r="CL303" s="6"/>
      <c r="CM303" s="6"/>
      <c r="CN303" s="6"/>
      <c r="CO303" s="6"/>
      <c r="CP303" s="6"/>
      <c r="CQ303" s="6"/>
      <c r="CR303" s="6"/>
      <c r="CS303" s="6"/>
      <c r="CT303" s="6"/>
      <c r="CU303" s="6"/>
      <c r="CV303" s="6"/>
      <c r="CW303" s="6"/>
      <c r="CX303" s="6"/>
      <c r="CY303" s="6"/>
      <c r="CZ303" s="6"/>
      <c r="DA303" s="6"/>
      <c r="DB303" s="6"/>
      <c r="DC303" s="6"/>
      <c r="DD303" s="6"/>
      <c r="DE303" s="6"/>
      <c r="DF303" s="6"/>
      <c r="DG303" s="6"/>
      <c r="DH303" s="6"/>
      <c r="DI303" s="6"/>
      <c r="DJ303" s="6"/>
    </row>
    <row r="304" spans="2:114" x14ac:dyDescent="0.2">
      <c r="B304" s="68"/>
      <c r="C304" s="69"/>
      <c r="D304" s="70"/>
      <c r="F304" s="68"/>
      <c r="G304" s="69"/>
      <c r="H304" s="70"/>
      <c r="J304" s="71"/>
      <c r="K304" s="71"/>
      <c r="L304" s="67"/>
      <c r="N304" s="71"/>
      <c r="O304" s="71"/>
      <c r="P304" s="67"/>
      <c r="R304" s="67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6"/>
      <c r="BY304" s="6"/>
      <c r="BZ304" s="6"/>
      <c r="CA304" s="6"/>
      <c r="CB304" s="6"/>
      <c r="CC304" s="6"/>
      <c r="CD304" s="6"/>
      <c r="CE304" s="6"/>
      <c r="CF304" s="6"/>
      <c r="CG304" s="6"/>
      <c r="CH304" s="6"/>
      <c r="CI304" s="6"/>
      <c r="CJ304" s="6"/>
      <c r="CK304" s="6"/>
      <c r="CL304" s="6"/>
      <c r="CM304" s="6"/>
      <c r="CN304" s="6"/>
      <c r="CO304" s="6"/>
      <c r="CP304" s="6"/>
      <c r="CQ304" s="6"/>
      <c r="CR304" s="6"/>
      <c r="CS304" s="6"/>
      <c r="CT304" s="6"/>
      <c r="CU304" s="6"/>
      <c r="CV304" s="6"/>
      <c r="CW304" s="6"/>
      <c r="CX304" s="6"/>
      <c r="CY304" s="6"/>
      <c r="CZ304" s="6"/>
      <c r="DA304" s="6"/>
      <c r="DB304" s="6"/>
      <c r="DC304" s="6"/>
      <c r="DD304" s="6"/>
      <c r="DE304" s="6"/>
      <c r="DF304" s="6"/>
      <c r="DG304" s="6"/>
      <c r="DH304" s="6"/>
      <c r="DI304" s="6"/>
      <c r="DJ304" s="6"/>
    </row>
    <row r="305" spans="2:114" x14ac:dyDescent="0.2">
      <c r="B305" s="68"/>
      <c r="C305" s="69"/>
      <c r="D305" s="70"/>
      <c r="F305" s="68"/>
      <c r="G305" s="69"/>
      <c r="H305" s="70"/>
      <c r="J305" s="71"/>
      <c r="K305" s="71"/>
      <c r="L305" s="67"/>
      <c r="N305" s="71"/>
      <c r="O305" s="71"/>
      <c r="P305" s="67"/>
      <c r="R305" s="67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6"/>
      <c r="BY305" s="6"/>
      <c r="BZ305" s="6"/>
      <c r="CA305" s="6"/>
      <c r="CB305" s="6"/>
      <c r="CC305" s="6"/>
      <c r="CD305" s="6"/>
      <c r="CE305" s="6"/>
      <c r="CF305" s="6"/>
      <c r="CG305" s="6"/>
      <c r="CH305" s="6"/>
      <c r="CI305" s="6"/>
      <c r="CJ305" s="6"/>
      <c r="CK305" s="6"/>
      <c r="CL305" s="6"/>
      <c r="CM305" s="6"/>
      <c r="CN305" s="6"/>
      <c r="CO305" s="6"/>
      <c r="CP305" s="6"/>
      <c r="CQ305" s="6"/>
      <c r="CR305" s="6"/>
      <c r="CS305" s="6"/>
      <c r="CT305" s="6"/>
      <c r="CU305" s="6"/>
      <c r="CV305" s="6"/>
      <c r="CW305" s="6"/>
      <c r="CX305" s="6"/>
      <c r="CY305" s="6"/>
      <c r="CZ305" s="6"/>
      <c r="DA305" s="6"/>
      <c r="DB305" s="6"/>
      <c r="DC305" s="6"/>
      <c r="DD305" s="6"/>
      <c r="DE305" s="6"/>
      <c r="DF305" s="6"/>
      <c r="DG305" s="6"/>
      <c r="DH305" s="6"/>
      <c r="DI305" s="6"/>
      <c r="DJ305" s="6"/>
    </row>
    <row r="306" spans="2:114" x14ac:dyDescent="0.2">
      <c r="B306" s="68"/>
      <c r="C306" s="69"/>
      <c r="D306" s="70"/>
      <c r="F306" s="68"/>
      <c r="G306" s="69"/>
      <c r="H306" s="70"/>
      <c r="J306" s="71"/>
      <c r="K306" s="71"/>
      <c r="L306" s="67"/>
      <c r="N306" s="71"/>
      <c r="O306" s="71"/>
      <c r="P306" s="67"/>
      <c r="R306" s="67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6"/>
      <c r="BY306" s="6"/>
      <c r="BZ306" s="6"/>
      <c r="CA306" s="6"/>
      <c r="CB306" s="6"/>
      <c r="CC306" s="6"/>
      <c r="CD306" s="6"/>
      <c r="CE306" s="6"/>
      <c r="CF306" s="6"/>
      <c r="CG306" s="6"/>
      <c r="CH306" s="6"/>
      <c r="CI306" s="6"/>
      <c r="CJ306" s="6"/>
      <c r="CK306" s="6"/>
      <c r="CL306" s="6"/>
      <c r="CM306" s="6"/>
      <c r="CN306" s="6"/>
      <c r="CO306" s="6"/>
      <c r="CP306" s="6"/>
      <c r="CQ306" s="6"/>
      <c r="CR306" s="6"/>
      <c r="CS306" s="6"/>
      <c r="CT306" s="6"/>
      <c r="CU306" s="6"/>
      <c r="CV306" s="6"/>
      <c r="CW306" s="6"/>
      <c r="CX306" s="6"/>
      <c r="CY306" s="6"/>
      <c r="CZ306" s="6"/>
      <c r="DA306" s="6"/>
      <c r="DB306" s="6"/>
      <c r="DC306" s="6"/>
      <c r="DD306" s="6"/>
      <c r="DE306" s="6"/>
      <c r="DF306" s="6"/>
      <c r="DG306" s="6"/>
      <c r="DH306" s="6"/>
      <c r="DI306" s="6"/>
      <c r="DJ306" s="6"/>
    </row>
    <row r="307" spans="2:114" x14ac:dyDescent="0.2">
      <c r="B307" s="68"/>
      <c r="C307" s="69"/>
      <c r="D307" s="70"/>
      <c r="F307" s="68"/>
      <c r="G307" s="69"/>
      <c r="H307" s="70"/>
      <c r="J307" s="71"/>
      <c r="K307" s="71"/>
      <c r="L307" s="67"/>
      <c r="N307" s="71"/>
      <c r="O307" s="71"/>
      <c r="P307" s="67"/>
      <c r="R307" s="67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6"/>
      <c r="BY307" s="6"/>
      <c r="BZ307" s="6"/>
      <c r="CA307" s="6"/>
      <c r="CB307" s="6"/>
      <c r="CC307" s="6"/>
      <c r="CD307" s="6"/>
      <c r="CE307" s="6"/>
      <c r="CF307" s="6"/>
      <c r="CG307" s="6"/>
      <c r="CH307" s="6"/>
      <c r="CI307" s="6"/>
      <c r="CJ307" s="6"/>
      <c r="CK307" s="6"/>
      <c r="CL307" s="6"/>
      <c r="CM307" s="6"/>
      <c r="CN307" s="6"/>
      <c r="CO307" s="6"/>
      <c r="CP307" s="6"/>
      <c r="CQ307" s="6"/>
      <c r="CR307" s="6"/>
      <c r="CS307" s="6"/>
      <c r="CT307" s="6"/>
      <c r="CU307" s="6"/>
      <c r="CV307" s="6"/>
      <c r="CW307" s="6"/>
      <c r="CX307" s="6"/>
      <c r="CY307" s="6"/>
      <c r="CZ307" s="6"/>
      <c r="DA307" s="6"/>
      <c r="DB307" s="6"/>
      <c r="DC307" s="6"/>
      <c r="DD307" s="6"/>
      <c r="DE307" s="6"/>
      <c r="DF307" s="6"/>
      <c r="DG307" s="6"/>
      <c r="DH307" s="6"/>
      <c r="DI307" s="6"/>
      <c r="DJ307" s="6"/>
    </row>
    <row r="308" spans="2:114" x14ac:dyDescent="0.2">
      <c r="B308" s="68"/>
      <c r="C308" s="69"/>
      <c r="D308" s="70"/>
      <c r="F308" s="68"/>
      <c r="G308" s="69"/>
      <c r="H308" s="70"/>
      <c r="J308" s="71"/>
      <c r="K308" s="71"/>
      <c r="L308" s="67"/>
      <c r="N308" s="71"/>
      <c r="O308" s="71"/>
      <c r="P308" s="67"/>
      <c r="R308" s="67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6"/>
      <c r="BY308" s="6"/>
      <c r="BZ308" s="6"/>
      <c r="CA308" s="6"/>
      <c r="CB308" s="6"/>
      <c r="CC308" s="6"/>
      <c r="CD308" s="6"/>
      <c r="CE308" s="6"/>
      <c r="CF308" s="6"/>
      <c r="CG308" s="6"/>
      <c r="CH308" s="6"/>
      <c r="CI308" s="6"/>
      <c r="CJ308" s="6"/>
      <c r="CK308" s="6"/>
      <c r="CL308" s="6"/>
      <c r="CM308" s="6"/>
      <c r="CN308" s="6"/>
      <c r="CO308" s="6"/>
      <c r="CP308" s="6"/>
      <c r="CQ308" s="6"/>
      <c r="CR308" s="6"/>
      <c r="CS308" s="6"/>
      <c r="CT308" s="6"/>
      <c r="CU308" s="6"/>
      <c r="CV308" s="6"/>
      <c r="CW308" s="6"/>
      <c r="CX308" s="6"/>
      <c r="CY308" s="6"/>
      <c r="CZ308" s="6"/>
      <c r="DA308" s="6"/>
      <c r="DB308" s="6"/>
      <c r="DC308" s="6"/>
      <c r="DD308" s="6"/>
      <c r="DE308" s="6"/>
      <c r="DF308" s="6"/>
      <c r="DG308" s="6"/>
      <c r="DH308" s="6"/>
      <c r="DI308" s="6"/>
      <c r="DJ308" s="6"/>
    </row>
    <row r="309" spans="2:114" x14ac:dyDescent="0.2">
      <c r="B309" s="68"/>
      <c r="C309" s="69"/>
      <c r="D309" s="70"/>
      <c r="F309" s="68"/>
      <c r="G309" s="69"/>
      <c r="H309" s="70"/>
      <c r="J309" s="71"/>
      <c r="K309" s="71"/>
      <c r="L309" s="67"/>
      <c r="N309" s="71"/>
      <c r="O309" s="71"/>
      <c r="P309" s="67"/>
      <c r="R309" s="67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6"/>
      <c r="BY309" s="6"/>
      <c r="BZ309" s="6"/>
      <c r="CA309" s="6"/>
      <c r="CB309" s="6"/>
      <c r="CC309" s="6"/>
      <c r="CD309" s="6"/>
      <c r="CE309" s="6"/>
      <c r="CF309" s="6"/>
      <c r="CG309" s="6"/>
      <c r="CH309" s="6"/>
      <c r="CI309" s="6"/>
      <c r="CJ309" s="6"/>
      <c r="CK309" s="6"/>
      <c r="CL309" s="6"/>
      <c r="CM309" s="6"/>
      <c r="CN309" s="6"/>
      <c r="CO309" s="6"/>
      <c r="CP309" s="6"/>
      <c r="CQ309" s="6"/>
      <c r="CR309" s="6"/>
      <c r="CS309" s="6"/>
      <c r="CT309" s="6"/>
      <c r="CU309" s="6"/>
      <c r="CV309" s="6"/>
      <c r="CW309" s="6"/>
      <c r="CX309" s="6"/>
      <c r="CY309" s="6"/>
      <c r="CZ309" s="6"/>
      <c r="DA309" s="6"/>
      <c r="DB309" s="6"/>
      <c r="DC309" s="6"/>
      <c r="DD309" s="6"/>
      <c r="DE309" s="6"/>
      <c r="DF309" s="6"/>
      <c r="DG309" s="6"/>
      <c r="DH309" s="6"/>
      <c r="DI309" s="6"/>
      <c r="DJ309" s="6"/>
    </row>
    <row r="310" spans="2:114" x14ac:dyDescent="0.2">
      <c r="B310" s="68"/>
      <c r="C310" s="69"/>
      <c r="D310" s="70"/>
      <c r="F310" s="68"/>
      <c r="G310" s="69"/>
      <c r="H310" s="70"/>
      <c r="J310" s="71"/>
      <c r="K310" s="71"/>
      <c r="L310" s="67"/>
      <c r="N310" s="71"/>
      <c r="O310" s="71"/>
      <c r="P310" s="67"/>
      <c r="R310" s="67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6"/>
      <c r="BY310" s="6"/>
      <c r="BZ310" s="6"/>
      <c r="CA310" s="6"/>
      <c r="CB310" s="6"/>
      <c r="CC310" s="6"/>
      <c r="CD310" s="6"/>
      <c r="CE310" s="6"/>
      <c r="CF310" s="6"/>
      <c r="CG310" s="6"/>
      <c r="CH310" s="6"/>
      <c r="CI310" s="6"/>
      <c r="CJ310" s="6"/>
      <c r="CK310" s="6"/>
      <c r="CL310" s="6"/>
      <c r="CM310" s="6"/>
      <c r="CN310" s="6"/>
      <c r="CO310" s="6"/>
      <c r="CP310" s="6"/>
      <c r="CQ310" s="6"/>
      <c r="CR310" s="6"/>
      <c r="CS310" s="6"/>
      <c r="CT310" s="6"/>
      <c r="CU310" s="6"/>
      <c r="CV310" s="6"/>
      <c r="CW310" s="6"/>
      <c r="CX310" s="6"/>
      <c r="CY310" s="6"/>
      <c r="CZ310" s="6"/>
      <c r="DA310" s="6"/>
      <c r="DB310" s="6"/>
      <c r="DC310" s="6"/>
      <c r="DD310" s="6"/>
      <c r="DE310" s="6"/>
      <c r="DF310" s="6"/>
      <c r="DG310" s="6"/>
      <c r="DH310" s="6"/>
      <c r="DI310" s="6"/>
      <c r="DJ310" s="6"/>
    </row>
    <row r="311" spans="2:114" x14ac:dyDescent="0.2">
      <c r="B311" s="68"/>
      <c r="C311" s="69"/>
      <c r="D311" s="70"/>
      <c r="F311" s="68"/>
      <c r="G311" s="69"/>
      <c r="H311" s="70"/>
      <c r="J311" s="71"/>
      <c r="K311" s="71"/>
      <c r="L311" s="67"/>
      <c r="N311" s="71"/>
      <c r="O311" s="71"/>
      <c r="P311" s="67"/>
      <c r="R311" s="67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6"/>
      <c r="BY311" s="6"/>
      <c r="BZ311" s="6"/>
      <c r="CA311" s="6"/>
      <c r="CB311" s="6"/>
      <c r="CC311" s="6"/>
      <c r="CD311" s="6"/>
      <c r="CE311" s="6"/>
      <c r="CF311" s="6"/>
      <c r="CG311" s="6"/>
      <c r="CH311" s="6"/>
      <c r="CI311" s="6"/>
      <c r="CJ311" s="6"/>
      <c r="CK311" s="6"/>
      <c r="CL311" s="6"/>
      <c r="CM311" s="6"/>
      <c r="CN311" s="6"/>
      <c r="CO311" s="6"/>
      <c r="CP311" s="6"/>
      <c r="CQ311" s="6"/>
      <c r="CR311" s="6"/>
      <c r="CS311" s="6"/>
      <c r="CT311" s="6"/>
      <c r="CU311" s="6"/>
      <c r="CV311" s="6"/>
      <c r="CW311" s="6"/>
      <c r="CX311" s="6"/>
      <c r="CY311" s="6"/>
      <c r="CZ311" s="6"/>
      <c r="DA311" s="6"/>
      <c r="DB311" s="6"/>
      <c r="DC311" s="6"/>
      <c r="DD311" s="6"/>
      <c r="DE311" s="6"/>
      <c r="DF311" s="6"/>
      <c r="DG311" s="6"/>
      <c r="DH311" s="6"/>
      <c r="DI311" s="6"/>
      <c r="DJ311" s="6"/>
    </row>
    <row r="312" spans="2:114" x14ac:dyDescent="0.2">
      <c r="B312" s="68"/>
      <c r="C312" s="69"/>
      <c r="D312" s="70"/>
      <c r="F312" s="68"/>
      <c r="G312" s="69"/>
      <c r="H312" s="70"/>
      <c r="J312" s="71"/>
      <c r="K312" s="71"/>
      <c r="L312" s="67"/>
      <c r="N312" s="71"/>
      <c r="O312" s="71"/>
      <c r="P312" s="67"/>
      <c r="R312" s="67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6"/>
      <c r="BY312" s="6"/>
      <c r="BZ312" s="6"/>
      <c r="CA312" s="6"/>
      <c r="CB312" s="6"/>
      <c r="CC312" s="6"/>
      <c r="CD312" s="6"/>
      <c r="CE312" s="6"/>
      <c r="CF312" s="6"/>
      <c r="CG312" s="6"/>
      <c r="CH312" s="6"/>
      <c r="CI312" s="6"/>
      <c r="CJ312" s="6"/>
      <c r="CK312" s="6"/>
      <c r="CL312" s="6"/>
      <c r="CM312" s="6"/>
      <c r="CN312" s="6"/>
      <c r="CO312" s="6"/>
      <c r="CP312" s="6"/>
      <c r="CQ312" s="6"/>
      <c r="CR312" s="6"/>
      <c r="CS312" s="6"/>
      <c r="CT312" s="6"/>
      <c r="CU312" s="6"/>
      <c r="CV312" s="6"/>
      <c r="CW312" s="6"/>
      <c r="CX312" s="6"/>
      <c r="CY312" s="6"/>
      <c r="CZ312" s="6"/>
      <c r="DA312" s="6"/>
      <c r="DB312" s="6"/>
      <c r="DC312" s="6"/>
      <c r="DD312" s="6"/>
      <c r="DE312" s="6"/>
      <c r="DF312" s="6"/>
      <c r="DG312" s="6"/>
      <c r="DH312" s="6"/>
      <c r="DI312" s="6"/>
      <c r="DJ312" s="6"/>
    </row>
    <row r="313" spans="2:114" x14ac:dyDescent="0.2">
      <c r="B313" s="68"/>
      <c r="C313" s="69"/>
      <c r="D313" s="70"/>
      <c r="F313" s="68"/>
      <c r="G313" s="69"/>
      <c r="H313" s="70"/>
      <c r="J313" s="71"/>
      <c r="K313" s="71"/>
      <c r="L313" s="67"/>
      <c r="N313" s="71"/>
      <c r="O313" s="71"/>
      <c r="P313" s="67"/>
      <c r="R313" s="67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6"/>
      <c r="BY313" s="6"/>
      <c r="BZ313" s="6"/>
      <c r="CA313" s="6"/>
      <c r="CB313" s="6"/>
      <c r="CC313" s="6"/>
      <c r="CD313" s="6"/>
      <c r="CE313" s="6"/>
      <c r="CF313" s="6"/>
      <c r="CG313" s="6"/>
      <c r="CH313" s="6"/>
      <c r="CI313" s="6"/>
      <c r="CJ313" s="6"/>
      <c r="CK313" s="6"/>
      <c r="CL313" s="6"/>
      <c r="CM313" s="6"/>
      <c r="CN313" s="6"/>
      <c r="CO313" s="6"/>
      <c r="CP313" s="6"/>
      <c r="CQ313" s="6"/>
      <c r="CR313" s="6"/>
      <c r="CS313" s="6"/>
      <c r="CT313" s="6"/>
      <c r="CU313" s="6"/>
      <c r="CV313" s="6"/>
      <c r="CW313" s="6"/>
      <c r="CX313" s="6"/>
      <c r="CY313" s="6"/>
      <c r="CZ313" s="6"/>
      <c r="DA313" s="6"/>
      <c r="DB313" s="6"/>
      <c r="DC313" s="6"/>
      <c r="DD313" s="6"/>
      <c r="DE313" s="6"/>
      <c r="DF313" s="6"/>
      <c r="DG313" s="6"/>
      <c r="DH313" s="6"/>
      <c r="DI313" s="6"/>
      <c r="DJ313" s="6"/>
    </row>
    <row r="314" spans="2:114" x14ac:dyDescent="0.2">
      <c r="B314" s="68"/>
      <c r="C314" s="69"/>
      <c r="D314" s="70"/>
      <c r="F314" s="68"/>
      <c r="G314" s="69"/>
      <c r="H314" s="70"/>
      <c r="J314" s="71"/>
      <c r="K314" s="71"/>
      <c r="L314" s="67"/>
      <c r="N314" s="71"/>
      <c r="O314" s="71"/>
      <c r="P314" s="67"/>
      <c r="R314" s="67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6"/>
      <c r="BY314" s="6"/>
      <c r="BZ314" s="6"/>
      <c r="CA314" s="6"/>
      <c r="CB314" s="6"/>
      <c r="CC314" s="6"/>
      <c r="CD314" s="6"/>
      <c r="CE314" s="6"/>
      <c r="CF314" s="6"/>
      <c r="CG314" s="6"/>
      <c r="CH314" s="6"/>
      <c r="CI314" s="6"/>
      <c r="CJ314" s="6"/>
      <c r="CK314" s="6"/>
      <c r="CL314" s="6"/>
      <c r="CM314" s="6"/>
      <c r="CN314" s="6"/>
      <c r="CO314" s="6"/>
      <c r="CP314" s="6"/>
      <c r="CQ314" s="6"/>
      <c r="CR314" s="6"/>
      <c r="CS314" s="6"/>
      <c r="CT314" s="6"/>
      <c r="CU314" s="6"/>
      <c r="CV314" s="6"/>
      <c r="CW314" s="6"/>
      <c r="CX314" s="6"/>
      <c r="CY314" s="6"/>
      <c r="CZ314" s="6"/>
      <c r="DA314" s="6"/>
      <c r="DB314" s="6"/>
      <c r="DC314" s="6"/>
      <c r="DD314" s="6"/>
      <c r="DE314" s="6"/>
      <c r="DF314" s="6"/>
      <c r="DG314" s="6"/>
      <c r="DH314" s="6"/>
      <c r="DI314" s="6"/>
      <c r="DJ314" s="6"/>
    </row>
    <row r="315" spans="2:114" x14ac:dyDescent="0.2">
      <c r="B315" s="68"/>
      <c r="C315" s="69"/>
      <c r="D315" s="70"/>
      <c r="F315" s="68"/>
      <c r="G315" s="69"/>
      <c r="H315" s="70"/>
      <c r="J315" s="71"/>
      <c r="K315" s="71"/>
      <c r="L315" s="67"/>
      <c r="N315" s="71"/>
      <c r="O315" s="71"/>
      <c r="P315" s="67"/>
      <c r="R315" s="67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6"/>
      <c r="BY315" s="6"/>
      <c r="BZ315" s="6"/>
      <c r="CA315" s="6"/>
      <c r="CB315" s="6"/>
      <c r="CC315" s="6"/>
      <c r="CD315" s="6"/>
      <c r="CE315" s="6"/>
      <c r="CF315" s="6"/>
      <c r="CG315" s="6"/>
      <c r="CH315" s="6"/>
      <c r="CI315" s="6"/>
      <c r="CJ315" s="6"/>
      <c r="CK315" s="6"/>
      <c r="CL315" s="6"/>
      <c r="CM315" s="6"/>
      <c r="CN315" s="6"/>
      <c r="CO315" s="6"/>
      <c r="CP315" s="6"/>
      <c r="CQ315" s="6"/>
      <c r="CR315" s="6"/>
      <c r="CS315" s="6"/>
      <c r="CT315" s="6"/>
      <c r="CU315" s="6"/>
      <c r="CV315" s="6"/>
      <c r="CW315" s="6"/>
      <c r="CX315" s="6"/>
      <c r="CY315" s="6"/>
      <c r="CZ315" s="6"/>
      <c r="DA315" s="6"/>
      <c r="DB315" s="6"/>
      <c r="DC315" s="6"/>
      <c r="DD315" s="6"/>
      <c r="DE315" s="6"/>
      <c r="DF315" s="6"/>
      <c r="DG315" s="6"/>
      <c r="DH315" s="6"/>
      <c r="DI315" s="6"/>
      <c r="DJ315" s="6"/>
    </row>
    <row r="316" spans="2:114" x14ac:dyDescent="0.2">
      <c r="B316" s="68"/>
      <c r="C316" s="69"/>
      <c r="D316" s="70"/>
      <c r="F316" s="68"/>
      <c r="G316" s="69"/>
      <c r="H316" s="70"/>
      <c r="J316" s="71"/>
      <c r="K316" s="71"/>
      <c r="L316" s="67"/>
      <c r="N316" s="71"/>
      <c r="O316" s="71"/>
      <c r="P316" s="67"/>
      <c r="R316" s="67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6"/>
      <c r="BY316" s="6"/>
      <c r="BZ316" s="6"/>
      <c r="CA316" s="6"/>
      <c r="CB316" s="6"/>
      <c r="CC316" s="6"/>
      <c r="CD316" s="6"/>
      <c r="CE316" s="6"/>
      <c r="CF316" s="6"/>
      <c r="CG316" s="6"/>
      <c r="CH316" s="6"/>
      <c r="CI316" s="6"/>
      <c r="CJ316" s="6"/>
      <c r="CK316" s="6"/>
      <c r="CL316" s="6"/>
      <c r="CM316" s="6"/>
      <c r="CN316" s="6"/>
      <c r="CO316" s="6"/>
      <c r="CP316" s="6"/>
      <c r="CQ316" s="6"/>
      <c r="CR316" s="6"/>
      <c r="CS316" s="6"/>
      <c r="CT316" s="6"/>
      <c r="CU316" s="6"/>
      <c r="CV316" s="6"/>
      <c r="CW316" s="6"/>
      <c r="CX316" s="6"/>
      <c r="CY316" s="6"/>
      <c r="CZ316" s="6"/>
      <c r="DA316" s="6"/>
      <c r="DB316" s="6"/>
      <c r="DC316" s="6"/>
      <c r="DD316" s="6"/>
      <c r="DE316" s="6"/>
      <c r="DF316" s="6"/>
      <c r="DG316" s="6"/>
      <c r="DH316" s="6"/>
      <c r="DI316" s="6"/>
      <c r="DJ316" s="6"/>
    </row>
    <row r="317" spans="2:114" x14ac:dyDescent="0.2">
      <c r="B317" s="68"/>
      <c r="C317" s="69"/>
      <c r="D317" s="70"/>
      <c r="F317" s="68"/>
      <c r="G317" s="69"/>
      <c r="H317" s="70"/>
      <c r="J317" s="71"/>
      <c r="K317" s="71"/>
      <c r="L317" s="67"/>
      <c r="N317" s="71"/>
      <c r="O317" s="71"/>
      <c r="P317" s="67"/>
      <c r="R317" s="67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6"/>
      <c r="BY317" s="6"/>
      <c r="BZ317" s="6"/>
      <c r="CA317" s="6"/>
      <c r="CB317" s="6"/>
      <c r="CC317" s="6"/>
      <c r="CD317" s="6"/>
      <c r="CE317" s="6"/>
      <c r="CF317" s="6"/>
      <c r="CG317" s="6"/>
      <c r="CH317" s="6"/>
      <c r="CI317" s="6"/>
      <c r="CJ317" s="6"/>
      <c r="CK317" s="6"/>
      <c r="CL317" s="6"/>
      <c r="CM317" s="6"/>
      <c r="CN317" s="6"/>
      <c r="CO317" s="6"/>
      <c r="CP317" s="6"/>
      <c r="CQ317" s="6"/>
      <c r="CR317" s="6"/>
      <c r="CS317" s="6"/>
      <c r="CT317" s="6"/>
      <c r="CU317" s="6"/>
      <c r="CV317" s="6"/>
      <c r="CW317" s="6"/>
      <c r="CX317" s="6"/>
      <c r="CY317" s="6"/>
      <c r="CZ317" s="6"/>
      <c r="DA317" s="6"/>
      <c r="DB317" s="6"/>
      <c r="DC317" s="6"/>
      <c r="DD317" s="6"/>
      <c r="DE317" s="6"/>
      <c r="DF317" s="6"/>
      <c r="DG317" s="6"/>
      <c r="DH317" s="6"/>
      <c r="DI317" s="6"/>
      <c r="DJ317" s="6"/>
    </row>
    <row r="318" spans="2:114" x14ac:dyDescent="0.2">
      <c r="B318" s="68"/>
      <c r="C318" s="69"/>
      <c r="D318" s="70"/>
      <c r="F318" s="68"/>
      <c r="G318" s="69"/>
      <c r="H318" s="70"/>
      <c r="J318" s="71"/>
      <c r="K318" s="71"/>
      <c r="L318" s="67"/>
      <c r="N318" s="71"/>
      <c r="O318" s="71"/>
      <c r="P318" s="67"/>
      <c r="R318" s="67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6"/>
      <c r="BY318" s="6"/>
      <c r="BZ318" s="6"/>
      <c r="CA318" s="6"/>
      <c r="CB318" s="6"/>
      <c r="CC318" s="6"/>
      <c r="CD318" s="6"/>
      <c r="CE318" s="6"/>
      <c r="CF318" s="6"/>
      <c r="CG318" s="6"/>
      <c r="CH318" s="6"/>
      <c r="CI318" s="6"/>
      <c r="CJ318" s="6"/>
      <c r="CK318" s="6"/>
      <c r="CL318" s="6"/>
      <c r="CM318" s="6"/>
      <c r="CN318" s="6"/>
      <c r="CO318" s="6"/>
      <c r="CP318" s="6"/>
      <c r="CQ318" s="6"/>
      <c r="CR318" s="6"/>
      <c r="CS318" s="6"/>
      <c r="CT318" s="6"/>
      <c r="CU318" s="6"/>
      <c r="CV318" s="6"/>
      <c r="CW318" s="6"/>
      <c r="CX318" s="6"/>
      <c r="CY318" s="6"/>
      <c r="CZ318" s="6"/>
      <c r="DA318" s="6"/>
      <c r="DB318" s="6"/>
      <c r="DC318" s="6"/>
      <c r="DD318" s="6"/>
      <c r="DE318" s="6"/>
      <c r="DF318" s="6"/>
      <c r="DG318" s="6"/>
      <c r="DH318" s="6"/>
      <c r="DI318" s="6"/>
      <c r="DJ318" s="6"/>
    </row>
    <row r="319" spans="2:114" x14ac:dyDescent="0.2">
      <c r="B319" s="68"/>
      <c r="C319" s="69"/>
      <c r="D319" s="70"/>
      <c r="F319" s="68"/>
      <c r="G319" s="69"/>
      <c r="H319" s="70"/>
      <c r="J319" s="71"/>
      <c r="K319" s="71"/>
      <c r="L319" s="67"/>
      <c r="N319" s="71"/>
      <c r="O319" s="71"/>
      <c r="P319" s="67"/>
      <c r="R319" s="67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6"/>
      <c r="BY319" s="6"/>
      <c r="BZ319" s="6"/>
      <c r="CA319" s="6"/>
      <c r="CB319" s="6"/>
      <c r="CC319" s="6"/>
      <c r="CD319" s="6"/>
      <c r="CE319" s="6"/>
      <c r="CF319" s="6"/>
      <c r="CG319" s="6"/>
      <c r="CH319" s="6"/>
      <c r="CI319" s="6"/>
      <c r="CJ319" s="6"/>
      <c r="CK319" s="6"/>
      <c r="CL319" s="6"/>
      <c r="CM319" s="6"/>
      <c r="CN319" s="6"/>
      <c r="CO319" s="6"/>
      <c r="CP319" s="6"/>
      <c r="CQ319" s="6"/>
      <c r="CR319" s="6"/>
      <c r="CS319" s="6"/>
      <c r="CT319" s="6"/>
      <c r="CU319" s="6"/>
      <c r="CV319" s="6"/>
      <c r="CW319" s="6"/>
      <c r="CX319" s="6"/>
      <c r="CY319" s="6"/>
      <c r="CZ319" s="6"/>
      <c r="DA319" s="6"/>
      <c r="DB319" s="6"/>
      <c r="DC319" s="6"/>
      <c r="DD319" s="6"/>
      <c r="DE319" s="6"/>
      <c r="DF319" s="6"/>
      <c r="DG319" s="6"/>
      <c r="DH319" s="6"/>
      <c r="DI319" s="6"/>
      <c r="DJ319" s="6"/>
    </row>
    <row r="320" spans="2:114" x14ac:dyDescent="0.2">
      <c r="B320" s="68"/>
      <c r="C320" s="69"/>
      <c r="D320" s="70"/>
      <c r="F320" s="68"/>
      <c r="G320" s="69"/>
      <c r="H320" s="70"/>
      <c r="J320" s="71"/>
      <c r="K320" s="71"/>
      <c r="L320" s="67"/>
      <c r="N320" s="71"/>
      <c r="O320" s="71"/>
      <c r="P320" s="67"/>
      <c r="R320" s="67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6"/>
      <c r="BY320" s="6"/>
      <c r="BZ320" s="6"/>
      <c r="CA320" s="6"/>
      <c r="CB320" s="6"/>
      <c r="CC320" s="6"/>
      <c r="CD320" s="6"/>
      <c r="CE320" s="6"/>
      <c r="CF320" s="6"/>
      <c r="CG320" s="6"/>
      <c r="CH320" s="6"/>
      <c r="CI320" s="6"/>
      <c r="CJ320" s="6"/>
      <c r="CK320" s="6"/>
      <c r="CL320" s="6"/>
      <c r="CM320" s="6"/>
      <c r="CN320" s="6"/>
      <c r="CO320" s="6"/>
      <c r="CP320" s="6"/>
      <c r="CQ320" s="6"/>
      <c r="CR320" s="6"/>
      <c r="CS320" s="6"/>
      <c r="CT320" s="6"/>
      <c r="CU320" s="6"/>
      <c r="CV320" s="6"/>
      <c r="CW320" s="6"/>
      <c r="CX320" s="6"/>
      <c r="CY320" s="6"/>
      <c r="CZ320" s="6"/>
      <c r="DA320" s="6"/>
      <c r="DB320" s="6"/>
      <c r="DC320" s="6"/>
      <c r="DD320" s="6"/>
      <c r="DE320" s="6"/>
      <c r="DF320" s="6"/>
      <c r="DG320" s="6"/>
      <c r="DH320" s="6"/>
      <c r="DI320" s="6"/>
      <c r="DJ320" s="6"/>
    </row>
    <row r="321" spans="2:114" x14ac:dyDescent="0.2">
      <c r="B321" s="68"/>
      <c r="C321" s="69"/>
      <c r="D321" s="70"/>
      <c r="F321" s="68"/>
      <c r="G321" s="69"/>
      <c r="H321" s="70"/>
      <c r="J321" s="71"/>
      <c r="K321" s="71"/>
      <c r="L321" s="67"/>
      <c r="N321" s="71"/>
      <c r="O321" s="71"/>
      <c r="P321" s="67"/>
      <c r="R321" s="67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6"/>
      <c r="BY321" s="6"/>
      <c r="BZ321" s="6"/>
      <c r="CA321" s="6"/>
      <c r="CB321" s="6"/>
      <c r="CC321" s="6"/>
      <c r="CD321" s="6"/>
      <c r="CE321" s="6"/>
      <c r="CF321" s="6"/>
      <c r="CG321" s="6"/>
      <c r="CH321" s="6"/>
      <c r="CI321" s="6"/>
      <c r="CJ321" s="6"/>
      <c r="CK321" s="6"/>
      <c r="CL321" s="6"/>
      <c r="CM321" s="6"/>
      <c r="CN321" s="6"/>
      <c r="CO321" s="6"/>
      <c r="CP321" s="6"/>
      <c r="CQ321" s="6"/>
      <c r="CR321" s="6"/>
      <c r="CS321" s="6"/>
      <c r="CT321" s="6"/>
      <c r="CU321" s="6"/>
      <c r="CV321" s="6"/>
      <c r="CW321" s="6"/>
      <c r="CX321" s="6"/>
      <c r="CY321" s="6"/>
      <c r="CZ321" s="6"/>
      <c r="DA321" s="6"/>
      <c r="DB321" s="6"/>
      <c r="DC321" s="6"/>
      <c r="DD321" s="6"/>
      <c r="DE321" s="6"/>
      <c r="DF321" s="6"/>
      <c r="DG321" s="6"/>
      <c r="DH321" s="6"/>
      <c r="DI321" s="6"/>
      <c r="DJ321" s="6"/>
    </row>
    <row r="322" spans="2:114" x14ac:dyDescent="0.2">
      <c r="B322" s="68"/>
      <c r="C322" s="69"/>
      <c r="D322" s="70"/>
      <c r="F322" s="68"/>
      <c r="G322" s="69"/>
      <c r="H322" s="70"/>
      <c r="J322" s="71"/>
      <c r="K322" s="71"/>
      <c r="L322" s="67"/>
      <c r="N322" s="71"/>
      <c r="O322" s="71"/>
      <c r="P322" s="67"/>
      <c r="R322" s="67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6"/>
      <c r="BY322" s="6"/>
      <c r="BZ322" s="6"/>
      <c r="CA322" s="6"/>
      <c r="CB322" s="6"/>
      <c r="CC322" s="6"/>
      <c r="CD322" s="6"/>
      <c r="CE322" s="6"/>
      <c r="CF322" s="6"/>
      <c r="CG322" s="6"/>
      <c r="CH322" s="6"/>
      <c r="CI322" s="6"/>
      <c r="CJ322" s="6"/>
      <c r="CK322" s="6"/>
      <c r="CL322" s="6"/>
      <c r="CM322" s="6"/>
      <c r="CN322" s="6"/>
      <c r="CO322" s="6"/>
      <c r="CP322" s="6"/>
      <c r="CQ322" s="6"/>
      <c r="CR322" s="6"/>
      <c r="CS322" s="6"/>
      <c r="CT322" s="6"/>
      <c r="CU322" s="6"/>
      <c r="CV322" s="6"/>
      <c r="CW322" s="6"/>
      <c r="CX322" s="6"/>
      <c r="CY322" s="6"/>
      <c r="CZ322" s="6"/>
      <c r="DA322" s="6"/>
      <c r="DB322" s="6"/>
      <c r="DC322" s="6"/>
      <c r="DD322" s="6"/>
      <c r="DE322" s="6"/>
      <c r="DF322" s="6"/>
      <c r="DG322" s="6"/>
      <c r="DH322" s="6"/>
      <c r="DI322" s="6"/>
      <c r="DJ322" s="6"/>
    </row>
    <row r="323" spans="2:114" x14ac:dyDescent="0.2">
      <c r="B323" s="68"/>
      <c r="C323" s="69"/>
      <c r="D323" s="70"/>
      <c r="F323" s="68"/>
      <c r="G323" s="69"/>
      <c r="H323" s="70"/>
      <c r="J323" s="71"/>
      <c r="K323" s="71"/>
      <c r="L323" s="67"/>
      <c r="N323" s="71"/>
      <c r="O323" s="71"/>
      <c r="P323" s="67"/>
      <c r="R323" s="67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6"/>
      <c r="BY323" s="6"/>
      <c r="BZ323" s="6"/>
      <c r="CA323" s="6"/>
      <c r="CB323" s="6"/>
      <c r="CC323" s="6"/>
      <c r="CD323" s="6"/>
      <c r="CE323" s="6"/>
      <c r="CF323" s="6"/>
      <c r="CG323" s="6"/>
      <c r="CH323" s="6"/>
      <c r="CI323" s="6"/>
      <c r="CJ323" s="6"/>
      <c r="CK323" s="6"/>
      <c r="CL323" s="6"/>
      <c r="CM323" s="6"/>
      <c r="CN323" s="6"/>
      <c r="CO323" s="6"/>
      <c r="CP323" s="6"/>
      <c r="CQ323" s="6"/>
      <c r="CR323" s="6"/>
      <c r="CS323" s="6"/>
      <c r="CT323" s="6"/>
      <c r="CU323" s="6"/>
      <c r="CV323" s="6"/>
      <c r="CW323" s="6"/>
      <c r="CX323" s="6"/>
      <c r="CY323" s="6"/>
      <c r="CZ323" s="6"/>
      <c r="DA323" s="6"/>
      <c r="DB323" s="6"/>
      <c r="DC323" s="6"/>
      <c r="DD323" s="6"/>
      <c r="DE323" s="6"/>
      <c r="DF323" s="6"/>
      <c r="DG323" s="6"/>
      <c r="DH323" s="6"/>
      <c r="DI323" s="6"/>
      <c r="DJ323" s="6"/>
    </row>
    <row r="324" spans="2:114" x14ac:dyDescent="0.2">
      <c r="B324" s="68"/>
      <c r="C324" s="69"/>
      <c r="D324" s="70"/>
      <c r="F324" s="68"/>
      <c r="G324" s="69"/>
      <c r="H324" s="70"/>
      <c r="J324" s="71"/>
      <c r="K324" s="71"/>
      <c r="L324" s="67"/>
      <c r="N324" s="71"/>
      <c r="O324" s="71"/>
      <c r="P324" s="67"/>
      <c r="R324" s="67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6"/>
      <c r="BY324" s="6"/>
      <c r="BZ324" s="6"/>
      <c r="CA324" s="6"/>
      <c r="CB324" s="6"/>
      <c r="CC324" s="6"/>
      <c r="CD324" s="6"/>
      <c r="CE324" s="6"/>
      <c r="CF324" s="6"/>
      <c r="CG324" s="6"/>
      <c r="CH324" s="6"/>
      <c r="CI324" s="6"/>
      <c r="CJ324" s="6"/>
      <c r="CK324" s="6"/>
      <c r="CL324" s="6"/>
      <c r="CM324" s="6"/>
      <c r="CN324" s="6"/>
      <c r="CO324" s="6"/>
      <c r="CP324" s="6"/>
      <c r="CQ324" s="6"/>
      <c r="CR324" s="6"/>
      <c r="CS324" s="6"/>
      <c r="CT324" s="6"/>
      <c r="CU324" s="6"/>
      <c r="CV324" s="6"/>
      <c r="CW324" s="6"/>
      <c r="CX324" s="6"/>
      <c r="CY324" s="6"/>
      <c r="CZ324" s="6"/>
      <c r="DA324" s="6"/>
      <c r="DB324" s="6"/>
      <c r="DC324" s="6"/>
      <c r="DD324" s="6"/>
      <c r="DE324" s="6"/>
      <c r="DF324" s="6"/>
      <c r="DG324" s="6"/>
      <c r="DH324" s="6"/>
      <c r="DI324" s="6"/>
      <c r="DJ324" s="6"/>
    </row>
    <row r="325" spans="2:114" x14ac:dyDescent="0.2">
      <c r="B325" s="68"/>
      <c r="C325" s="69"/>
      <c r="D325" s="70"/>
      <c r="F325" s="68"/>
      <c r="G325" s="69"/>
      <c r="H325" s="70"/>
      <c r="J325" s="71"/>
      <c r="K325" s="71"/>
      <c r="L325" s="67"/>
      <c r="N325" s="71"/>
      <c r="O325" s="71"/>
      <c r="P325" s="67"/>
      <c r="R325" s="67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6"/>
      <c r="BY325" s="6"/>
      <c r="BZ325" s="6"/>
      <c r="CA325" s="6"/>
      <c r="CB325" s="6"/>
      <c r="CC325" s="6"/>
      <c r="CD325" s="6"/>
      <c r="CE325" s="6"/>
      <c r="CF325" s="6"/>
      <c r="CG325" s="6"/>
      <c r="CH325" s="6"/>
      <c r="CI325" s="6"/>
      <c r="CJ325" s="6"/>
      <c r="CK325" s="6"/>
      <c r="CL325" s="6"/>
      <c r="CM325" s="6"/>
      <c r="CN325" s="6"/>
      <c r="CO325" s="6"/>
      <c r="CP325" s="6"/>
      <c r="CQ325" s="6"/>
      <c r="CR325" s="6"/>
      <c r="CS325" s="6"/>
      <c r="CT325" s="6"/>
      <c r="CU325" s="6"/>
      <c r="CV325" s="6"/>
      <c r="CW325" s="6"/>
      <c r="CX325" s="6"/>
      <c r="CY325" s="6"/>
      <c r="CZ325" s="6"/>
      <c r="DA325" s="6"/>
      <c r="DB325" s="6"/>
      <c r="DC325" s="6"/>
      <c r="DD325" s="6"/>
      <c r="DE325" s="6"/>
      <c r="DF325" s="6"/>
      <c r="DG325" s="6"/>
      <c r="DH325" s="6"/>
      <c r="DI325" s="6"/>
      <c r="DJ325" s="6"/>
    </row>
    <row r="326" spans="2:114" x14ac:dyDescent="0.2">
      <c r="B326" s="68"/>
      <c r="C326" s="69"/>
      <c r="D326" s="70"/>
      <c r="F326" s="68"/>
      <c r="G326" s="69"/>
      <c r="H326" s="70"/>
      <c r="J326" s="71"/>
      <c r="K326" s="71"/>
      <c r="L326" s="67"/>
      <c r="N326" s="71"/>
      <c r="O326" s="71"/>
      <c r="P326" s="67"/>
      <c r="R326" s="67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6"/>
      <c r="BY326" s="6"/>
      <c r="BZ326" s="6"/>
      <c r="CA326" s="6"/>
      <c r="CB326" s="6"/>
      <c r="CC326" s="6"/>
      <c r="CD326" s="6"/>
      <c r="CE326" s="6"/>
      <c r="CF326" s="6"/>
      <c r="CG326" s="6"/>
      <c r="CH326" s="6"/>
      <c r="CI326" s="6"/>
      <c r="CJ326" s="6"/>
      <c r="CK326" s="6"/>
      <c r="CL326" s="6"/>
      <c r="CM326" s="6"/>
      <c r="CN326" s="6"/>
      <c r="CO326" s="6"/>
      <c r="CP326" s="6"/>
      <c r="CQ326" s="6"/>
      <c r="CR326" s="6"/>
      <c r="CS326" s="6"/>
      <c r="CT326" s="6"/>
      <c r="CU326" s="6"/>
      <c r="CV326" s="6"/>
      <c r="CW326" s="6"/>
      <c r="CX326" s="6"/>
      <c r="CY326" s="6"/>
      <c r="CZ326" s="6"/>
      <c r="DA326" s="6"/>
      <c r="DB326" s="6"/>
      <c r="DC326" s="6"/>
      <c r="DD326" s="6"/>
      <c r="DE326" s="6"/>
      <c r="DF326" s="6"/>
      <c r="DG326" s="6"/>
      <c r="DH326" s="6"/>
      <c r="DI326" s="6"/>
      <c r="DJ326" s="6"/>
    </row>
    <row r="327" spans="2:114" x14ac:dyDescent="0.2">
      <c r="B327" s="68"/>
      <c r="C327" s="69"/>
      <c r="D327" s="70"/>
      <c r="F327" s="68"/>
      <c r="G327" s="69"/>
      <c r="H327" s="70"/>
      <c r="J327" s="71"/>
      <c r="K327" s="71"/>
      <c r="L327" s="67"/>
      <c r="N327" s="71"/>
      <c r="O327" s="71"/>
      <c r="P327" s="67"/>
      <c r="R327" s="67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6"/>
      <c r="BY327" s="6"/>
      <c r="BZ327" s="6"/>
      <c r="CA327" s="6"/>
      <c r="CB327" s="6"/>
      <c r="CC327" s="6"/>
      <c r="CD327" s="6"/>
      <c r="CE327" s="6"/>
      <c r="CF327" s="6"/>
      <c r="CG327" s="6"/>
      <c r="CH327" s="6"/>
      <c r="CI327" s="6"/>
      <c r="CJ327" s="6"/>
      <c r="CK327" s="6"/>
      <c r="CL327" s="6"/>
      <c r="CM327" s="6"/>
      <c r="CN327" s="6"/>
      <c r="CO327" s="6"/>
      <c r="CP327" s="6"/>
      <c r="CQ327" s="6"/>
      <c r="CR327" s="6"/>
      <c r="CS327" s="6"/>
      <c r="CT327" s="6"/>
      <c r="CU327" s="6"/>
      <c r="CV327" s="6"/>
      <c r="CW327" s="6"/>
      <c r="CX327" s="6"/>
      <c r="CY327" s="6"/>
      <c r="CZ327" s="6"/>
      <c r="DA327" s="6"/>
      <c r="DB327" s="6"/>
      <c r="DC327" s="6"/>
      <c r="DD327" s="6"/>
      <c r="DE327" s="6"/>
      <c r="DF327" s="6"/>
      <c r="DG327" s="6"/>
      <c r="DH327" s="6"/>
      <c r="DI327" s="6"/>
      <c r="DJ327" s="6"/>
    </row>
    <row r="328" spans="2:114" x14ac:dyDescent="0.2">
      <c r="B328" s="68"/>
      <c r="C328" s="69"/>
      <c r="D328" s="70"/>
      <c r="F328" s="68"/>
      <c r="G328" s="69"/>
      <c r="H328" s="70"/>
      <c r="J328" s="71"/>
      <c r="K328" s="71"/>
      <c r="L328" s="67"/>
      <c r="N328" s="71"/>
      <c r="O328" s="71"/>
      <c r="P328" s="67"/>
      <c r="R328" s="67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6"/>
      <c r="BY328" s="6"/>
      <c r="BZ328" s="6"/>
      <c r="CA328" s="6"/>
      <c r="CB328" s="6"/>
      <c r="CC328" s="6"/>
      <c r="CD328" s="6"/>
      <c r="CE328" s="6"/>
      <c r="CF328" s="6"/>
      <c r="CG328" s="6"/>
      <c r="CH328" s="6"/>
      <c r="CI328" s="6"/>
      <c r="CJ328" s="6"/>
      <c r="CK328" s="6"/>
      <c r="CL328" s="6"/>
      <c r="CM328" s="6"/>
      <c r="CN328" s="6"/>
      <c r="CO328" s="6"/>
      <c r="CP328" s="6"/>
      <c r="CQ328" s="6"/>
      <c r="CR328" s="6"/>
      <c r="CS328" s="6"/>
      <c r="CT328" s="6"/>
      <c r="CU328" s="6"/>
      <c r="CV328" s="6"/>
      <c r="CW328" s="6"/>
      <c r="CX328" s="6"/>
      <c r="CY328" s="6"/>
      <c r="CZ328" s="6"/>
      <c r="DA328" s="6"/>
      <c r="DB328" s="6"/>
      <c r="DC328" s="6"/>
      <c r="DD328" s="6"/>
      <c r="DE328" s="6"/>
      <c r="DF328" s="6"/>
      <c r="DG328" s="6"/>
      <c r="DH328" s="6"/>
      <c r="DI328" s="6"/>
      <c r="DJ328" s="6"/>
    </row>
    <row r="329" spans="2:114" x14ac:dyDescent="0.2">
      <c r="B329" s="68"/>
      <c r="C329" s="69"/>
      <c r="D329" s="70"/>
      <c r="F329" s="68"/>
      <c r="G329" s="69"/>
      <c r="H329" s="70"/>
      <c r="J329" s="71"/>
      <c r="K329" s="71"/>
      <c r="L329" s="67"/>
      <c r="N329" s="71"/>
      <c r="O329" s="71"/>
      <c r="P329" s="67"/>
      <c r="R329" s="67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6"/>
      <c r="BY329" s="6"/>
      <c r="BZ329" s="6"/>
      <c r="CA329" s="6"/>
      <c r="CB329" s="6"/>
      <c r="CC329" s="6"/>
      <c r="CD329" s="6"/>
      <c r="CE329" s="6"/>
      <c r="CF329" s="6"/>
      <c r="CG329" s="6"/>
      <c r="CH329" s="6"/>
      <c r="CI329" s="6"/>
      <c r="CJ329" s="6"/>
      <c r="CK329" s="6"/>
      <c r="CL329" s="6"/>
      <c r="CM329" s="6"/>
      <c r="CN329" s="6"/>
      <c r="CO329" s="6"/>
      <c r="CP329" s="6"/>
      <c r="CQ329" s="6"/>
      <c r="CR329" s="6"/>
      <c r="CS329" s="6"/>
      <c r="CT329" s="6"/>
      <c r="CU329" s="6"/>
      <c r="CV329" s="6"/>
      <c r="CW329" s="6"/>
      <c r="CX329" s="6"/>
      <c r="CY329" s="6"/>
      <c r="CZ329" s="6"/>
      <c r="DA329" s="6"/>
      <c r="DB329" s="6"/>
      <c r="DC329" s="6"/>
      <c r="DD329" s="6"/>
      <c r="DE329" s="6"/>
      <c r="DF329" s="6"/>
      <c r="DG329" s="6"/>
      <c r="DH329" s="6"/>
      <c r="DI329" s="6"/>
      <c r="DJ329" s="6"/>
    </row>
    <row r="330" spans="2:114" x14ac:dyDescent="0.2">
      <c r="B330" s="68"/>
      <c r="C330" s="69"/>
      <c r="D330" s="70"/>
      <c r="F330" s="68"/>
      <c r="G330" s="69"/>
      <c r="H330" s="70"/>
      <c r="J330" s="71"/>
      <c r="K330" s="71"/>
      <c r="L330" s="67"/>
      <c r="N330" s="71"/>
      <c r="O330" s="71"/>
      <c r="P330" s="67"/>
      <c r="R330" s="67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6"/>
      <c r="BY330" s="6"/>
      <c r="BZ330" s="6"/>
      <c r="CA330" s="6"/>
      <c r="CB330" s="6"/>
      <c r="CC330" s="6"/>
      <c r="CD330" s="6"/>
      <c r="CE330" s="6"/>
      <c r="CF330" s="6"/>
      <c r="CG330" s="6"/>
      <c r="CH330" s="6"/>
      <c r="CI330" s="6"/>
      <c r="CJ330" s="6"/>
      <c r="CK330" s="6"/>
      <c r="CL330" s="6"/>
      <c r="CM330" s="6"/>
      <c r="CN330" s="6"/>
      <c r="CO330" s="6"/>
      <c r="CP330" s="6"/>
      <c r="CQ330" s="6"/>
      <c r="CR330" s="6"/>
      <c r="CS330" s="6"/>
      <c r="CT330" s="6"/>
      <c r="CU330" s="6"/>
      <c r="CV330" s="6"/>
      <c r="CW330" s="6"/>
      <c r="CX330" s="6"/>
      <c r="CY330" s="6"/>
      <c r="CZ330" s="6"/>
      <c r="DA330" s="6"/>
      <c r="DB330" s="6"/>
      <c r="DC330" s="6"/>
      <c r="DD330" s="6"/>
      <c r="DE330" s="6"/>
      <c r="DF330" s="6"/>
      <c r="DG330" s="6"/>
      <c r="DH330" s="6"/>
      <c r="DI330" s="6"/>
      <c r="DJ330" s="6"/>
    </row>
    <row r="331" spans="2:114" x14ac:dyDescent="0.2">
      <c r="B331" s="68"/>
      <c r="C331" s="69"/>
      <c r="D331" s="70"/>
      <c r="F331" s="68"/>
      <c r="G331" s="69"/>
      <c r="H331" s="70"/>
      <c r="J331" s="71"/>
      <c r="K331" s="71"/>
      <c r="L331" s="67"/>
      <c r="N331" s="71"/>
      <c r="O331" s="71"/>
      <c r="P331" s="67"/>
      <c r="R331" s="67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6"/>
      <c r="BY331" s="6"/>
      <c r="BZ331" s="6"/>
      <c r="CA331" s="6"/>
      <c r="CB331" s="6"/>
      <c r="CC331" s="6"/>
      <c r="CD331" s="6"/>
      <c r="CE331" s="6"/>
      <c r="CF331" s="6"/>
      <c r="CG331" s="6"/>
      <c r="CH331" s="6"/>
      <c r="CI331" s="6"/>
      <c r="CJ331" s="6"/>
      <c r="CK331" s="6"/>
      <c r="CL331" s="6"/>
      <c r="CM331" s="6"/>
      <c r="CN331" s="6"/>
      <c r="CO331" s="6"/>
      <c r="CP331" s="6"/>
      <c r="CQ331" s="6"/>
      <c r="CR331" s="6"/>
      <c r="CS331" s="6"/>
      <c r="CT331" s="6"/>
      <c r="CU331" s="6"/>
      <c r="CV331" s="6"/>
      <c r="CW331" s="6"/>
      <c r="CX331" s="6"/>
      <c r="CY331" s="6"/>
      <c r="CZ331" s="6"/>
      <c r="DA331" s="6"/>
      <c r="DB331" s="6"/>
      <c r="DC331" s="6"/>
      <c r="DD331" s="6"/>
      <c r="DE331" s="6"/>
      <c r="DF331" s="6"/>
      <c r="DG331" s="6"/>
      <c r="DH331" s="6"/>
      <c r="DI331" s="6"/>
      <c r="DJ331" s="6"/>
    </row>
    <row r="332" spans="2:114" x14ac:dyDescent="0.2">
      <c r="B332" s="68"/>
      <c r="C332" s="69"/>
      <c r="D332" s="70"/>
      <c r="F332" s="68"/>
      <c r="G332" s="69"/>
      <c r="H332" s="70"/>
      <c r="J332" s="71"/>
      <c r="K332" s="71"/>
      <c r="L332" s="67"/>
      <c r="N332" s="71"/>
      <c r="O332" s="71"/>
      <c r="P332" s="67"/>
      <c r="R332" s="67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6"/>
      <c r="BY332" s="6"/>
      <c r="BZ332" s="6"/>
      <c r="CA332" s="6"/>
      <c r="CB332" s="6"/>
      <c r="CC332" s="6"/>
      <c r="CD332" s="6"/>
      <c r="CE332" s="6"/>
      <c r="CF332" s="6"/>
      <c r="CG332" s="6"/>
      <c r="CH332" s="6"/>
      <c r="CI332" s="6"/>
      <c r="CJ332" s="6"/>
      <c r="CK332" s="6"/>
      <c r="CL332" s="6"/>
      <c r="CM332" s="6"/>
      <c r="CN332" s="6"/>
      <c r="CO332" s="6"/>
      <c r="CP332" s="6"/>
      <c r="CQ332" s="6"/>
      <c r="CR332" s="6"/>
      <c r="CS332" s="6"/>
      <c r="CT332" s="6"/>
      <c r="CU332" s="6"/>
      <c r="CV332" s="6"/>
      <c r="CW332" s="6"/>
      <c r="CX332" s="6"/>
      <c r="CY332" s="6"/>
      <c r="CZ332" s="6"/>
      <c r="DA332" s="6"/>
      <c r="DB332" s="6"/>
      <c r="DC332" s="6"/>
      <c r="DD332" s="6"/>
      <c r="DE332" s="6"/>
      <c r="DF332" s="6"/>
      <c r="DG332" s="6"/>
      <c r="DH332" s="6"/>
      <c r="DI332" s="6"/>
      <c r="DJ332" s="6"/>
    </row>
    <row r="333" spans="2:114" x14ac:dyDescent="0.2">
      <c r="B333" s="68"/>
      <c r="C333" s="69"/>
      <c r="D333" s="70"/>
      <c r="F333" s="68"/>
      <c r="G333" s="69"/>
      <c r="H333" s="70"/>
      <c r="J333" s="71"/>
      <c r="K333" s="71"/>
      <c r="L333" s="67"/>
      <c r="N333" s="71"/>
      <c r="O333" s="71"/>
      <c r="P333" s="67"/>
      <c r="R333" s="67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6"/>
      <c r="BY333" s="6"/>
      <c r="BZ333" s="6"/>
      <c r="CA333" s="6"/>
      <c r="CB333" s="6"/>
      <c r="CC333" s="6"/>
      <c r="CD333" s="6"/>
      <c r="CE333" s="6"/>
      <c r="CF333" s="6"/>
      <c r="CG333" s="6"/>
      <c r="CH333" s="6"/>
      <c r="CI333" s="6"/>
      <c r="CJ333" s="6"/>
      <c r="CK333" s="6"/>
      <c r="CL333" s="6"/>
      <c r="CM333" s="6"/>
      <c r="CN333" s="6"/>
      <c r="CO333" s="6"/>
      <c r="CP333" s="6"/>
      <c r="CQ333" s="6"/>
      <c r="CR333" s="6"/>
      <c r="CS333" s="6"/>
      <c r="CT333" s="6"/>
      <c r="CU333" s="6"/>
      <c r="CV333" s="6"/>
      <c r="CW333" s="6"/>
      <c r="CX333" s="6"/>
      <c r="CY333" s="6"/>
      <c r="CZ333" s="6"/>
      <c r="DA333" s="6"/>
      <c r="DB333" s="6"/>
      <c r="DC333" s="6"/>
      <c r="DD333" s="6"/>
      <c r="DE333" s="6"/>
      <c r="DF333" s="6"/>
      <c r="DG333" s="6"/>
      <c r="DH333" s="6"/>
      <c r="DI333" s="6"/>
      <c r="DJ333" s="6"/>
    </row>
    <row r="334" spans="2:114" x14ac:dyDescent="0.2">
      <c r="B334" s="68"/>
      <c r="C334" s="69"/>
      <c r="D334" s="70"/>
      <c r="F334" s="68"/>
      <c r="G334" s="69"/>
      <c r="H334" s="70"/>
      <c r="J334" s="71"/>
      <c r="K334" s="71"/>
      <c r="L334" s="67"/>
      <c r="N334" s="71"/>
      <c r="O334" s="71"/>
      <c r="P334" s="67"/>
      <c r="R334" s="67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6"/>
      <c r="BY334" s="6"/>
      <c r="BZ334" s="6"/>
      <c r="CA334" s="6"/>
      <c r="CB334" s="6"/>
      <c r="CC334" s="6"/>
      <c r="CD334" s="6"/>
      <c r="CE334" s="6"/>
      <c r="CF334" s="6"/>
      <c r="CG334" s="6"/>
      <c r="CH334" s="6"/>
      <c r="CI334" s="6"/>
      <c r="CJ334" s="6"/>
      <c r="CK334" s="6"/>
      <c r="CL334" s="6"/>
      <c r="CM334" s="6"/>
      <c r="CN334" s="6"/>
      <c r="CO334" s="6"/>
      <c r="CP334" s="6"/>
      <c r="CQ334" s="6"/>
      <c r="CR334" s="6"/>
      <c r="CS334" s="6"/>
      <c r="CT334" s="6"/>
      <c r="CU334" s="6"/>
      <c r="CV334" s="6"/>
      <c r="CW334" s="6"/>
      <c r="CX334" s="6"/>
      <c r="CY334" s="6"/>
      <c r="CZ334" s="6"/>
      <c r="DA334" s="6"/>
      <c r="DB334" s="6"/>
      <c r="DC334" s="6"/>
      <c r="DD334" s="6"/>
      <c r="DE334" s="6"/>
      <c r="DF334" s="6"/>
      <c r="DG334" s="6"/>
      <c r="DH334" s="6"/>
      <c r="DI334" s="6"/>
      <c r="DJ334" s="6"/>
    </row>
    <row r="335" spans="2:114" x14ac:dyDescent="0.2">
      <c r="B335" s="68"/>
      <c r="C335" s="69"/>
      <c r="D335" s="70"/>
      <c r="F335" s="68"/>
      <c r="G335" s="69"/>
      <c r="H335" s="70"/>
      <c r="J335" s="71"/>
      <c r="K335" s="71"/>
      <c r="L335" s="67"/>
      <c r="N335" s="71"/>
      <c r="O335" s="71"/>
      <c r="P335" s="67"/>
      <c r="R335" s="67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6"/>
      <c r="BY335" s="6"/>
      <c r="BZ335" s="6"/>
      <c r="CA335" s="6"/>
      <c r="CB335" s="6"/>
      <c r="CC335" s="6"/>
      <c r="CD335" s="6"/>
      <c r="CE335" s="6"/>
      <c r="CF335" s="6"/>
      <c r="CG335" s="6"/>
      <c r="CH335" s="6"/>
      <c r="CI335" s="6"/>
      <c r="CJ335" s="6"/>
      <c r="CK335" s="6"/>
      <c r="CL335" s="6"/>
      <c r="CM335" s="6"/>
      <c r="CN335" s="6"/>
      <c r="CO335" s="6"/>
      <c r="CP335" s="6"/>
      <c r="CQ335" s="6"/>
      <c r="CR335" s="6"/>
      <c r="CS335" s="6"/>
      <c r="CT335" s="6"/>
      <c r="CU335" s="6"/>
      <c r="CV335" s="6"/>
      <c r="CW335" s="6"/>
      <c r="CX335" s="6"/>
      <c r="CY335" s="6"/>
      <c r="CZ335" s="6"/>
      <c r="DA335" s="6"/>
      <c r="DB335" s="6"/>
      <c r="DC335" s="6"/>
      <c r="DD335" s="6"/>
      <c r="DE335" s="6"/>
      <c r="DF335" s="6"/>
      <c r="DG335" s="6"/>
      <c r="DH335" s="6"/>
      <c r="DI335" s="6"/>
      <c r="DJ335" s="6"/>
    </row>
    <row r="336" spans="2:114" x14ac:dyDescent="0.2">
      <c r="B336" s="68"/>
      <c r="C336" s="69"/>
      <c r="D336" s="70"/>
      <c r="F336" s="68"/>
      <c r="G336" s="69"/>
      <c r="H336" s="70"/>
      <c r="J336" s="71"/>
      <c r="K336" s="71"/>
      <c r="L336" s="67"/>
      <c r="N336" s="71"/>
      <c r="O336" s="71"/>
      <c r="P336" s="67"/>
      <c r="R336" s="67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6"/>
      <c r="BY336" s="6"/>
      <c r="BZ336" s="6"/>
      <c r="CA336" s="6"/>
      <c r="CB336" s="6"/>
      <c r="CC336" s="6"/>
      <c r="CD336" s="6"/>
      <c r="CE336" s="6"/>
      <c r="CF336" s="6"/>
      <c r="CG336" s="6"/>
      <c r="CH336" s="6"/>
      <c r="CI336" s="6"/>
      <c r="CJ336" s="6"/>
      <c r="CK336" s="6"/>
      <c r="CL336" s="6"/>
      <c r="CM336" s="6"/>
      <c r="CN336" s="6"/>
      <c r="CO336" s="6"/>
      <c r="CP336" s="6"/>
      <c r="CQ336" s="6"/>
      <c r="CR336" s="6"/>
      <c r="CS336" s="6"/>
      <c r="CT336" s="6"/>
      <c r="CU336" s="6"/>
      <c r="CV336" s="6"/>
      <c r="CW336" s="6"/>
      <c r="CX336" s="6"/>
      <c r="CY336" s="6"/>
      <c r="CZ336" s="6"/>
      <c r="DA336" s="6"/>
      <c r="DB336" s="6"/>
      <c r="DC336" s="6"/>
      <c r="DD336" s="6"/>
      <c r="DE336" s="6"/>
      <c r="DF336" s="6"/>
      <c r="DG336" s="6"/>
      <c r="DH336" s="6"/>
      <c r="DI336" s="6"/>
      <c r="DJ336" s="6"/>
    </row>
    <row r="337" spans="2:114" x14ac:dyDescent="0.2">
      <c r="B337" s="68"/>
      <c r="C337" s="69"/>
      <c r="D337" s="70"/>
      <c r="F337" s="68"/>
      <c r="G337" s="69"/>
      <c r="H337" s="70"/>
      <c r="J337" s="71"/>
      <c r="K337" s="71"/>
      <c r="L337" s="67"/>
      <c r="N337" s="71"/>
      <c r="O337" s="71"/>
      <c r="P337" s="67"/>
      <c r="R337" s="67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6"/>
      <c r="BY337" s="6"/>
      <c r="BZ337" s="6"/>
      <c r="CA337" s="6"/>
      <c r="CB337" s="6"/>
      <c r="CC337" s="6"/>
      <c r="CD337" s="6"/>
      <c r="CE337" s="6"/>
      <c r="CF337" s="6"/>
      <c r="CG337" s="6"/>
      <c r="CH337" s="6"/>
      <c r="CI337" s="6"/>
      <c r="CJ337" s="6"/>
      <c r="CK337" s="6"/>
      <c r="CL337" s="6"/>
      <c r="CM337" s="6"/>
      <c r="CN337" s="6"/>
      <c r="CO337" s="6"/>
      <c r="CP337" s="6"/>
      <c r="CQ337" s="6"/>
      <c r="CR337" s="6"/>
      <c r="CS337" s="6"/>
      <c r="CT337" s="6"/>
      <c r="CU337" s="6"/>
      <c r="CV337" s="6"/>
      <c r="CW337" s="6"/>
      <c r="CX337" s="6"/>
      <c r="CY337" s="6"/>
      <c r="CZ337" s="6"/>
      <c r="DA337" s="6"/>
      <c r="DB337" s="6"/>
      <c r="DC337" s="6"/>
      <c r="DD337" s="6"/>
      <c r="DE337" s="6"/>
      <c r="DF337" s="6"/>
      <c r="DG337" s="6"/>
      <c r="DH337" s="6"/>
      <c r="DI337" s="6"/>
      <c r="DJ337" s="6"/>
    </row>
    <row r="338" spans="2:114" x14ac:dyDescent="0.2">
      <c r="B338" s="68"/>
      <c r="C338" s="69"/>
      <c r="D338" s="70"/>
      <c r="F338" s="68"/>
      <c r="G338" s="69"/>
      <c r="H338" s="70"/>
      <c r="J338" s="71"/>
      <c r="K338" s="71"/>
      <c r="L338" s="67"/>
      <c r="N338" s="71"/>
      <c r="O338" s="71"/>
      <c r="P338" s="67"/>
      <c r="R338" s="67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6"/>
      <c r="BY338" s="6"/>
      <c r="BZ338" s="6"/>
      <c r="CA338" s="6"/>
      <c r="CB338" s="6"/>
      <c r="CC338" s="6"/>
      <c r="CD338" s="6"/>
      <c r="CE338" s="6"/>
      <c r="CF338" s="6"/>
      <c r="CG338" s="6"/>
      <c r="CH338" s="6"/>
      <c r="CI338" s="6"/>
      <c r="CJ338" s="6"/>
      <c r="CK338" s="6"/>
      <c r="CL338" s="6"/>
      <c r="CM338" s="6"/>
      <c r="CN338" s="6"/>
      <c r="CO338" s="6"/>
      <c r="CP338" s="6"/>
      <c r="CQ338" s="6"/>
      <c r="CR338" s="6"/>
      <c r="CS338" s="6"/>
      <c r="CT338" s="6"/>
      <c r="CU338" s="6"/>
      <c r="CV338" s="6"/>
      <c r="CW338" s="6"/>
      <c r="CX338" s="6"/>
      <c r="CY338" s="6"/>
      <c r="CZ338" s="6"/>
      <c r="DA338" s="6"/>
      <c r="DB338" s="6"/>
      <c r="DC338" s="6"/>
      <c r="DD338" s="6"/>
      <c r="DE338" s="6"/>
      <c r="DF338" s="6"/>
      <c r="DG338" s="6"/>
      <c r="DH338" s="6"/>
      <c r="DI338" s="6"/>
      <c r="DJ338" s="6"/>
    </row>
    <row r="339" spans="2:114" x14ac:dyDescent="0.2">
      <c r="B339" s="68"/>
      <c r="C339" s="69"/>
      <c r="D339" s="70"/>
      <c r="F339" s="68"/>
      <c r="G339" s="69"/>
      <c r="H339" s="70"/>
      <c r="J339" s="71"/>
      <c r="K339" s="71"/>
      <c r="L339" s="67"/>
      <c r="N339" s="71"/>
      <c r="O339" s="71"/>
      <c r="P339" s="67"/>
      <c r="R339" s="67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6"/>
      <c r="BY339" s="6"/>
      <c r="BZ339" s="6"/>
      <c r="CA339" s="6"/>
      <c r="CB339" s="6"/>
      <c r="CC339" s="6"/>
      <c r="CD339" s="6"/>
      <c r="CE339" s="6"/>
      <c r="CF339" s="6"/>
      <c r="CG339" s="6"/>
      <c r="CH339" s="6"/>
      <c r="CI339" s="6"/>
      <c r="CJ339" s="6"/>
      <c r="CK339" s="6"/>
      <c r="CL339" s="6"/>
      <c r="CM339" s="6"/>
      <c r="CN339" s="6"/>
      <c r="CO339" s="6"/>
      <c r="CP339" s="6"/>
      <c r="CQ339" s="6"/>
      <c r="CR339" s="6"/>
      <c r="CS339" s="6"/>
      <c r="CT339" s="6"/>
      <c r="CU339" s="6"/>
      <c r="CV339" s="6"/>
      <c r="CW339" s="6"/>
      <c r="CX339" s="6"/>
      <c r="CY339" s="6"/>
      <c r="CZ339" s="6"/>
      <c r="DA339" s="6"/>
      <c r="DB339" s="6"/>
      <c r="DC339" s="6"/>
      <c r="DD339" s="6"/>
      <c r="DE339" s="6"/>
      <c r="DF339" s="6"/>
      <c r="DG339" s="6"/>
      <c r="DH339" s="6"/>
      <c r="DI339" s="6"/>
      <c r="DJ339" s="6"/>
    </row>
    <row r="340" spans="2:114" x14ac:dyDescent="0.2">
      <c r="B340" s="68"/>
      <c r="C340" s="69"/>
      <c r="D340" s="70"/>
      <c r="F340" s="68"/>
      <c r="G340" s="69"/>
      <c r="H340" s="70"/>
      <c r="J340" s="71"/>
      <c r="K340" s="71"/>
      <c r="L340" s="67"/>
      <c r="N340" s="71"/>
      <c r="O340" s="71"/>
      <c r="P340" s="67"/>
      <c r="R340" s="67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6"/>
      <c r="BY340" s="6"/>
      <c r="BZ340" s="6"/>
      <c r="CA340" s="6"/>
      <c r="CB340" s="6"/>
      <c r="CC340" s="6"/>
      <c r="CD340" s="6"/>
      <c r="CE340" s="6"/>
      <c r="CF340" s="6"/>
      <c r="CG340" s="6"/>
      <c r="CH340" s="6"/>
      <c r="CI340" s="6"/>
      <c r="CJ340" s="6"/>
      <c r="CK340" s="6"/>
      <c r="CL340" s="6"/>
      <c r="CM340" s="6"/>
      <c r="CN340" s="6"/>
      <c r="CO340" s="6"/>
      <c r="CP340" s="6"/>
      <c r="CQ340" s="6"/>
      <c r="CR340" s="6"/>
      <c r="CS340" s="6"/>
      <c r="CT340" s="6"/>
      <c r="CU340" s="6"/>
      <c r="CV340" s="6"/>
      <c r="CW340" s="6"/>
      <c r="CX340" s="6"/>
      <c r="CY340" s="6"/>
      <c r="CZ340" s="6"/>
      <c r="DA340" s="6"/>
      <c r="DB340" s="6"/>
      <c r="DC340" s="6"/>
      <c r="DD340" s="6"/>
      <c r="DE340" s="6"/>
      <c r="DF340" s="6"/>
      <c r="DG340" s="6"/>
      <c r="DH340" s="6"/>
      <c r="DI340" s="6"/>
      <c r="DJ340" s="6"/>
    </row>
    <row r="341" spans="2:114" x14ac:dyDescent="0.2">
      <c r="B341" s="68"/>
      <c r="C341" s="69"/>
      <c r="D341" s="70"/>
      <c r="F341" s="68"/>
      <c r="G341" s="69"/>
      <c r="H341" s="70"/>
      <c r="J341" s="71"/>
      <c r="K341" s="71"/>
      <c r="L341" s="67"/>
      <c r="N341" s="71"/>
      <c r="O341" s="71"/>
      <c r="P341" s="67"/>
      <c r="R341" s="67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6"/>
      <c r="BY341" s="6"/>
      <c r="BZ341" s="6"/>
      <c r="CA341" s="6"/>
      <c r="CB341" s="6"/>
      <c r="CC341" s="6"/>
      <c r="CD341" s="6"/>
      <c r="CE341" s="6"/>
      <c r="CF341" s="6"/>
      <c r="CG341" s="6"/>
      <c r="CH341" s="6"/>
      <c r="CI341" s="6"/>
      <c r="CJ341" s="6"/>
      <c r="CK341" s="6"/>
      <c r="CL341" s="6"/>
      <c r="CM341" s="6"/>
      <c r="CN341" s="6"/>
      <c r="CO341" s="6"/>
      <c r="CP341" s="6"/>
      <c r="CQ341" s="6"/>
      <c r="CR341" s="6"/>
      <c r="CS341" s="6"/>
      <c r="CT341" s="6"/>
      <c r="CU341" s="6"/>
      <c r="CV341" s="6"/>
      <c r="CW341" s="6"/>
      <c r="CX341" s="6"/>
      <c r="CY341" s="6"/>
      <c r="CZ341" s="6"/>
      <c r="DA341" s="6"/>
      <c r="DB341" s="6"/>
      <c r="DC341" s="6"/>
      <c r="DD341" s="6"/>
      <c r="DE341" s="6"/>
      <c r="DF341" s="6"/>
      <c r="DG341" s="6"/>
      <c r="DH341" s="6"/>
      <c r="DI341" s="6"/>
      <c r="DJ341" s="6"/>
    </row>
    <row r="342" spans="2:114" x14ac:dyDescent="0.2">
      <c r="B342" s="68"/>
      <c r="C342" s="69"/>
      <c r="D342" s="70"/>
      <c r="F342" s="68"/>
      <c r="G342" s="69"/>
      <c r="H342" s="70"/>
      <c r="J342" s="71"/>
      <c r="K342" s="71"/>
      <c r="L342" s="67"/>
      <c r="N342" s="71"/>
      <c r="O342" s="71"/>
      <c r="P342" s="67"/>
      <c r="R342" s="67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6"/>
      <c r="BY342" s="6"/>
      <c r="BZ342" s="6"/>
      <c r="CA342" s="6"/>
      <c r="CB342" s="6"/>
      <c r="CC342" s="6"/>
      <c r="CD342" s="6"/>
      <c r="CE342" s="6"/>
      <c r="CF342" s="6"/>
      <c r="CG342" s="6"/>
      <c r="CH342" s="6"/>
      <c r="CI342" s="6"/>
      <c r="CJ342" s="6"/>
      <c r="CK342" s="6"/>
      <c r="CL342" s="6"/>
      <c r="CM342" s="6"/>
      <c r="CN342" s="6"/>
      <c r="CO342" s="6"/>
      <c r="CP342" s="6"/>
      <c r="CQ342" s="6"/>
      <c r="CR342" s="6"/>
      <c r="CS342" s="6"/>
      <c r="CT342" s="6"/>
      <c r="CU342" s="6"/>
      <c r="CV342" s="6"/>
      <c r="CW342" s="6"/>
      <c r="CX342" s="6"/>
      <c r="CY342" s="6"/>
      <c r="CZ342" s="6"/>
      <c r="DA342" s="6"/>
      <c r="DB342" s="6"/>
      <c r="DC342" s="6"/>
      <c r="DD342" s="6"/>
      <c r="DE342" s="6"/>
      <c r="DF342" s="6"/>
      <c r="DG342" s="6"/>
      <c r="DH342" s="6"/>
      <c r="DI342" s="6"/>
      <c r="DJ342" s="6"/>
    </row>
    <row r="343" spans="2:114" x14ac:dyDescent="0.2">
      <c r="B343" s="68"/>
      <c r="C343" s="69"/>
      <c r="D343" s="70"/>
      <c r="F343" s="68"/>
      <c r="G343" s="69"/>
      <c r="H343" s="70"/>
      <c r="J343" s="71"/>
      <c r="K343" s="71"/>
      <c r="L343" s="67"/>
      <c r="N343" s="71"/>
      <c r="O343" s="71"/>
      <c r="P343" s="67"/>
      <c r="R343" s="67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6"/>
      <c r="BY343" s="6"/>
      <c r="BZ343" s="6"/>
      <c r="CA343" s="6"/>
      <c r="CB343" s="6"/>
      <c r="CC343" s="6"/>
      <c r="CD343" s="6"/>
      <c r="CE343" s="6"/>
      <c r="CF343" s="6"/>
      <c r="CG343" s="6"/>
      <c r="CH343" s="6"/>
      <c r="CI343" s="6"/>
      <c r="CJ343" s="6"/>
      <c r="CK343" s="6"/>
      <c r="CL343" s="6"/>
      <c r="CM343" s="6"/>
      <c r="CN343" s="6"/>
      <c r="CO343" s="6"/>
      <c r="CP343" s="6"/>
      <c r="CQ343" s="6"/>
      <c r="CR343" s="6"/>
      <c r="CS343" s="6"/>
      <c r="CT343" s="6"/>
      <c r="CU343" s="6"/>
      <c r="CV343" s="6"/>
      <c r="CW343" s="6"/>
      <c r="CX343" s="6"/>
      <c r="CY343" s="6"/>
      <c r="CZ343" s="6"/>
      <c r="DA343" s="6"/>
      <c r="DB343" s="6"/>
      <c r="DC343" s="6"/>
      <c r="DD343" s="6"/>
      <c r="DE343" s="6"/>
      <c r="DF343" s="6"/>
      <c r="DG343" s="6"/>
      <c r="DH343" s="6"/>
      <c r="DI343" s="6"/>
      <c r="DJ343" s="6"/>
    </row>
    <row r="344" spans="2:114" x14ac:dyDescent="0.2">
      <c r="B344" s="68"/>
      <c r="C344" s="69"/>
      <c r="D344" s="70"/>
      <c r="F344" s="68"/>
      <c r="G344" s="69"/>
      <c r="H344" s="70"/>
      <c r="J344" s="71"/>
      <c r="K344" s="71"/>
      <c r="L344" s="67"/>
      <c r="N344" s="71"/>
      <c r="O344" s="71"/>
      <c r="P344" s="67"/>
      <c r="R344" s="67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6"/>
      <c r="BY344" s="6"/>
      <c r="BZ344" s="6"/>
      <c r="CA344" s="6"/>
      <c r="CB344" s="6"/>
      <c r="CC344" s="6"/>
      <c r="CD344" s="6"/>
      <c r="CE344" s="6"/>
      <c r="CF344" s="6"/>
      <c r="CG344" s="6"/>
      <c r="CH344" s="6"/>
      <c r="CI344" s="6"/>
      <c r="CJ344" s="6"/>
      <c r="CK344" s="6"/>
      <c r="CL344" s="6"/>
      <c r="CM344" s="6"/>
      <c r="CN344" s="6"/>
      <c r="CO344" s="6"/>
      <c r="CP344" s="6"/>
      <c r="CQ344" s="6"/>
      <c r="CR344" s="6"/>
      <c r="CS344" s="6"/>
      <c r="CT344" s="6"/>
      <c r="CU344" s="6"/>
      <c r="CV344" s="6"/>
      <c r="CW344" s="6"/>
      <c r="CX344" s="6"/>
      <c r="CY344" s="6"/>
      <c r="CZ344" s="6"/>
      <c r="DA344" s="6"/>
      <c r="DB344" s="6"/>
      <c r="DC344" s="6"/>
      <c r="DD344" s="6"/>
      <c r="DE344" s="6"/>
      <c r="DF344" s="6"/>
      <c r="DG344" s="6"/>
      <c r="DH344" s="6"/>
      <c r="DI344" s="6"/>
      <c r="DJ344" s="6"/>
    </row>
    <row r="345" spans="2:114" x14ac:dyDescent="0.2">
      <c r="B345" s="68"/>
      <c r="C345" s="69"/>
      <c r="D345" s="70"/>
      <c r="F345" s="68"/>
      <c r="G345" s="69"/>
      <c r="H345" s="70"/>
      <c r="J345" s="71"/>
      <c r="K345" s="71"/>
      <c r="L345" s="67"/>
      <c r="N345" s="71"/>
      <c r="O345" s="71"/>
      <c r="P345" s="67"/>
      <c r="R345" s="67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6"/>
      <c r="BY345" s="6"/>
      <c r="BZ345" s="6"/>
      <c r="CA345" s="6"/>
      <c r="CB345" s="6"/>
      <c r="CC345" s="6"/>
      <c r="CD345" s="6"/>
      <c r="CE345" s="6"/>
      <c r="CF345" s="6"/>
      <c r="CG345" s="6"/>
      <c r="CH345" s="6"/>
      <c r="CI345" s="6"/>
      <c r="CJ345" s="6"/>
      <c r="CK345" s="6"/>
      <c r="CL345" s="6"/>
      <c r="CM345" s="6"/>
      <c r="CN345" s="6"/>
      <c r="CO345" s="6"/>
      <c r="CP345" s="6"/>
      <c r="CQ345" s="6"/>
      <c r="CR345" s="6"/>
      <c r="CS345" s="6"/>
      <c r="CT345" s="6"/>
      <c r="CU345" s="6"/>
      <c r="CV345" s="6"/>
      <c r="CW345" s="6"/>
      <c r="CX345" s="6"/>
      <c r="CY345" s="6"/>
      <c r="CZ345" s="6"/>
      <c r="DA345" s="6"/>
      <c r="DB345" s="6"/>
      <c r="DC345" s="6"/>
      <c r="DD345" s="6"/>
      <c r="DE345" s="6"/>
      <c r="DF345" s="6"/>
      <c r="DG345" s="6"/>
      <c r="DH345" s="6"/>
      <c r="DI345" s="6"/>
      <c r="DJ345" s="6"/>
    </row>
    <row r="346" spans="2:114" x14ac:dyDescent="0.2">
      <c r="B346" s="68"/>
      <c r="C346" s="69"/>
      <c r="D346" s="70"/>
      <c r="F346" s="68"/>
      <c r="G346" s="69"/>
      <c r="H346" s="70"/>
      <c r="J346" s="71"/>
      <c r="K346" s="71"/>
      <c r="L346" s="67"/>
      <c r="N346" s="71"/>
      <c r="O346" s="71"/>
      <c r="P346" s="67"/>
      <c r="R346" s="67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6"/>
      <c r="BY346" s="6"/>
      <c r="BZ346" s="6"/>
      <c r="CA346" s="6"/>
      <c r="CB346" s="6"/>
      <c r="CC346" s="6"/>
      <c r="CD346" s="6"/>
      <c r="CE346" s="6"/>
      <c r="CF346" s="6"/>
      <c r="CG346" s="6"/>
      <c r="CH346" s="6"/>
      <c r="CI346" s="6"/>
      <c r="CJ346" s="6"/>
      <c r="CK346" s="6"/>
      <c r="CL346" s="6"/>
      <c r="CM346" s="6"/>
      <c r="CN346" s="6"/>
      <c r="CO346" s="6"/>
      <c r="CP346" s="6"/>
      <c r="CQ346" s="6"/>
      <c r="CR346" s="6"/>
      <c r="CS346" s="6"/>
      <c r="CT346" s="6"/>
      <c r="CU346" s="6"/>
      <c r="CV346" s="6"/>
      <c r="CW346" s="6"/>
      <c r="CX346" s="6"/>
      <c r="CY346" s="6"/>
      <c r="CZ346" s="6"/>
      <c r="DA346" s="6"/>
      <c r="DB346" s="6"/>
      <c r="DC346" s="6"/>
      <c r="DD346" s="6"/>
      <c r="DE346" s="6"/>
      <c r="DF346" s="6"/>
      <c r="DG346" s="6"/>
      <c r="DH346" s="6"/>
      <c r="DI346" s="6"/>
      <c r="DJ346" s="6"/>
    </row>
    <row r="347" spans="2:114" x14ac:dyDescent="0.2">
      <c r="B347" s="68"/>
      <c r="C347" s="69"/>
      <c r="D347" s="70"/>
      <c r="F347" s="68"/>
      <c r="G347" s="69"/>
      <c r="H347" s="70"/>
      <c r="J347" s="71"/>
      <c r="K347" s="71"/>
      <c r="L347" s="67"/>
      <c r="N347" s="71"/>
      <c r="O347" s="71"/>
      <c r="P347" s="67"/>
      <c r="R347" s="67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6"/>
      <c r="BY347" s="6"/>
      <c r="BZ347" s="6"/>
      <c r="CA347" s="6"/>
      <c r="CB347" s="6"/>
      <c r="CC347" s="6"/>
      <c r="CD347" s="6"/>
      <c r="CE347" s="6"/>
      <c r="CF347" s="6"/>
      <c r="CG347" s="6"/>
      <c r="CH347" s="6"/>
      <c r="CI347" s="6"/>
      <c r="CJ347" s="6"/>
      <c r="CK347" s="6"/>
      <c r="CL347" s="6"/>
      <c r="CM347" s="6"/>
      <c r="CN347" s="6"/>
      <c r="CO347" s="6"/>
      <c r="CP347" s="6"/>
      <c r="CQ347" s="6"/>
      <c r="CR347" s="6"/>
      <c r="CS347" s="6"/>
      <c r="CT347" s="6"/>
      <c r="CU347" s="6"/>
      <c r="CV347" s="6"/>
      <c r="CW347" s="6"/>
      <c r="CX347" s="6"/>
      <c r="CY347" s="6"/>
      <c r="CZ347" s="6"/>
      <c r="DA347" s="6"/>
      <c r="DB347" s="6"/>
      <c r="DC347" s="6"/>
      <c r="DD347" s="6"/>
      <c r="DE347" s="6"/>
      <c r="DF347" s="6"/>
      <c r="DG347" s="6"/>
      <c r="DH347" s="6"/>
      <c r="DI347" s="6"/>
      <c r="DJ347" s="6"/>
    </row>
    <row r="348" spans="2:114" x14ac:dyDescent="0.2">
      <c r="B348" s="68"/>
      <c r="C348" s="69"/>
      <c r="D348" s="70"/>
      <c r="F348" s="68"/>
      <c r="G348" s="69"/>
      <c r="H348" s="70"/>
      <c r="J348" s="71"/>
      <c r="K348" s="71"/>
      <c r="L348" s="67"/>
      <c r="N348" s="71"/>
      <c r="O348" s="71"/>
      <c r="P348" s="67"/>
      <c r="R348" s="67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6"/>
      <c r="BY348" s="6"/>
      <c r="BZ348" s="6"/>
      <c r="CA348" s="6"/>
      <c r="CB348" s="6"/>
      <c r="CC348" s="6"/>
      <c r="CD348" s="6"/>
      <c r="CE348" s="6"/>
      <c r="CF348" s="6"/>
      <c r="CG348" s="6"/>
      <c r="CH348" s="6"/>
      <c r="CI348" s="6"/>
      <c r="CJ348" s="6"/>
      <c r="CK348" s="6"/>
      <c r="CL348" s="6"/>
      <c r="CM348" s="6"/>
      <c r="CN348" s="6"/>
      <c r="CO348" s="6"/>
      <c r="CP348" s="6"/>
      <c r="CQ348" s="6"/>
      <c r="CR348" s="6"/>
      <c r="CS348" s="6"/>
      <c r="CT348" s="6"/>
      <c r="CU348" s="6"/>
      <c r="CV348" s="6"/>
      <c r="CW348" s="6"/>
      <c r="CX348" s="6"/>
      <c r="CY348" s="6"/>
      <c r="CZ348" s="6"/>
      <c r="DA348" s="6"/>
      <c r="DB348" s="6"/>
      <c r="DC348" s="6"/>
      <c r="DD348" s="6"/>
      <c r="DE348" s="6"/>
      <c r="DF348" s="6"/>
      <c r="DG348" s="6"/>
      <c r="DH348" s="6"/>
      <c r="DI348" s="6"/>
      <c r="DJ348" s="6"/>
    </row>
    <row r="349" spans="2:114" x14ac:dyDescent="0.2">
      <c r="B349" s="68"/>
      <c r="C349" s="69"/>
      <c r="D349" s="70"/>
      <c r="F349" s="68"/>
      <c r="G349" s="69"/>
      <c r="H349" s="70"/>
      <c r="J349" s="71"/>
      <c r="K349" s="71"/>
      <c r="L349" s="67"/>
      <c r="N349" s="71"/>
      <c r="O349" s="71"/>
      <c r="P349" s="67"/>
      <c r="R349" s="67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6"/>
      <c r="BY349" s="6"/>
      <c r="BZ349" s="6"/>
      <c r="CA349" s="6"/>
      <c r="CB349" s="6"/>
      <c r="CC349" s="6"/>
      <c r="CD349" s="6"/>
      <c r="CE349" s="6"/>
      <c r="CF349" s="6"/>
      <c r="CG349" s="6"/>
      <c r="CH349" s="6"/>
      <c r="CI349" s="6"/>
      <c r="CJ349" s="6"/>
      <c r="CK349" s="6"/>
      <c r="CL349" s="6"/>
      <c r="CM349" s="6"/>
      <c r="CN349" s="6"/>
      <c r="CO349" s="6"/>
      <c r="CP349" s="6"/>
      <c r="CQ349" s="6"/>
      <c r="CR349" s="6"/>
      <c r="CS349" s="6"/>
      <c r="CT349" s="6"/>
      <c r="CU349" s="6"/>
      <c r="CV349" s="6"/>
      <c r="CW349" s="6"/>
      <c r="CX349" s="6"/>
      <c r="CY349" s="6"/>
      <c r="CZ349" s="6"/>
      <c r="DA349" s="6"/>
      <c r="DB349" s="6"/>
      <c r="DC349" s="6"/>
      <c r="DD349" s="6"/>
      <c r="DE349" s="6"/>
      <c r="DF349" s="6"/>
      <c r="DG349" s="6"/>
      <c r="DH349" s="6"/>
      <c r="DI349" s="6"/>
      <c r="DJ349" s="6"/>
    </row>
    <row r="350" spans="2:114" x14ac:dyDescent="0.2">
      <c r="B350" s="68"/>
      <c r="C350" s="69"/>
      <c r="D350" s="70"/>
      <c r="F350" s="68"/>
      <c r="G350" s="69"/>
      <c r="H350" s="70"/>
      <c r="J350" s="71"/>
      <c r="K350" s="71"/>
      <c r="L350" s="67"/>
      <c r="N350" s="71"/>
      <c r="O350" s="71"/>
      <c r="P350" s="67"/>
      <c r="R350" s="67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6"/>
      <c r="BY350" s="6"/>
      <c r="BZ350" s="6"/>
      <c r="CA350" s="6"/>
      <c r="CB350" s="6"/>
      <c r="CC350" s="6"/>
      <c r="CD350" s="6"/>
      <c r="CE350" s="6"/>
      <c r="CF350" s="6"/>
      <c r="CG350" s="6"/>
      <c r="CH350" s="6"/>
      <c r="CI350" s="6"/>
      <c r="CJ350" s="6"/>
      <c r="CK350" s="6"/>
      <c r="CL350" s="6"/>
      <c r="CM350" s="6"/>
      <c r="CN350" s="6"/>
      <c r="CO350" s="6"/>
      <c r="CP350" s="6"/>
      <c r="CQ350" s="6"/>
      <c r="CR350" s="6"/>
      <c r="CS350" s="6"/>
      <c r="CT350" s="6"/>
      <c r="CU350" s="6"/>
      <c r="CV350" s="6"/>
      <c r="CW350" s="6"/>
      <c r="CX350" s="6"/>
      <c r="CY350" s="6"/>
      <c r="CZ350" s="6"/>
      <c r="DA350" s="6"/>
      <c r="DB350" s="6"/>
      <c r="DC350" s="6"/>
      <c r="DD350" s="6"/>
      <c r="DE350" s="6"/>
      <c r="DF350" s="6"/>
      <c r="DG350" s="6"/>
      <c r="DH350" s="6"/>
      <c r="DI350" s="6"/>
      <c r="DJ350" s="6"/>
    </row>
    <row r="351" spans="2:114" x14ac:dyDescent="0.2">
      <c r="B351" s="68"/>
      <c r="C351" s="69"/>
      <c r="D351" s="70"/>
      <c r="F351" s="68"/>
      <c r="G351" s="69"/>
      <c r="H351" s="70"/>
      <c r="J351" s="71"/>
      <c r="K351" s="71"/>
      <c r="L351" s="67"/>
      <c r="N351" s="71"/>
      <c r="O351" s="71"/>
      <c r="P351" s="67"/>
      <c r="R351" s="67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6"/>
      <c r="BY351" s="6"/>
      <c r="BZ351" s="6"/>
      <c r="CA351" s="6"/>
      <c r="CB351" s="6"/>
      <c r="CC351" s="6"/>
      <c r="CD351" s="6"/>
      <c r="CE351" s="6"/>
      <c r="CF351" s="6"/>
      <c r="CG351" s="6"/>
      <c r="CH351" s="6"/>
      <c r="CI351" s="6"/>
      <c r="CJ351" s="6"/>
      <c r="CK351" s="6"/>
      <c r="CL351" s="6"/>
      <c r="CM351" s="6"/>
      <c r="CN351" s="6"/>
      <c r="CO351" s="6"/>
      <c r="CP351" s="6"/>
      <c r="CQ351" s="6"/>
      <c r="CR351" s="6"/>
      <c r="CS351" s="6"/>
      <c r="CT351" s="6"/>
      <c r="CU351" s="6"/>
      <c r="CV351" s="6"/>
      <c r="CW351" s="6"/>
      <c r="CX351" s="6"/>
      <c r="CY351" s="6"/>
      <c r="CZ351" s="6"/>
      <c r="DA351" s="6"/>
      <c r="DB351" s="6"/>
      <c r="DC351" s="6"/>
      <c r="DD351" s="6"/>
      <c r="DE351" s="6"/>
      <c r="DF351" s="6"/>
      <c r="DG351" s="6"/>
      <c r="DH351" s="6"/>
      <c r="DI351" s="6"/>
      <c r="DJ351" s="6"/>
    </row>
    <row r="352" spans="2:114" x14ac:dyDescent="0.2">
      <c r="B352" s="68"/>
      <c r="C352" s="69"/>
      <c r="D352" s="70"/>
      <c r="F352" s="68"/>
      <c r="G352" s="69"/>
      <c r="H352" s="70"/>
      <c r="J352" s="71"/>
      <c r="K352" s="71"/>
      <c r="L352" s="67"/>
      <c r="N352" s="71"/>
      <c r="O352" s="71"/>
      <c r="P352" s="67"/>
      <c r="R352" s="67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6"/>
      <c r="BY352" s="6"/>
      <c r="BZ352" s="6"/>
      <c r="CA352" s="6"/>
      <c r="CB352" s="6"/>
      <c r="CC352" s="6"/>
      <c r="CD352" s="6"/>
      <c r="CE352" s="6"/>
      <c r="CF352" s="6"/>
      <c r="CG352" s="6"/>
      <c r="CH352" s="6"/>
      <c r="CI352" s="6"/>
      <c r="CJ352" s="6"/>
      <c r="CK352" s="6"/>
      <c r="CL352" s="6"/>
      <c r="CM352" s="6"/>
      <c r="CN352" s="6"/>
      <c r="CO352" s="6"/>
      <c r="CP352" s="6"/>
      <c r="CQ352" s="6"/>
      <c r="CR352" s="6"/>
      <c r="CS352" s="6"/>
      <c r="CT352" s="6"/>
      <c r="CU352" s="6"/>
      <c r="CV352" s="6"/>
      <c r="CW352" s="6"/>
      <c r="CX352" s="6"/>
      <c r="CY352" s="6"/>
      <c r="CZ352" s="6"/>
      <c r="DA352" s="6"/>
      <c r="DB352" s="6"/>
      <c r="DC352" s="6"/>
      <c r="DD352" s="6"/>
      <c r="DE352" s="6"/>
      <c r="DF352" s="6"/>
      <c r="DG352" s="6"/>
      <c r="DH352" s="6"/>
      <c r="DI352" s="6"/>
      <c r="DJ352" s="6"/>
    </row>
    <row r="353" spans="2:114" x14ac:dyDescent="0.2">
      <c r="B353" s="68"/>
      <c r="C353" s="69"/>
      <c r="D353" s="70"/>
      <c r="F353" s="68"/>
      <c r="G353" s="69"/>
      <c r="H353" s="70"/>
      <c r="J353" s="71"/>
      <c r="K353" s="71"/>
      <c r="L353" s="67"/>
      <c r="N353" s="71"/>
      <c r="O353" s="71"/>
      <c r="P353" s="67"/>
      <c r="R353" s="67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6"/>
      <c r="BY353" s="6"/>
      <c r="BZ353" s="6"/>
      <c r="CA353" s="6"/>
      <c r="CB353" s="6"/>
      <c r="CC353" s="6"/>
      <c r="CD353" s="6"/>
      <c r="CE353" s="6"/>
      <c r="CF353" s="6"/>
      <c r="CG353" s="6"/>
      <c r="CH353" s="6"/>
      <c r="CI353" s="6"/>
      <c r="CJ353" s="6"/>
      <c r="CK353" s="6"/>
      <c r="CL353" s="6"/>
      <c r="CM353" s="6"/>
      <c r="CN353" s="6"/>
      <c r="CO353" s="6"/>
      <c r="CP353" s="6"/>
      <c r="CQ353" s="6"/>
      <c r="CR353" s="6"/>
      <c r="CS353" s="6"/>
      <c r="CT353" s="6"/>
      <c r="CU353" s="6"/>
      <c r="CV353" s="6"/>
      <c r="CW353" s="6"/>
      <c r="CX353" s="6"/>
      <c r="CY353" s="6"/>
      <c r="CZ353" s="6"/>
      <c r="DA353" s="6"/>
      <c r="DB353" s="6"/>
      <c r="DC353" s="6"/>
      <c r="DD353" s="6"/>
      <c r="DE353" s="6"/>
      <c r="DF353" s="6"/>
      <c r="DG353" s="6"/>
      <c r="DH353" s="6"/>
      <c r="DI353" s="6"/>
      <c r="DJ353" s="6"/>
    </row>
    <row r="354" spans="2:114" x14ac:dyDescent="0.2">
      <c r="B354" s="68"/>
      <c r="C354" s="69"/>
      <c r="D354" s="70"/>
      <c r="F354" s="68"/>
      <c r="G354" s="69"/>
      <c r="H354" s="70"/>
      <c r="J354" s="71"/>
      <c r="K354" s="71"/>
      <c r="L354" s="67"/>
      <c r="N354" s="71"/>
      <c r="O354" s="71"/>
      <c r="P354" s="67"/>
      <c r="R354" s="67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6"/>
      <c r="BY354" s="6"/>
      <c r="BZ354" s="6"/>
      <c r="CA354" s="6"/>
      <c r="CB354" s="6"/>
      <c r="CC354" s="6"/>
      <c r="CD354" s="6"/>
      <c r="CE354" s="6"/>
      <c r="CF354" s="6"/>
      <c r="CG354" s="6"/>
      <c r="CH354" s="6"/>
      <c r="CI354" s="6"/>
      <c r="CJ354" s="6"/>
      <c r="CK354" s="6"/>
      <c r="CL354" s="6"/>
      <c r="CM354" s="6"/>
      <c r="CN354" s="6"/>
      <c r="CO354" s="6"/>
      <c r="CP354" s="6"/>
      <c r="CQ354" s="6"/>
      <c r="CR354" s="6"/>
      <c r="CS354" s="6"/>
      <c r="CT354" s="6"/>
      <c r="CU354" s="6"/>
      <c r="CV354" s="6"/>
      <c r="CW354" s="6"/>
      <c r="CX354" s="6"/>
      <c r="CY354" s="6"/>
      <c r="CZ354" s="6"/>
      <c r="DA354" s="6"/>
      <c r="DB354" s="6"/>
      <c r="DC354" s="6"/>
      <c r="DD354" s="6"/>
      <c r="DE354" s="6"/>
      <c r="DF354" s="6"/>
      <c r="DG354" s="6"/>
      <c r="DH354" s="6"/>
      <c r="DI354" s="6"/>
      <c r="DJ354" s="6"/>
    </row>
    <row r="355" spans="2:114" x14ac:dyDescent="0.2">
      <c r="B355" s="68"/>
      <c r="C355" s="69"/>
      <c r="D355" s="70"/>
      <c r="F355" s="68"/>
      <c r="G355" s="69"/>
      <c r="H355" s="70"/>
      <c r="J355" s="71"/>
      <c r="K355" s="71"/>
      <c r="L355" s="67"/>
      <c r="N355" s="71"/>
      <c r="O355" s="71"/>
      <c r="P355" s="67"/>
      <c r="R355" s="67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6"/>
      <c r="BY355" s="6"/>
      <c r="BZ355" s="6"/>
      <c r="CA355" s="6"/>
      <c r="CB355" s="6"/>
      <c r="CC355" s="6"/>
      <c r="CD355" s="6"/>
      <c r="CE355" s="6"/>
      <c r="CF355" s="6"/>
      <c r="CG355" s="6"/>
      <c r="CH355" s="6"/>
      <c r="CI355" s="6"/>
      <c r="CJ355" s="6"/>
      <c r="CK355" s="6"/>
      <c r="CL355" s="6"/>
      <c r="CM355" s="6"/>
      <c r="CN355" s="6"/>
      <c r="CO355" s="6"/>
      <c r="CP355" s="6"/>
      <c r="CQ355" s="6"/>
      <c r="CR355" s="6"/>
      <c r="CS355" s="6"/>
      <c r="CT355" s="6"/>
      <c r="CU355" s="6"/>
      <c r="CV355" s="6"/>
      <c r="CW355" s="6"/>
      <c r="CX355" s="6"/>
      <c r="CY355" s="6"/>
      <c r="CZ355" s="6"/>
      <c r="DA355" s="6"/>
      <c r="DB355" s="6"/>
      <c r="DC355" s="6"/>
      <c r="DD355" s="6"/>
      <c r="DE355" s="6"/>
      <c r="DF355" s="6"/>
      <c r="DG355" s="6"/>
      <c r="DH355" s="6"/>
      <c r="DI355" s="6"/>
      <c r="DJ355" s="6"/>
    </row>
    <row r="356" spans="2:114" x14ac:dyDescent="0.2">
      <c r="B356" s="68"/>
      <c r="C356" s="69"/>
      <c r="D356" s="70"/>
      <c r="F356" s="68"/>
      <c r="G356" s="69"/>
      <c r="H356" s="70"/>
      <c r="J356" s="71"/>
      <c r="K356" s="71"/>
      <c r="L356" s="67"/>
      <c r="N356" s="71"/>
      <c r="O356" s="71"/>
      <c r="P356" s="67"/>
      <c r="R356" s="67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6"/>
      <c r="BY356" s="6"/>
      <c r="BZ356" s="6"/>
      <c r="CA356" s="6"/>
      <c r="CB356" s="6"/>
      <c r="CC356" s="6"/>
      <c r="CD356" s="6"/>
      <c r="CE356" s="6"/>
      <c r="CF356" s="6"/>
      <c r="CG356" s="6"/>
      <c r="CH356" s="6"/>
      <c r="CI356" s="6"/>
      <c r="CJ356" s="6"/>
      <c r="CK356" s="6"/>
      <c r="CL356" s="6"/>
      <c r="CM356" s="6"/>
      <c r="CN356" s="6"/>
      <c r="CO356" s="6"/>
      <c r="CP356" s="6"/>
      <c r="CQ356" s="6"/>
      <c r="CR356" s="6"/>
      <c r="CS356" s="6"/>
      <c r="CT356" s="6"/>
      <c r="CU356" s="6"/>
      <c r="CV356" s="6"/>
      <c r="CW356" s="6"/>
      <c r="CX356" s="6"/>
      <c r="CY356" s="6"/>
      <c r="CZ356" s="6"/>
      <c r="DA356" s="6"/>
      <c r="DB356" s="6"/>
      <c r="DC356" s="6"/>
      <c r="DD356" s="6"/>
      <c r="DE356" s="6"/>
      <c r="DF356" s="6"/>
      <c r="DG356" s="6"/>
      <c r="DH356" s="6"/>
      <c r="DI356" s="6"/>
      <c r="DJ356" s="6"/>
    </row>
    <row r="357" spans="2:114" x14ac:dyDescent="0.2">
      <c r="B357" s="68"/>
      <c r="C357" s="69"/>
      <c r="D357" s="70"/>
      <c r="F357" s="68"/>
      <c r="G357" s="69"/>
      <c r="H357" s="70"/>
      <c r="J357" s="71"/>
      <c r="K357" s="71"/>
      <c r="L357" s="67"/>
      <c r="N357" s="71"/>
      <c r="O357" s="71"/>
      <c r="P357" s="67"/>
      <c r="R357" s="67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6"/>
      <c r="BY357" s="6"/>
      <c r="BZ357" s="6"/>
      <c r="CA357" s="6"/>
      <c r="CB357" s="6"/>
      <c r="CC357" s="6"/>
      <c r="CD357" s="6"/>
      <c r="CE357" s="6"/>
      <c r="CF357" s="6"/>
      <c r="CG357" s="6"/>
      <c r="CH357" s="6"/>
      <c r="CI357" s="6"/>
      <c r="CJ357" s="6"/>
      <c r="CK357" s="6"/>
      <c r="CL357" s="6"/>
      <c r="CM357" s="6"/>
      <c r="CN357" s="6"/>
      <c r="CO357" s="6"/>
      <c r="CP357" s="6"/>
      <c r="CQ357" s="6"/>
      <c r="CR357" s="6"/>
      <c r="CS357" s="6"/>
      <c r="CT357" s="6"/>
      <c r="CU357" s="6"/>
      <c r="CV357" s="6"/>
      <c r="CW357" s="6"/>
      <c r="CX357" s="6"/>
      <c r="CY357" s="6"/>
      <c r="CZ357" s="6"/>
      <c r="DA357" s="6"/>
      <c r="DB357" s="6"/>
      <c r="DC357" s="6"/>
      <c r="DD357" s="6"/>
      <c r="DE357" s="6"/>
      <c r="DF357" s="6"/>
      <c r="DG357" s="6"/>
      <c r="DH357" s="6"/>
      <c r="DI357" s="6"/>
      <c r="DJ357" s="6"/>
    </row>
    <row r="358" spans="2:114" x14ac:dyDescent="0.2">
      <c r="B358" s="68"/>
      <c r="C358" s="69"/>
      <c r="D358" s="70"/>
      <c r="F358" s="68"/>
      <c r="G358" s="69"/>
      <c r="H358" s="70"/>
      <c r="J358" s="71"/>
      <c r="K358" s="71"/>
      <c r="L358" s="67"/>
      <c r="N358" s="71"/>
      <c r="O358" s="71"/>
      <c r="P358" s="67"/>
      <c r="R358" s="67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6"/>
      <c r="BY358" s="6"/>
      <c r="BZ358" s="6"/>
      <c r="CA358" s="6"/>
      <c r="CB358" s="6"/>
      <c r="CC358" s="6"/>
      <c r="CD358" s="6"/>
      <c r="CE358" s="6"/>
      <c r="CF358" s="6"/>
      <c r="CG358" s="6"/>
      <c r="CH358" s="6"/>
      <c r="CI358" s="6"/>
      <c r="CJ358" s="6"/>
      <c r="CK358" s="6"/>
      <c r="CL358" s="6"/>
      <c r="CM358" s="6"/>
      <c r="CN358" s="6"/>
      <c r="CO358" s="6"/>
      <c r="CP358" s="6"/>
      <c r="CQ358" s="6"/>
      <c r="CR358" s="6"/>
      <c r="CS358" s="6"/>
      <c r="CT358" s="6"/>
      <c r="CU358" s="6"/>
      <c r="CV358" s="6"/>
      <c r="CW358" s="6"/>
      <c r="CX358" s="6"/>
      <c r="CY358" s="6"/>
      <c r="CZ358" s="6"/>
      <c r="DA358" s="6"/>
      <c r="DB358" s="6"/>
      <c r="DC358" s="6"/>
      <c r="DD358" s="6"/>
      <c r="DE358" s="6"/>
      <c r="DF358" s="6"/>
      <c r="DG358" s="6"/>
      <c r="DH358" s="6"/>
      <c r="DI358" s="6"/>
      <c r="DJ358" s="6"/>
    </row>
    <row r="359" spans="2:114" x14ac:dyDescent="0.2">
      <c r="B359" s="68"/>
      <c r="C359" s="69"/>
      <c r="D359" s="70"/>
      <c r="F359" s="68"/>
      <c r="G359" s="69"/>
      <c r="H359" s="70"/>
      <c r="J359" s="71"/>
      <c r="K359" s="71"/>
      <c r="L359" s="67"/>
      <c r="N359" s="71"/>
      <c r="O359" s="71"/>
      <c r="P359" s="67"/>
      <c r="R359" s="67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6"/>
      <c r="BY359" s="6"/>
      <c r="BZ359" s="6"/>
      <c r="CA359" s="6"/>
      <c r="CB359" s="6"/>
      <c r="CC359" s="6"/>
      <c r="CD359" s="6"/>
      <c r="CE359" s="6"/>
      <c r="CF359" s="6"/>
      <c r="CG359" s="6"/>
      <c r="CH359" s="6"/>
      <c r="CI359" s="6"/>
      <c r="CJ359" s="6"/>
      <c r="CK359" s="6"/>
      <c r="CL359" s="6"/>
      <c r="CM359" s="6"/>
      <c r="CN359" s="6"/>
      <c r="CO359" s="6"/>
      <c r="CP359" s="6"/>
      <c r="CQ359" s="6"/>
      <c r="CR359" s="6"/>
      <c r="CS359" s="6"/>
      <c r="CT359" s="6"/>
      <c r="CU359" s="6"/>
      <c r="CV359" s="6"/>
      <c r="CW359" s="6"/>
      <c r="CX359" s="6"/>
      <c r="CY359" s="6"/>
      <c r="CZ359" s="6"/>
      <c r="DA359" s="6"/>
      <c r="DB359" s="6"/>
      <c r="DC359" s="6"/>
      <c r="DD359" s="6"/>
      <c r="DE359" s="6"/>
      <c r="DF359" s="6"/>
      <c r="DG359" s="6"/>
      <c r="DH359" s="6"/>
      <c r="DI359" s="6"/>
      <c r="DJ359" s="6"/>
    </row>
    <row r="360" spans="2:114" x14ac:dyDescent="0.2">
      <c r="B360" s="68"/>
      <c r="C360" s="69"/>
      <c r="D360" s="70"/>
      <c r="F360" s="68"/>
      <c r="G360" s="69"/>
      <c r="H360" s="70"/>
      <c r="J360" s="71"/>
      <c r="K360" s="71"/>
      <c r="L360" s="67"/>
      <c r="N360" s="71"/>
      <c r="O360" s="71"/>
      <c r="P360" s="67"/>
      <c r="R360" s="67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6"/>
      <c r="BY360" s="6"/>
      <c r="BZ360" s="6"/>
      <c r="CA360" s="6"/>
      <c r="CB360" s="6"/>
      <c r="CC360" s="6"/>
      <c r="CD360" s="6"/>
      <c r="CE360" s="6"/>
      <c r="CF360" s="6"/>
      <c r="CG360" s="6"/>
      <c r="CH360" s="6"/>
      <c r="CI360" s="6"/>
      <c r="CJ360" s="6"/>
      <c r="CK360" s="6"/>
      <c r="CL360" s="6"/>
      <c r="CM360" s="6"/>
      <c r="CN360" s="6"/>
      <c r="CO360" s="6"/>
      <c r="CP360" s="6"/>
      <c r="CQ360" s="6"/>
      <c r="CR360" s="6"/>
      <c r="CS360" s="6"/>
      <c r="CT360" s="6"/>
      <c r="CU360" s="6"/>
      <c r="CV360" s="6"/>
      <c r="CW360" s="6"/>
      <c r="CX360" s="6"/>
      <c r="CY360" s="6"/>
      <c r="CZ360" s="6"/>
      <c r="DA360" s="6"/>
      <c r="DB360" s="6"/>
      <c r="DC360" s="6"/>
      <c r="DD360" s="6"/>
      <c r="DE360" s="6"/>
      <c r="DF360" s="6"/>
      <c r="DG360" s="6"/>
      <c r="DH360" s="6"/>
      <c r="DI360" s="6"/>
      <c r="DJ360" s="6"/>
    </row>
    <row r="361" spans="2:114" x14ac:dyDescent="0.2">
      <c r="B361" s="68"/>
      <c r="C361" s="69"/>
      <c r="D361" s="70"/>
      <c r="F361" s="68"/>
      <c r="G361" s="69"/>
      <c r="H361" s="70"/>
      <c r="J361" s="71"/>
      <c r="K361" s="71"/>
      <c r="L361" s="67"/>
      <c r="N361" s="71"/>
      <c r="O361" s="71"/>
      <c r="P361" s="67"/>
      <c r="R361" s="67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6"/>
      <c r="BY361" s="6"/>
      <c r="BZ361" s="6"/>
      <c r="CA361" s="6"/>
      <c r="CB361" s="6"/>
      <c r="CC361" s="6"/>
      <c r="CD361" s="6"/>
      <c r="CE361" s="6"/>
      <c r="CF361" s="6"/>
      <c r="CG361" s="6"/>
      <c r="CH361" s="6"/>
      <c r="CI361" s="6"/>
      <c r="CJ361" s="6"/>
      <c r="CK361" s="6"/>
      <c r="CL361" s="6"/>
      <c r="CM361" s="6"/>
      <c r="CN361" s="6"/>
      <c r="CO361" s="6"/>
      <c r="CP361" s="6"/>
      <c r="CQ361" s="6"/>
      <c r="CR361" s="6"/>
      <c r="CS361" s="6"/>
      <c r="CT361" s="6"/>
      <c r="CU361" s="6"/>
      <c r="CV361" s="6"/>
      <c r="CW361" s="6"/>
      <c r="CX361" s="6"/>
      <c r="CY361" s="6"/>
      <c r="CZ361" s="6"/>
      <c r="DA361" s="6"/>
      <c r="DB361" s="6"/>
      <c r="DC361" s="6"/>
      <c r="DD361" s="6"/>
      <c r="DE361" s="6"/>
      <c r="DF361" s="6"/>
      <c r="DG361" s="6"/>
      <c r="DH361" s="6"/>
      <c r="DI361" s="6"/>
      <c r="DJ361" s="6"/>
    </row>
    <row r="362" spans="2:114" x14ac:dyDescent="0.2">
      <c r="B362" s="68"/>
      <c r="C362" s="69"/>
      <c r="D362" s="70"/>
      <c r="F362" s="68"/>
      <c r="G362" s="69"/>
      <c r="H362" s="70"/>
      <c r="J362" s="71"/>
      <c r="K362" s="71"/>
      <c r="L362" s="67"/>
      <c r="N362" s="71"/>
      <c r="O362" s="71"/>
      <c r="P362" s="67"/>
      <c r="R362" s="67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6"/>
      <c r="BY362" s="6"/>
      <c r="BZ362" s="6"/>
      <c r="CA362" s="6"/>
      <c r="CB362" s="6"/>
      <c r="CC362" s="6"/>
      <c r="CD362" s="6"/>
      <c r="CE362" s="6"/>
      <c r="CF362" s="6"/>
      <c r="CG362" s="6"/>
      <c r="CH362" s="6"/>
      <c r="CI362" s="6"/>
      <c r="CJ362" s="6"/>
      <c r="CK362" s="6"/>
      <c r="CL362" s="6"/>
      <c r="CM362" s="6"/>
      <c r="CN362" s="6"/>
      <c r="CO362" s="6"/>
      <c r="CP362" s="6"/>
      <c r="CQ362" s="6"/>
      <c r="CR362" s="6"/>
      <c r="CS362" s="6"/>
      <c r="CT362" s="6"/>
      <c r="CU362" s="6"/>
      <c r="CV362" s="6"/>
      <c r="CW362" s="6"/>
      <c r="CX362" s="6"/>
      <c r="CY362" s="6"/>
      <c r="CZ362" s="6"/>
      <c r="DA362" s="6"/>
      <c r="DB362" s="6"/>
      <c r="DC362" s="6"/>
      <c r="DD362" s="6"/>
      <c r="DE362" s="6"/>
      <c r="DF362" s="6"/>
      <c r="DG362" s="6"/>
      <c r="DH362" s="6"/>
      <c r="DI362" s="6"/>
      <c r="DJ362" s="6"/>
    </row>
    <row r="363" spans="2:114" x14ac:dyDescent="0.2">
      <c r="B363" s="68"/>
      <c r="C363" s="69"/>
      <c r="D363" s="70"/>
      <c r="F363" s="68"/>
      <c r="G363" s="69"/>
      <c r="H363" s="70"/>
      <c r="J363" s="71"/>
      <c r="K363" s="71"/>
      <c r="L363" s="67"/>
      <c r="N363" s="71"/>
      <c r="O363" s="71"/>
      <c r="P363" s="67"/>
      <c r="R363" s="67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6"/>
      <c r="BY363" s="6"/>
      <c r="BZ363" s="6"/>
      <c r="CA363" s="6"/>
      <c r="CB363" s="6"/>
      <c r="CC363" s="6"/>
      <c r="CD363" s="6"/>
      <c r="CE363" s="6"/>
      <c r="CF363" s="6"/>
      <c r="CG363" s="6"/>
      <c r="CH363" s="6"/>
      <c r="CI363" s="6"/>
      <c r="CJ363" s="6"/>
      <c r="CK363" s="6"/>
      <c r="CL363" s="6"/>
      <c r="CM363" s="6"/>
      <c r="CN363" s="6"/>
      <c r="CO363" s="6"/>
      <c r="CP363" s="6"/>
      <c r="CQ363" s="6"/>
      <c r="CR363" s="6"/>
      <c r="CS363" s="6"/>
      <c r="CT363" s="6"/>
      <c r="CU363" s="6"/>
      <c r="CV363" s="6"/>
      <c r="CW363" s="6"/>
      <c r="CX363" s="6"/>
      <c r="CY363" s="6"/>
      <c r="CZ363" s="6"/>
      <c r="DA363" s="6"/>
      <c r="DB363" s="6"/>
      <c r="DC363" s="6"/>
      <c r="DD363" s="6"/>
      <c r="DE363" s="6"/>
      <c r="DF363" s="6"/>
      <c r="DG363" s="6"/>
      <c r="DH363" s="6"/>
      <c r="DI363" s="6"/>
      <c r="DJ363" s="6"/>
    </row>
    <row r="364" spans="2:114" x14ac:dyDescent="0.2">
      <c r="B364" s="68"/>
      <c r="C364" s="69"/>
      <c r="D364" s="70"/>
      <c r="F364" s="68"/>
      <c r="G364" s="69"/>
      <c r="H364" s="70"/>
      <c r="J364" s="71"/>
      <c r="K364" s="71"/>
      <c r="L364" s="67"/>
      <c r="N364" s="71"/>
      <c r="O364" s="71"/>
      <c r="P364" s="67"/>
      <c r="R364" s="67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6"/>
      <c r="BY364" s="6"/>
      <c r="BZ364" s="6"/>
      <c r="CA364" s="6"/>
      <c r="CB364" s="6"/>
      <c r="CC364" s="6"/>
      <c r="CD364" s="6"/>
      <c r="CE364" s="6"/>
      <c r="CF364" s="6"/>
      <c r="CG364" s="6"/>
      <c r="CH364" s="6"/>
      <c r="CI364" s="6"/>
      <c r="CJ364" s="6"/>
      <c r="CK364" s="6"/>
      <c r="CL364" s="6"/>
      <c r="CM364" s="6"/>
      <c r="CN364" s="6"/>
      <c r="CO364" s="6"/>
      <c r="CP364" s="6"/>
      <c r="CQ364" s="6"/>
      <c r="CR364" s="6"/>
      <c r="CS364" s="6"/>
      <c r="CT364" s="6"/>
      <c r="CU364" s="6"/>
      <c r="CV364" s="6"/>
      <c r="CW364" s="6"/>
      <c r="CX364" s="6"/>
      <c r="CY364" s="6"/>
      <c r="CZ364" s="6"/>
      <c r="DA364" s="6"/>
      <c r="DB364" s="6"/>
      <c r="DC364" s="6"/>
      <c r="DD364" s="6"/>
      <c r="DE364" s="6"/>
      <c r="DF364" s="6"/>
      <c r="DG364" s="6"/>
      <c r="DH364" s="6"/>
      <c r="DI364" s="6"/>
      <c r="DJ364" s="6"/>
    </row>
    <row r="365" spans="2:114" x14ac:dyDescent="0.2">
      <c r="B365" s="68"/>
      <c r="C365" s="69"/>
      <c r="D365" s="70"/>
      <c r="F365" s="68"/>
      <c r="G365" s="69"/>
      <c r="H365" s="70"/>
      <c r="J365" s="71"/>
      <c r="K365" s="71"/>
      <c r="L365" s="67"/>
      <c r="N365" s="71"/>
      <c r="O365" s="71"/>
      <c r="P365" s="67"/>
      <c r="R365" s="67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6"/>
      <c r="BY365" s="6"/>
      <c r="BZ365" s="6"/>
      <c r="CA365" s="6"/>
      <c r="CB365" s="6"/>
      <c r="CC365" s="6"/>
      <c r="CD365" s="6"/>
      <c r="CE365" s="6"/>
      <c r="CF365" s="6"/>
      <c r="CG365" s="6"/>
      <c r="CH365" s="6"/>
      <c r="CI365" s="6"/>
      <c r="CJ365" s="6"/>
      <c r="CK365" s="6"/>
      <c r="CL365" s="6"/>
      <c r="CM365" s="6"/>
      <c r="CN365" s="6"/>
      <c r="CO365" s="6"/>
      <c r="CP365" s="6"/>
      <c r="CQ365" s="6"/>
      <c r="CR365" s="6"/>
      <c r="CS365" s="6"/>
      <c r="CT365" s="6"/>
      <c r="CU365" s="6"/>
      <c r="CV365" s="6"/>
      <c r="CW365" s="6"/>
      <c r="CX365" s="6"/>
      <c r="CY365" s="6"/>
      <c r="CZ365" s="6"/>
      <c r="DA365" s="6"/>
      <c r="DB365" s="6"/>
      <c r="DC365" s="6"/>
      <c r="DD365" s="6"/>
      <c r="DE365" s="6"/>
      <c r="DF365" s="6"/>
      <c r="DG365" s="6"/>
      <c r="DH365" s="6"/>
      <c r="DI365" s="6"/>
      <c r="DJ365" s="6"/>
    </row>
    <row r="366" spans="2:114" x14ac:dyDescent="0.2">
      <c r="B366" s="68"/>
      <c r="C366" s="69"/>
      <c r="D366" s="70"/>
      <c r="F366" s="68"/>
      <c r="G366" s="69"/>
      <c r="H366" s="70"/>
      <c r="J366" s="71"/>
      <c r="K366" s="71"/>
      <c r="L366" s="67"/>
      <c r="N366" s="71"/>
      <c r="O366" s="71"/>
      <c r="P366" s="67"/>
      <c r="R366" s="67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6"/>
      <c r="BZ366" s="6"/>
      <c r="CA366" s="6"/>
      <c r="CB366" s="6"/>
      <c r="CC366" s="6"/>
      <c r="CD366" s="6"/>
      <c r="CE366" s="6"/>
      <c r="CF366" s="6"/>
      <c r="CG366" s="6"/>
      <c r="CH366" s="6"/>
      <c r="CI366" s="6"/>
      <c r="CJ366" s="6"/>
      <c r="CK366" s="6"/>
      <c r="CL366" s="6"/>
      <c r="CM366" s="6"/>
      <c r="CN366" s="6"/>
      <c r="CO366" s="6"/>
      <c r="CP366" s="6"/>
      <c r="CQ366" s="6"/>
      <c r="CR366" s="6"/>
      <c r="CS366" s="6"/>
      <c r="CT366" s="6"/>
      <c r="CU366" s="6"/>
      <c r="CV366" s="6"/>
      <c r="CW366" s="6"/>
      <c r="CX366" s="6"/>
      <c r="CY366" s="6"/>
      <c r="CZ366" s="6"/>
      <c r="DA366" s="6"/>
      <c r="DB366" s="6"/>
      <c r="DC366" s="6"/>
      <c r="DD366" s="6"/>
      <c r="DE366" s="6"/>
      <c r="DF366" s="6"/>
      <c r="DG366" s="6"/>
      <c r="DH366" s="6"/>
      <c r="DI366" s="6"/>
      <c r="DJ366" s="6"/>
    </row>
    <row r="367" spans="2:114" x14ac:dyDescent="0.2">
      <c r="B367" s="68"/>
      <c r="C367" s="69"/>
      <c r="D367" s="70"/>
      <c r="F367" s="68"/>
      <c r="G367" s="69"/>
      <c r="H367" s="70"/>
      <c r="J367" s="71"/>
      <c r="K367" s="71"/>
      <c r="L367" s="67"/>
      <c r="N367" s="71"/>
      <c r="O367" s="71"/>
      <c r="P367" s="67"/>
      <c r="R367" s="67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6"/>
      <c r="BY367" s="6"/>
      <c r="BZ367" s="6"/>
      <c r="CA367" s="6"/>
      <c r="CB367" s="6"/>
      <c r="CC367" s="6"/>
      <c r="CD367" s="6"/>
      <c r="CE367" s="6"/>
      <c r="CF367" s="6"/>
      <c r="CG367" s="6"/>
      <c r="CH367" s="6"/>
      <c r="CI367" s="6"/>
      <c r="CJ367" s="6"/>
      <c r="CK367" s="6"/>
      <c r="CL367" s="6"/>
      <c r="CM367" s="6"/>
      <c r="CN367" s="6"/>
      <c r="CO367" s="6"/>
      <c r="CP367" s="6"/>
      <c r="CQ367" s="6"/>
      <c r="CR367" s="6"/>
      <c r="CS367" s="6"/>
      <c r="CT367" s="6"/>
      <c r="CU367" s="6"/>
      <c r="CV367" s="6"/>
      <c r="CW367" s="6"/>
      <c r="CX367" s="6"/>
      <c r="CY367" s="6"/>
      <c r="CZ367" s="6"/>
      <c r="DA367" s="6"/>
      <c r="DB367" s="6"/>
      <c r="DC367" s="6"/>
      <c r="DD367" s="6"/>
      <c r="DE367" s="6"/>
      <c r="DF367" s="6"/>
      <c r="DG367" s="6"/>
      <c r="DH367" s="6"/>
      <c r="DI367" s="6"/>
      <c r="DJ367" s="6"/>
    </row>
    <row r="368" spans="2:114" x14ac:dyDescent="0.2">
      <c r="B368" s="68"/>
      <c r="C368" s="69"/>
      <c r="D368" s="70"/>
      <c r="F368" s="68"/>
      <c r="G368" s="69"/>
      <c r="H368" s="70"/>
      <c r="J368" s="71"/>
      <c r="K368" s="71"/>
      <c r="L368" s="67"/>
      <c r="N368" s="71"/>
      <c r="O368" s="71"/>
      <c r="P368" s="67"/>
      <c r="R368" s="67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6"/>
      <c r="BY368" s="6"/>
      <c r="BZ368" s="6"/>
      <c r="CA368" s="6"/>
      <c r="CB368" s="6"/>
      <c r="CC368" s="6"/>
      <c r="CD368" s="6"/>
      <c r="CE368" s="6"/>
      <c r="CF368" s="6"/>
      <c r="CG368" s="6"/>
      <c r="CH368" s="6"/>
      <c r="CI368" s="6"/>
      <c r="CJ368" s="6"/>
      <c r="CK368" s="6"/>
      <c r="CL368" s="6"/>
      <c r="CM368" s="6"/>
      <c r="CN368" s="6"/>
      <c r="CO368" s="6"/>
      <c r="CP368" s="6"/>
      <c r="CQ368" s="6"/>
      <c r="CR368" s="6"/>
      <c r="CS368" s="6"/>
      <c r="CT368" s="6"/>
      <c r="CU368" s="6"/>
      <c r="CV368" s="6"/>
      <c r="CW368" s="6"/>
      <c r="CX368" s="6"/>
      <c r="CY368" s="6"/>
      <c r="CZ368" s="6"/>
      <c r="DA368" s="6"/>
      <c r="DB368" s="6"/>
      <c r="DC368" s="6"/>
      <c r="DD368" s="6"/>
      <c r="DE368" s="6"/>
      <c r="DF368" s="6"/>
      <c r="DG368" s="6"/>
      <c r="DH368" s="6"/>
      <c r="DI368" s="6"/>
      <c r="DJ368" s="6"/>
    </row>
    <row r="369" spans="2:114" x14ac:dyDescent="0.2">
      <c r="B369" s="68"/>
      <c r="C369" s="69"/>
      <c r="D369" s="70"/>
      <c r="F369" s="68"/>
      <c r="G369" s="69"/>
      <c r="H369" s="70"/>
      <c r="J369" s="71"/>
      <c r="K369" s="71"/>
      <c r="L369" s="67"/>
      <c r="N369" s="71"/>
      <c r="O369" s="71"/>
      <c r="P369" s="67"/>
      <c r="R369" s="67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6"/>
      <c r="BY369" s="6"/>
      <c r="BZ369" s="6"/>
      <c r="CA369" s="6"/>
      <c r="CB369" s="6"/>
      <c r="CC369" s="6"/>
      <c r="CD369" s="6"/>
      <c r="CE369" s="6"/>
      <c r="CF369" s="6"/>
      <c r="CG369" s="6"/>
      <c r="CH369" s="6"/>
      <c r="CI369" s="6"/>
      <c r="CJ369" s="6"/>
      <c r="CK369" s="6"/>
      <c r="CL369" s="6"/>
      <c r="CM369" s="6"/>
      <c r="CN369" s="6"/>
      <c r="CO369" s="6"/>
      <c r="CP369" s="6"/>
      <c r="CQ369" s="6"/>
      <c r="CR369" s="6"/>
      <c r="CS369" s="6"/>
      <c r="CT369" s="6"/>
      <c r="CU369" s="6"/>
      <c r="CV369" s="6"/>
      <c r="CW369" s="6"/>
      <c r="CX369" s="6"/>
      <c r="CY369" s="6"/>
      <c r="CZ369" s="6"/>
      <c r="DA369" s="6"/>
      <c r="DB369" s="6"/>
      <c r="DC369" s="6"/>
      <c r="DD369" s="6"/>
      <c r="DE369" s="6"/>
      <c r="DF369" s="6"/>
      <c r="DG369" s="6"/>
      <c r="DH369" s="6"/>
      <c r="DI369" s="6"/>
      <c r="DJ369" s="6"/>
    </row>
    <row r="370" spans="2:114" x14ac:dyDescent="0.2">
      <c r="B370" s="68"/>
      <c r="C370" s="69"/>
      <c r="D370" s="70"/>
      <c r="F370" s="68"/>
      <c r="G370" s="69"/>
      <c r="H370" s="70"/>
      <c r="J370" s="71"/>
      <c r="K370" s="71"/>
      <c r="L370" s="67"/>
      <c r="N370" s="71"/>
      <c r="O370" s="71"/>
      <c r="P370" s="67"/>
      <c r="R370" s="67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6"/>
      <c r="BY370" s="6"/>
      <c r="BZ370" s="6"/>
      <c r="CA370" s="6"/>
      <c r="CB370" s="6"/>
      <c r="CC370" s="6"/>
      <c r="CD370" s="6"/>
      <c r="CE370" s="6"/>
      <c r="CF370" s="6"/>
      <c r="CG370" s="6"/>
      <c r="CH370" s="6"/>
      <c r="CI370" s="6"/>
      <c r="CJ370" s="6"/>
      <c r="CK370" s="6"/>
      <c r="CL370" s="6"/>
      <c r="CM370" s="6"/>
      <c r="CN370" s="6"/>
      <c r="CO370" s="6"/>
      <c r="CP370" s="6"/>
      <c r="CQ370" s="6"/>
      <c r="CR370" s="6"/>
      <c r="CS370" s="6"/>
      <c r="CT370" s="6"/>
      <c r="CU370" s="6"/>
      <c r="CV370" s="6"/>
      <c r="CW370" s="6"/>
      <c r="CX370" s="6"/>
      <c r="CY370" s="6"/>
      <c r="CZ370" s="6"/>
      <c r="DA370" s="6"/>
      <c r="DB370" s="6"/>
      <c r="DC370" s="6"/>
      <c r="DD370" s="6"/>
      <c r="DE370" s="6"/>
      <c r="DF370" s="6"/>
      <c r="DG370" s="6"/>
      <c r="DH370" s="6"/>
      <c r="DI370" s="6"/>
      <c r="DJ370" s="6"/>
    </row>
    <row r="371" spans="2:114" x14ac:dyDescent="0.2">
      <c r="B371" s="68"/>
      <c r="C371" s="69"/>
      <c r="D371" s="70"/>
      <c r="F371" s="68"/>
      <c r="G371" s="69"/>
      <c r="H371" s="70"/>
      <c r="J371" s="71"/>
      <c r="K371" s="71"/>
      <c r="L371" s="67"/>
      <c r="N371" s="71"/>
      <c r="O371" s="71"/>
      <c r="P371" s="67"/>
      <c r="R371" s="67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6"/>
      <c r="BY371" s="6"/>
      <c r="BZ371" s="6"/>
      <c r="CA371" s="6"/>
      <c r="CB371" s="6"/>
      <c r="CC371" s="6"/>
      <c r="CD371" s="6"/>
      <c r="CE371" s="6"/>
      <c r="CF371" s="6"/>
      <c r="CG371" s="6"/>
      <c r="CH371" s="6"/>
      <c r="CI371" s="6"/>
      <c r="CJ371" s="6"/>
      <c r="CK371" s="6"/>
      <c r="CL371" s="6"/>
      <c r="CM371" s="6"/>
      <c r="CN371" s="6"/>
      <c r="CO371" s="6"/>
      <c r="CP371" s="6"/>
      <c r="CQ371" s="6"/>
      <c r="CR371" s="6"/>
      <c r="CS371" s="6"/>
      <c r="CT371" s="6"/>
      <c r="CU371" s="6"/>
      <c r="CV371" s="6"/>
      <c r="CW371" s="6"/>
      <c r="CX371" s="6"/>
      <c r="CY371" s="6"/>
      <c r="CZ371" s="6"/>
      <c r="DA371" s="6"/>
      <c r="DB371" s="6"/>
      <c r="DC371" s="6"/>
      <c r="DD371" s="6"/>
      <c r="DE371" s="6"/>
      <c r="DF371" s="6"/>
      <c r="DG371" s="6"/>
      <c r="DH371" s="6"/>
      <c r="DI371" s="6"/>
      <c r="DJ371" s="6"/>
    </row>
    <row r="372" spans="2:114" x14ac:dyDescent="0.2">
      <c r="B372" s="68"/>
      <c r="C372" s="69"/>
      <c r="D372" s="70"/>
      <c r="F372" s="68"/>
      <c r="G372" s="69"/>
      <c r="H372" s="70"/>
      <c r="J372" s="71"/>
      <c r="K372" s="71"/>
      <c r="L372" s="67"/>
      <c r="N372" s="71"/>
      <c r="O372" s="71"/>
      <c r="P372" s="67"/>
      <c r="R372" s="67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6"/>
      <c r="BY372" s="6"/>
      <c r="BZ372" s="6"/>
      <c r="CA372" s="6"/>
      <c r="CB372" s="6"/>
      <c r="CC372" s="6"/>
      <c r="CD372" s="6"/>
      <c r="CE372" s="6"/>
      <c r="CF372" s="6"/>
      <c r="CG372" s="6"/>
      <c r="CH372" s="6"/>
      <c r="CI372" s="6"/>
      <c r="CJ372" s="6"/>
      <c r="CK372" s="6"/>
      <c r="CL372" s="6"/>
      <c r="CM372" s="6"/>
      <c r="CN372" s="6"/>
      <c r="CO372" s="6"/>
      <c r="CP372" s="6"/>
      <c r="CQ372" s="6"/>
      <c r="CR372" s="6"/>
      <c r="CS372" s="6"/>
      <c r="CT372" s="6"/>
      <c r="CU372" s="6"/>
      <c r="CV372" s="6"/>
      <c r="CW372" s="6"/>
      <c r="CX372" s="6"/>
      <c r="CY372" s="6"/>
      <c r="CZ372" s="6"/>
      <c r="DA372" s="6"/>
      <c r="DB372" s="6"/>
      <c r="DC372" s="6"/>
      <c r="DD372" s="6"/>
      <c r="DE372" s="6"/>
      <c r="DF372" s="6"/>
      <c r="DG372" s="6"/>
      <c r="DH372" s="6"/>
      <c r="DI372" s="6"/>
      <c r="DJ372" s="6"/>
    </row>
    <row r="373" spans="2:114" x14ac:dyDescent="0.2">
      <c r="B373" s="68"/>
      <c r="C373" s="69"/>
      <c r="D373" s="70"/>
      <c r="F373" s="68"/>
      <c r="G373" s="69"/>
      <c r="H373" s="70"/>
      <c r="J373" s="71"/>
      <c r="K373" s="71"/>
      <c r="L373" s="67"/>
      <c r="N373" s="71"/>
      <c r="O373" s="71"/>
      <c r="P373" s="67"/>
      <c r="R373" s="67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6"/>
      <c r="BY373" s="6"/>
      <c r="BZ373" s="6"/>
      <c r="CA373" s="6"/>
      <c r="CB373" s="6"/>
      <c r="CC373" s="6"/>
      <c r="CD373" s="6"/>
      <c r="CE373" s="6"/>
      <c r="CF373" s="6"/>
      <c r="CG373" s="6"/>
      <c r="CH373" s="6"/>
      <c r="CI373" s="6"/>
      <c r="CJ373" s="6"/>
      <c r="CK373" s="6"/>
      <c r="CL373" s="6"/>
      <c r="CM373" s="6"/>
      <c r="CN373" s="6"/>
      <c r="CO373" s="6"/>
      <c r="CP373" s="6"/>
      <c r="CQ373" s="6"/>
      <c r="CR373" s="6"/>
      <c r="CS373" s="6"/>
      <c r="CT373" s="6"/>
      <c r="CU373" s="6"/>
      <c r="CV373" s="6"/>
      <c r="CW373" s="6"/>
      <c r="CX373" s="6"/>
      <c r="CY373" s="6"/>
      <c r="CZ373" s="6"/>
      <c r="DA373" s="6"/>
      <c r="DB373" s="6"/>
      <c r="DC373" s="6"/>
      <c r="DD373" s="6"/>
      <c r="DE373" s="6"/>
      <c r="DF373" s="6"/>
      <c r="DG373" s="6"/>
      <c r="DH373" s="6"/>
      <c r="DI373" s="6"/>
      <c r="DJ373" s="6"/>
    </row>
    <row r="374" spans="2:114" x14ac:dyDescent="0.2">
      <c r="B374" s="68"/>
      <c r="C374" s="69"/>
      <c r="D374" s="70"/>
      <c r="F374" s="68"/>
      <c r="G374" s="69"/>
      <c r="H374" s="70"/>
      <c r="J374" s="71"/>
      <c r="K374" s="71"/>
      <c r="L374" s="67"/>
      <c r="N374" s="71"/>
      <c r="O374" s="71"/>
      <c r="P374" s="67"/>
      <c r="R374" s="67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6"/>
      <c r="BY374" s="6"/>
      <c r="BZ374" s="6"/>
      <c r="CA374" s="6"/>
      <c r="CB374" s="6"/>
      <c r="CC374" s="6"/>
      <c r="CD374" s="6"/>
      <c r="CE374" s="6"/>
      <c r="CF374" s="6"/>
      <c r="CG374" s="6"/>
      <c r="CH374" s="6"/>
      <c r="CI374" s="6"/>
      <c r="CJ374" s="6"/>
      <c r="CK374" s="6"/>
      <c r="CL374" s="6"/>
      <c r="CM374" s="6"/>
      <c r="CN374" s="6"/>
      <c r="CO374" s="6"/>
      <c r="CP374" s="6"/>
      <c r="CQ374" s="6"/>
      <c r="CR374" s="6"/>
      <c r="CS374" s="6"/>
      <c r="CT374" s="6"/>
      <c r="CU374" s="6"/>
      <c r="CV374" s="6"/>
      <c r="CW374" s="6"/>
      <c r="CX374" s="6"/>
      <c r="CY374" s="6"/>
      <c r="CZ374" s="6"/>
      <c r="DA374" s="6"/>
      <c r="DB374" s="6"/>
      <c r="DC374" s="6"/>
      <c r="DD374" s="6"/>
      <c r="DE374" s="6"/>
      <c r="DF374" s="6"/>
      <c r="DG374" s="6"/>
      <c r="DH374" s="6"/>
      <c r="DI374" s="6"/>
      <c r="DJ374" s="6"/>
    </row>
    <row r="375" spans="2:114" x14ac:dyDescent="0.2">
      <c r="B375" s="68"/>
      <c r="C375" s="69"/>
      <c r="D375" s="70"/>
      <c r="F375" s="68"/>
      <c r="G375" s="69"/>
      <c r="H375" s="70"/>
      <c r="J375" s="71"/>
      <c r="K375" s="71"/>
      <c r="L375" s="67"/>
      <c r="N375" s="71"/>
      <c r="O375" s="71"/>
      <c r="P375" s="67"/>
      <c r="R375" s="67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6"/>
      <c r="BY375" s="6"/>
      <c r="BZ375" s="6"/>
      <c r="CA375" s="6"/>
      <c r="CB375" s="6"/>
      <c r="CC375" s="6"/>
      <c r="CD375" s="6"/>
      <c r="CE375" s="6"/>
      <c r="CF375" s="6"/>
      <c r="CG375" s="6"/>
      <c r="CH375" s="6"/>
      <c r="CI375" s="6"/>
      <c r="CJ375" s="6"/>
      <c r="CK375" s="6"/>
      <c r="CL375" s="6"/>
      <c r="CM375" s="6"/>
      <c r="CN375" s="6"/>
      <c r="CO375" s="6"/>
      <c r="CP375" s="6"/>
      <c r="CQ375" s="6"/>
      <c r="CR375" s="6"/>
      <c r="CS375" s="6"/>
      <c r="CT375" s="6"/>
      <c r="CU375" s="6"/>
      <c r="CV375" s="6"/>
      <c r="CW375" s="6"/>
      <c r="CX375" s="6"/>
      <c r="CY375" s="6"/>
      <c r="CZ375" s="6"/>
      <c r="DA375" s="6"/>
      <c r="DB375" s="6"/>
      <c r="DC375" s="6"/>
      <c r="DD375" s="6"/>
      <c r="DE375" s="6"/>
      <c r="DF375" s="6"/>
      <c r="DG375" s="6"/>
      <c r="DH375" s="6"/>
      <c r="DI375" s="6"/>
      <c r="DJ375" s="6"/>
    </row>
    <row r="376" spans="2:114" x14ac:dyDescent="0.2">
      <c r="B376" s="68"/>
      <c r="C376" s="69"/>
      <c r="D376" s="70"/>
      <c r="F376" s="68"/>
      <c r="G376" s="69"/>
      <c r="H376" s="70"/>
      <c r="J376" s="71"/>
      <c r="K376" s="71"/>
      <c r="L376" s="67"/>
      <c r="N376" s="71"/>
      <c r="O376" s="71"/>
      <c r="P376" s="67"/>
      <c r="R376" s="67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</row>
    <row r="377" spans="2:114" x14ac:dyDescent="0.2">
      <c r="B377" s="68"/>
      <c r="C377" s="69"/>
      <c r="D377" s="70"/>
      <c r="F377" s="68"/>
      <c r="G377" s="69"/>
      <c r="H377" s="70"/>
      <c r="J377" s="71"/>
      <c r="K377" s="71"/>
      <c r="L377" s="67"/>
      <c r="N377" s="71"/>
      <c r="O377" s="71"/>
      <c r="P377" s="67"/>
      <c r="R377" s="67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</row>
    <row r="378" spans="2:114" x14ac:dyDescent="0.2">
      <c r="B378" s="68"/>
      <c r="C378" s="69"/>
      <c r="D378" s="70"/>
      <c r="F378" s="68"/>
      <c r="G378" s="69"/>
      <c r="H378" s="70"/>
      <c r="J378" s="71"/>
      <c r="K378" s="71"/>
      <c r="L378" s="67"/>
      <c r="N378" s="71"/>
      <c r="O378" s="71"/>
      <c r="P378" s="67"/>
      <c r="R378" s="67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</row>
    <row r="379" spans="2:114" x14ac:dyDescent="0.2">
      <c r="B379" s="68"/>
      <c r="C379" s="69"/>
      <c r="D379" s="70"/>
      <c r="F379" s="68"/>
      <c r="G379" s="69"/>
      <c r="H379" s="70"/>
      <c r="J379" s="71"/>
      <c r="K379" s="71"/>
      <c r="L379" s="67"/>
      <c r="N379" s="71"/>
      <c r="O379" s="71"/>
      <c r="P379" s="67"/>
      <c r="R379" s="67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</row>
    <row r="380" spans="2:114" x14ac:dyDescent="0.2">
      <c r="B380" s="68"/>
      <c r="C380" s="69"/>
      <c r="D380" s="70"/>
      <c r="F380" s="68"/>
      <c r="G380" s="69"/>
      <c r="H380" s="70"/>
      <c r="J380" s="71"/>
      <c r="K380" s="71"/>
      <c r="L380" s="67"/>
      <c r="N380" s="71"/>
      <c r="O380" s="71"/>
      <c r="P380" s="67"/>
      <c r="R380" s="67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</row>
    <row r="381" spans="2:114" x14ac:dyDescent="0.2">
      <c r="B381" s="68"/>
      <c r="C381" s="69"/>
      <c r="D381" s="70"/>
      <c r="F381" s="68"/>
      <c r="G381" s="69"/>
      <c r="H381" s="70"/>
      <c r="J381" s="71"/>
      <c r="K381" s="71"/>
      <c r="L381" s="67"/>
      <c r="N381" s="71"/>
      <c r="O381" s="71"/>
      <c r="P381" s="67"/>
      <c r="R381" s="67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</row>
    <row r="382" spans="2:114" x14ac:dyDescent="0.2">
      <c r="B382" s="68"/>
      <c r="C382" s="69"/>
      <c r="D382" s="70"/>
      <c r="F382" s="68"/>
      <c r="G382" s="69"/>
      <c r="H382" s="70"/>
      <c r="J382" s="71"/>
      <c r="K382" s="71"/>
      <c r="L382" s="67"/>
      <c r="N382" s="71"/>
      <c r="O382" s="71"/>
      <c r="P382" s="67"/>
      <c r="R382" s="67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</row>
    <row r="383" spans="2:114" x14ac:dyDescent="0.2">
      <c r="B383" s="68"/>
      <c r="C383" s="69"/>
      <c r="D383" s="70"/>
      <c r="F383" s="68"/>
      <c r="G383" s="69"/>
      <c r="H383" s="70"/>
      <c r="J383" s="71"/>
      <c r="K383" s="71"/>
      <c r="L383" s="67"/>
      <c r="N383" s="71"/>
      <c r="O383" s="71"/>
      <c r="P383" s="67"/>
      <c r="R383" s="67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</row>
    <row r="384" spans="2:114" x14ac:dyDescent="0.2">
      <c r="B384" s="68"/>
      <c r="C384" s="69"/>
      <c r="D384" s="70"/>
      <c r="F384" s="68"/>
      <c r="G384" s="69"/>
      <c r="H384" s="70"/>
      <c r="J384" s="71"/>
      <c r="K384" s="71"/>
      <c r="L384" s="67"/>
      <c r="N384" s="71"/>
      <c r="O384" s="71"/>
      <c r="P384" s="67"/>
      <c r="R384" s="67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</row>
    <row r="385" spans="2:114" x14ac:dyDescent="0.2">
      <c r="B385" s="68"/>
      <c r="C385" s="69"/>
      <c r="D385" s="70"/>
      <c r="F385" s="68"/>
      <c r="G385" s="69"/>
      <c r="H385" s="70"/>
      <c r="J385" s="71"/>
      <c r="K385" s="71"/>
      <c r="L385" s="67"/>
      <c r="N385" s="71"/>
      <c r="O385" s="71"/>
      <c r="P385" s="67"/>
      <c r="R385" s="67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</row>
    <row r="386" spans="2:114" x14ac:dyDescent="0.2">
      <c r="B386" s="68"/>
      <c r="C386" s="69"/>
      <c r="D386" s="70"/>
      <c r="F386" s="68"/>
      <c r="G386" s="69"/>
      <c r="H386" s="70"/>
      <c r="J386" s="71"/>
      <c r="K386" s="71"/>
      <c r="L386" s="67"/>
      <c r="N386" s="71"/>
      <c r="O386" s="71"/>
      <c r="P386" s="67"/>
      <c r="R386" s="67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</row>
    <row r="387" spans="2:114" x14ac:dyDescent="0.2">
      <c r="B387" s="68"/>
      <c r="C387" s="69"/>
      <c r="D387" s="70"/>
      <c r="F387" s="68"/>
      <c r="G387" s="69"/>
      <c r="H387" s="70"/>
      <c r="J387" s="71"/>
      <c r="K387" s="71"/>
      <c r="L387" s="67"/>
      <c r="N387" s="71"/>
      <c r="O387" s="71"/>
      <c r="P387" s="67"/>
      <c r="R387" s="67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</row>
    <row r="388" spans="2:114" x14ac:dyDescent="0.2">
      <c r="B388" s="68"/>
      <c r="C388" s="69"/>
      <c r="D388" s="70"/>
      <c r="F388" s="68"/>
      <c r="G388" s="69"/>
      <c r="H388" s="70"/>
      <c r="J388" s="71"/>
      <c r="K388" s="71"/>
      <c r="L388" s="67"/>
      <c r="N388" s="71"/>
      <c r="O388" s="71"/>
      <c r="P388" s="67"/>
      <c r="R388" s="67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</row>
    <row r="389" spans="2:114" x14ac:dyDescent="0.2">
      <c r="B389" s="68"/>
      <c r="C389" s="69"/>
      <c r="D389" s="70"/>
      <c r="F389" s="68"/>
      <c r="G389" s="69"/>
      <c r="H389" s="70"/>
      <c r="J389" s="71"/>
      <c r="K389" s="71"/>
      <c r="L389" s="67"/>
      <c r="N389" s="71"/>
      <c r="O389" s="71"/>
      <c r="P389" s="67"/>
      <c r="R389" s="67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</row>
    <row r="390" spans="2:114" x14ac:dyDescent="0.2">
      <c r="B390" s="68"/>
      <c r="C390" s="69"/>
      <c r="D390" s="70"/>
      <c r="F390" s="68"/>
      <c r="G390" s="69"/>
      <c r="H390" s="70"/>
      <c r="J390" s="71"/>
      <c r="K390" s="71"/>
      <c r="L390" s="67"/>
      <c r="N390" s="71"/>
      <c r="O390" s="71"/>
      <c r="P390" s="67"/>
      <c r="R390" s="67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</row>
    <row r="391" spans="2:114" x14ac:dyDescent="0.2">
      <c r="B391" s="68"/>
      <c r="C391" s="69"/>
      <c r="D391" s="70"/>
      <c r="F391" s="68"/>
      <c r="G391" s="69"/>
      <c r="H391" s="70"/>
      <c r="J391" s="71"/>
      <c r="K391" s="71"/>
      <c r="L391" s="67"/>
      <c r="N391" s="71"/>
      <c r="O391" s="71"/>
      <c r="P391" s="67"/>
      <c r="R391" s="67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</row>
    <row r="392" spans="2:114" x14ac:dyDescent="0.2">
      <c r="B392" s="68"/>
      <c r="C392" s="69"/>
      <c r="D392" s="70"/>
      <c r="F392" s="68"/>
      <c r="G392" s="69"/>
      <c r="H392" s="70"/>
      <c r="J392" s="71"/>
      <c r="K392" s="71"/>
      <c r="L392" s="67"/>
      <c r="N392" s="71"/>
      <c r="O392" s="71"/>
      <c r="P392" s="67"/>
      <c r="R392" s="67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</row>
    <row r="393" spans="2:114" x14ac:dyDescent="0.2">
      <c r="B393" s="68"/>
      <c r="C393" s="69"/>
      <c r="D393" s="70"/>
      <c r="F393" s="68"/>
      <c r="G393" s="69"/>
      <c r="H393" s="70"/>
      <c r="J393" s="71"/>
      <c r="K393" s="71"/>
      <c r="L393" s="67"/>
      <c r="N393" s="71"/>
      <c r="O393" s="71"/>
      <c r="P393" s="67"/>
      <c r="R393" s="67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6"/>
      <c r="BY393" s="6"/>
      <c r="BZ393" s="6"/>
      <c r="CA393" s="6"/>
      <c r="CB393" s="6"/>
      <c r="CC393" s="6"/>
      <c r="CD393" s="6"/>
      <c r="CE393" s="6"/>
      <c r="CF393" s="6"/>
      <c r="CG393" s="6"/>
      <c r="CH393" s="6"/>
      <c r="CI393" s="6"/>
      <c r="CJ393" s="6"/>
      <c r="CK393" s="6"/>
      <c r="CL393" s="6"/>
      <c r="CM393" s="6"/>
      <c r="CN393" s="6"/>
      <c r="CO393" s="6"/>
      <c r="CP393" s="6"/>
      <c r="CQ393" s="6"/>
      <c r="CR393" s="6"/>
      <c r="CS393" s="6"/>
      <c r="CT393" s="6"/>
      <c r="CU393" s="6"/>
      <c r="CV393" s="6"/>
      <c r="CW393" s="6"/>
      <c r="CX393" s="6"/>
      <c r="CY393" s="6"/>
      <c r="CZ393" s="6"/>
      <c r="DA393" s="6"/>
      <c r="DB393" s="6"/>
      <c r="DC393" s="6"/>
      <c r="DD393" s="6"/>
      <c r="DE393" s="6"/>
      <c r="DF393" s="6"/>
      <c r="DG393" s="6"/>
      <c r="DH393" s="6"/>
      <c r="DI393" s="6"/>
      <c r="DJ393" s="6"/>
    </row>
    <row r="394" spans="2:114" x14ac:dyDescent="0.2">
      <c r="B394" s="68"/>
      <c r="C394" s="69"/>
      <c r="D394" s="70"/>
      <c r="F394" s="68"/>
      <c r="G394" s="69"/>
      <c r="H394" s="70"/>
      <c r="J394" s="71"/>
      <c r="K394" s="71"/>
      <c r="L394" s="67"/>
      <c r="N394" s="71"/>
      <c r="O394" s="71"/>
      <c r="P394" s="67"/>
      <c r="R394" s="67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6"/>
      <c r="BY394" s="6"/>
      <c r="BZ394" s="6"/>
      <c r="CA394" s="6"/>
      <c r="CB394" s="6"/>
      <c r="CC394" s="6"/>
      <c r="CD394" s="6"/>
      <c r="CE394" s="6"/>
      <c r="CF394" s="6"/>
      <c r="CG394" s="6"/>
      <c r="CH394" s="6"/>
      <c r="CI394" s="6"/>
      <c r="CJ394" s="6"/>
      <c r="CK394" s="6"/>
      <c r="CL394" s="6"/>
      <c r="CM394" s="6"/>
      <c r="CN394" s="6"/>
      <c r="CO394" s="6"/>
      <c r="CP394" s="6"/>
      <c r="CQ394" s="6"/>
      <c r="CR394" s="6"/>
      <c r="CS394" s="6"/>
      <c r="CT394" s="6"/>
      <c r="CU394" s="6"/>
      <c r="CV394" s="6"/>
      <c r="CW394" s="6"/>
      <c r="CX394" s="6"/>
      <c r="CY394" s="6"/>
      <c r="CZ394" s="6"/>
      <c r="DA394" s="6"/>
      <c r="DB394" s="6"/>
      <c r="DC394" s="6"/>
      <c r="DD394" s="6"/>
      <c r="DE394" s="6"/>
      <c r="DF394" s="6"/>
      <c r="DG394" s="6"/>
      <c r="DH394" s="6"/>
      <c r="DI394" s="6"/>
      <c r="DJ394" s="6"/>
    </row>
    <row r="395" spans="2:114" x14ac:dyDescent="0.2">
      <c r="B395" s="68"/>
      <c r="C395" s="69"/>
      <c r="D395" s="70"/>
      <c r="F395" s="68"/>
      <c r="G395" s="69"/>
      <c r="H395" s="70"/>
      <c r="J395" s="71"/>
      <c r="K395" s="71"/>
      <c r="L395" s="67"/>
      <c r="N395" s="71"/>
      <c r="O395" s="71"/>
      <c r="P395" s="67"/>
      <c r="R395" s="67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6"/>
      <c r="BY395" s="6"/>
      <c r="BZ395" s="6"/>
      <c r="CA395" s="6"/>
      <c r="CB395" s="6"/>
      <c r="CC395" s="6"/>
      <c r="CD395" s="6"/>
      <c r="CE395" s="6"/>
      <c r="CF395" s="6"/>
      <c r="CG395" s="6"/>
      <c r="CH395" s="6"/>
      <c r="CI395" s="6"/>
      <c r="CJ395" s="6"/>
      <c r="CK395" s="6"/>
      <c r="CL395" s="6"/>
      <c r="CM395" s="6"/>
      <c r="CN395" s="6"/>
      <c r="CO395" s="6"/>
      <c r="CP395" s="6"/>
      <c r="CQ395" s="6"/>
      <c r="CR395" s="6"/>
      <c r="CS395" s="6"/>
      <c r="CT395" s="6"/>
      <c r="CU395" s="6"/>
      <c r="CV395" s="6"/>
      <c r="CW395" s="6"/>
      <c r="CX395" s="6"/>
      <c r="CY395" s="6"/>
      <c r="CZ395" s="6"/>
      <c r="DA395" s="6"/>
      <c r="DB395" s="6"/>
      <c r="DC395" s="6"/>
      <c r="DD395" s="6"/>
      <c r="DE395" s="6"/>
      <c r="DF395" s="6"/>
      <c r="DG395" s="6"/>
      <c r="DH395" s="6"/>
      <c r="DI395" s="6"/>
      <c r="DJ395" s="6"/>
    </row>
    <row r="396" spans="2:114" x14ac:dyDescent="0.2">
      <c r="B396" s="68"/>
      <c r="C396" s="69"/>
      <c r="D396" s="70"/>
      <c r="F396" s="68"/>
      <c r="G396" s="69"/>
      <c r="H396" s="70"/>
      <c r="J396" s="71"/>
      <c r="K396" s="71"/>
      <c r="L396" s="67"/>
      <c r="N396" s="71"/>
      <c r="O396" s="71"/>
      <c r="P396" s="67"/>
      <c r="R396" s="67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6"/>
      <c r="BY396" s="6"/>
      <c r="BZ396" s="6"/>
      <c r="CA396" s="6"/>
      <c r="CB396" s="6"/>
      <c r="CC396" s="6"/>
      <c r="CD396" s="6"/>
      <c r="CE396" s="6"/>
      <c r="CF396" s="6"/>
      <c r="CG396" s="6"/>
      <c r="CH396" s="6"/>
      <c r="CI396" s="6"/>
      <c r="CJ396" s="6"/>
      <c r="CK396" s="6"/>
      <c r="CL396" s="6"/>
      <c r="CM396" s="6"/>
      <c r="CN396" s="6"/>
      <c r="CO396" s="6"/>
      <c r="CP396" s="6"/>
      <c r="CQ396" s="6"/>
      <c r="CR396" s="6"/>
      <c r="CS396" s="6"/>
      <c r="CT396" s="6"/>
      <c r="CU396" s="6"/>
      <c r="CV396" s="6"/>
      <c r="CW396" s="6"/>
      <c r="CX396" s="6"/>
      <c r="CY396" s="6"/>
      <c r="CZ396" s="6"/>
      <c r="DA396" s="6"/>
      <c r="DB396" s="6"/>
      <c r="DC396" s="6"/>
      <c r="DD396" s="6"/>
      <c r="DE396" s="6"/>
      <c r="DF396" s="6"/>
      <c r="DG396" s="6"/>
      <c r="DH396" s="6"/>
      <c r="DI396" s="6"/>
      <c r="DJ396" s="6"/>
    </row>
    <row r="397" spans="2:114" x14ac:dyDescent="0.2">
      <c r="B397" s="68"/>
      <c r="C397" s="69"/>
      <c r="D397" s="70"/>
      <c r="F397" s="68"/>
      <c r="G397" s="69"/>
      <c r="H397" s="70"/>
      <c r="J397" s="71"/>
      <c r="K397" s="71"/>
      <c r="L397" s="67"/>
      <c r="N397" s="71"/>
      <c r="O397" s="71"/>
      <c r="P397" s="67"/>
      <c r="R397" s="67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6"/>
      <c r="BY397" s="6"/>
      <c r="BZ397" s="6"/>
      <c r="CA397" s="6"/>
      <c r="CB397" s="6"/>
      <c r="CC397" s="6"/>
      <c r="CD397" s="6"/>
      <c r="CE397" s="6"/>
      <c r="CF397" s="6"/>
      <c r="CG397" s="6"/>
      <c r="CH397" s="6"/>
      <c r="CI397" s="6"/>
      <c r="CJ397" s="6"/>
      <c r="CK397" s="6"/>
      <c r="CL397" s="6"/>
      <c r="CM397" s="6"/>
      <c r="CN397" s="6"/>
      <c r="CO397" s="6"/>
      <c r="CP397" s="6"/>
      <c r="CQ397" s="6"/>
      <c r="CR397" s="6"/>
      <c r="CS397" s="6"/>
      <c r="CT397" s="6"/>
      <c r="CU397" s="6"/>
      <c r="CV397" s="6"/>
      <c r="CW397" s="6"/>
      <c r="CX397" s="6"/>
      <c r="CY397" s="6"/>
      <c r="CZ397" s="6"/>
      <c r="DA397" s="6"/>
      <c r="DB397" s="6"/>
      <c r="DC397" s="6"/>
      <c r="DD397" s="6"/>
      <c r="DE397" s="6"/>
      <c r="DF397" s="6"/>
      <c r="DG397" s="6"/>
      <c r="DH397" s="6"/>
      <c r="DI397" s="6"/>
      <c r="DJ397" s="6"/>
    </row>
    <row r="398" spans="2:114" x14ac:dyDescent="0.2">
      <c r="B398" s="68"/>
      <c r="C398" s="69"/>
      <c r="D398" s="70"/>
      <c r="F398" s="68"/>
      <c r="G398" s="69"/>
      <c r="H398" s="70"/>
      <c r="J398" s="71"/>
      <c r="K398" s="71"/>
      <c r="L398" s="67"/>
      <c r="N398" s="71"/>
      <c r="O398" s="71"/>
      <c r="P398" s="67"/>
      <c r="R398" s="67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6"/>
      <c r="BY398" s="6"/>
      <c r="BZ398" s="6"/>
      <c r="CA398" s="6"/>
      <c r="CB398" s="6"/>
      <c r="CC398" s="6"/>
      <c r="CD398" s="6"/>
      <c r="CE398" s="6"/>
      <c r="CF398" s="6"/>
      <c r="CG398" s="6"/>
      <c r="CH398" s="6"/>
      <c r="CI398" s="6"/>
      <c r="CJ398" s="6"/>
      <c r="CK398" s="6"/>
      <c r="CL398" s="6"/>
      <c r="CM398" s="6"/>
      <c r="CN398" s="6"/>
      <c r="CO398" s="6"/>
      <c r="CP398" s="6"/>
      <c r="CQ398" s="6"/>
      <c r="CR398" s="6"/>
      <c r="CS398" s="6"/>
      <c r="CT398" s="6"/>
      <c r="CU398" s="6"/>
      <c r="CV398" s="6"/>
      <c r="CW398" s="6"/>
      <c r="CX398" s="6"/>
      <c r="CY398" s="6"/>
      <c r="CZ398" s="6"/>
      <c r="DA398" s="6"/>
      <c r="DB398" s="6"/>
      <c r="DC398" s="6"/>
      <c r="DD398" s="6"/>
      <c r="DE398" s="6"/>
      <c r="DF398" s="6"/>
      <c r="DG398" s="6"/>
      <c r="DH398" s="6"/>
      <c r="DI398" s="6"/>
      <c r="DJ398" s="6"/>
    </row>
    <row r="399" spans="2:114" x14ac:dyDescent="0.2">
      <c r="B399" s="68"/>
      <c r="C399" s="69"/>
      <c r="D399" s="70"/>
      <c r="F399" s="68"/>
      <c r="G399" s="69"/>
      <c r="H399" s="70"/>
      <c r="J399" s="71"/>
      <c r="K399" s="71"/>
      <c r="L399" s="67"/>
      <c r="N399" s="71"/>
      <c r="O399" s="71"/>
      <c r="P399" s="67"/>
      <c r="R399" s="67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6"/>
      <c r="BY399" s="6"/>
      <c r="BZ399" s="6"/>
      <c r="CA399" s="6"/>
      <c r="CB399" s="6"/>
      <c r="CC399" s="6"/>
      <c r="CD399" s="6"/>
      <c r="CE399" s="6"/>
      <c r="CF399" s="6"/>
      <c r="CG399" s="6"/>
      <c r="CH399" s="6"/>
      <c r="CI399" s="6"/>
      <c r="CJ399" s="6"/>
      <c r="CK399" s="6"/>
      <c r="CL399" s="6"/>
      <c r="CM399" s="6"/>
      <c r="CN399" s="6"/>
      <c r="CO399" s="6"/>
      <c r="CP399" s="6"/>
      <c r="CQ399" s="6"/>
      <c r="CR399" s="6"/>
      <c r="CS399" s="6"/>
      <c r="CT399" s="6"/>
      <c r="CU399" s="6"/>
      <c r="CV399" s="6"/>
      <c r="CW399" s="6"/>
      <c r="CX399" s="6"/>
      <c r="CY399" s="6"/>
      <c r="CZ399" s="6"/>
      <c r="DA399" s="6"/>
      <c r="DB399" s="6"/>
      <c r="DC399" s="6"/>
      <c r="DD399" s="6"/>
      <c r="DE399" s="6"/>
      <c r="DF399" s="6"/>
      <c r="DG399" s="6"/>
      <c r="DH399" s="6"/>
      <c r="DI399" s="6"/>
      <c r="DJ399" s="6"/>
    </row>
    <row r="400" spans="2:114" x14ac:dyDescent="0.2">
      <c r="B400" s="68"/>
      <c r="C400" s="69"/>
      <c r="D400" s="70"/>
      <c r="F400" s="68"/>
      <c r="G400" s="69"/>
      <c r="H400" s="70"/>
      <c r="J400" s="71"/>
      <c r="K400" s="71"/>
      <c r="L400" s="67"/>
      <c r="N400" s="71"/>
      <c r="O400" s="71"/>
      <c r="P400" s="67"/>
      <c r="R400" s="67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6"/>
      <c r="BY400" s="6"/>
      <c r="BZ400" s="6"/>
      <c r="CA400" s="6"/>
      <c r="CB400" s="6"/>
      <c r="CC400" s="6"/>
      <c r="CD400" s="6"/>
      <c r="CE400" s="6"/>
      <c r="CF400" s="6"/>
      <c r="CG400" s="6"/>
      <c r="CH400" s="6"/>
      <c r="CI400" s="6"/>
      <c r="CJ400" s="6"/>
      <c r="CK400" s="6"/>
      <c r="CL400" s="6"/>
      <c r="CM400" s="6"/>
      <c r="CN400" s="6"/>
      <c r="CO400" s="6"/>
      <c r="CP400" s="6"/>
      <c r="CQ400" s="6"/>
      <c r="CR400" s="6"/>
      <c r="CS400" s="6"/>
      <c r="CT400" s="6"/>
      <c r="CU400" s="6"/>
      <c r="CV400" s="6"/>
      <c r="CW400" s="6"/>
      <c r="CX400" s="6"/>
      <c r="CY400" s="6"/>
      <c r="CZ400" s="6"/>
      <c r="DA400" s="6"/>
      <c r="DB400" s="6"/>
      <c r="DC400" s="6"/>
      <c r="DD400" s="6"/>
      <c r="DE400" s="6"/>
      <c r="DF400" s="6"/>
      <c r="DG400" s="6"/>
      <c r="DH400" s="6"/>
      <c r="DI400" s="6"/>
      <c r="DJ400" s="6"/>
    </row>
    <row r="401" spans="2:114" x14ac:dyDescent="0.2">
      <c r="B401" s="68"/>
      <c r="C401" s="69"/>
      <c r="D401" s="70"/>
      <c r="F401" s="68"/>
      <c r="G401" s="69"/>
      <c r="H401" s="70"/>
      <c r="J401" s="71"/>
      <c r="K401" s="71"/>
      <c r="L401" s="67"/>
      <c r="N401" s="71"/>
      <c r="O401" s="71"/>
      <c r="P401" s="67"/>
      <c r="R401" s="67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6"/>
      <c r="BY401" s="6"/>
      <c r="BZ401" s="6"/>
      <c r="CA401" s="6"/>
      <c r="CB401" s="6"/>
      <c r="CC401" s="6"/>
      <c r="CD401" s="6"/>
      <c r="CE401" s="6"/>
      <c r="CF401" s="6"/>
      <c r="CG401" s="6"/>
      <c r="CH401" s="6"/>
      <c r="CI401" s="6"/>
      <c r="CJ401" s="6"/>
      <c r="CK401" s="6"/>
      <c r="CL401" s="6"/>
      <c r="CM401" s="6"/>
      <c r="CN401" s="6"/>
      <c r="CO401" s="6"/>
      <c r="CP401" s="6"/>
      <c r="CQ401" s="6"/>
      <c r="CR401" s="6"/>
      <c r="CS401" s="6"/>
      <c r="CT401" s="6"/>
      <c r="CU401" s="6"/>
      <c r="CV401" s="6"/>
      <c r="CW401" s="6"/>
      <c r="CX401" s="6"/>
      <c r="CY401" s="6"/>
      <c r="CZ401" s="6"/>
      <c r="DA401" s="6"/>
      <c r="DB401" s="6"/>
      <c r="DC401" s="6"/>
      <c r="DD401" s="6"/>
      <c r="DE401" s="6"/>
      <c r="DF401" s="6"/>
      <c r="DG401" s="6"/>
      <c r="DH401" s="6"/>
      <c r="DI401" s="6"/>
      <c r="DJ401" s="6"/>
    </row>
    <row r="402" spans="2:114" x14ac:dyDescent="0.2">
      <c r="B402" s="68"/>
      <c r="C402" s="69"/>
      <c r="D402" s="70"/>
      <c r="F402" s="68"/>
      <c r="G402" s="69"/>
      <c r="H402" s="70"/>
      <c r="J402" s="71"/>
      <c r="K402" s="71"/>
      <c r="L402" s="67"/>
      <c r="N402" s="71"/>
      <c r="O402" s="71"/>
      <c r="P402" s="67"/>
      <c r="R402" s="67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6"/>
      <c r="BY402" s="6"/>
      <c r="BZ402" s="6"/>
      <c r="CA402" s="6"/>
      <c r="CB402" s="6"/>
      <c r="CC402" s="6"/>
      <c r="CD402" s="6"/>
      <c r="CE402" s="6"/>
      <c r="CF402" s="6"/>
      <c r="CG402" s="6"/>
      <c r="CH402" s="6"/>
      <c r="CI402" s="6"/>
      <c r="CJ402" s="6"/>
      <c r="CK402" s="6"/>
      <c r="CL402" s="6"/>
      <c r="CM402" s="6"/>
      <c r="CN402" s="6"/>
      <c r="CO402" s="6"/>
      <c r="CP402" s="6"/>
      <c r="CQ402" s="6"/>
      <c r="CR402" s="6"/>
      <c r="CS402" s="6"/>
      <c r="CT402" s="6"/>
      <c r="CU402" s="6"/>
      <c r="CV402" s="6"/>
      <c r="CW402" s="6"/>
      <c r="CX402" s="6"/>
      <c r="CY402" s="6"/>
      <c r="CZ402" s="6"/>
      <c r="DA402" s="6"/>
      <c r="DB402" s="6"/>
      <c r="DC402" s="6"/>
      <c r="DD402" s="6"/>
      <c r="DE402" s="6"/>
      <c r="DF402" s="6"/>
      <c r="DG402" s="6"/>
      <c r="DH402" s="6"/>
      <c r="DI402" s="6"/>
      <c r="DJ402" s="6"/>
    </row>
    <row r="403" spans="2:114" x14ac:dyDescent="0.2">
      <c r="B403" s="68"/>
      <c r="C403" s="69"/>
      <c r="D403" s="70"/>
      <c r="F403" s="68"/>
      <c r="G403" s="69"/>
      <c r="H403" s="70"/>
      <c r="J403" s="71"/>
      <c r="K403" s="71"/>
      <c r="L403" s="67"/>
      <c r="N403" s="71"/>
      <c r="O403" s="71"/>
      <c r="P403" s="67"/>
      <c r="R403" s="67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6"/>
      <c r="BY403" s="6"/>
      <c r="BZ403" s="6"/>
      <c r="CA403" s="6"/>
      <c r="CB403" s="6"/>
      <c r="CC403" s="6"/>
      <c r="CD403" s="6"/>
      <c r="CE403" s="6"/>
      <c r="CF403" s="6"/>
      <c r="CG403" s="6"/>
      <c r="CH403" s="6"/>
      <c r="CI403" s="6"/>
      <c r="CJ403" s="6"/>
      <c r="CK403" s="6"/>
      <c r="CL403" s="6"/>
      <c r="CM403" s="6"/>
      <c r="CN403" s="6"/>
      <c r="CO403" s="6"/>
      <c r="CP403" s="6"/>
      <c r="CQ403" s="6"/>
      <c r="CR403" s="6"/>
      <c r="CS403" s="6"/>
      <c r="CT403" s="6"/>
      <c r="CU403" s="6"/>
      <c r="CV403" s="6"/>
      <c r="CW403" s="6"/>
      <c r="CX403" s="6"/>
      <c r="CY403" s="6"/>
      <c r="CZ403" s="6"/>
      <c r="DA403" s="6"/>
      <c r="DB403" s="6"/>
      <c r="DC403" s="6"/>
      <c r="DD403" s="6"/>
      <c r="DE403" s="6"/>
      <c r="DF403" s="6"/>
      <c r="DG403" s="6"/>
      <c r="DH403" s="6"/>
      <c r="DI403" s="6"/>
      <c r="DJ403" s="6"/>
    </row>
    <row r="404" spans="2:114" x14ac:dyDescent="0.2">
      <c r="B404" s="68"/>
      <c r="C404" s="69"/>
      <c r="D404" s="70"/>
      <c r="F404" s="68"/>
      <c r="G404" s="69"/>
      <c r="H404" s="70"/>
      <c r="J404" s="71"/>
      <c r="K404" s="71"/>
      <c r="L404" s="67"/>
      <c r="N404" s="71"/>
      <c r="O404" s="71"/>
      <c r="P404" s="67"/>
      <c r="R404" s="67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6"/>
      <c r="BY404" s="6"/>
      <c r="BZ404" s="6"/>
      <c r="CA404" s="6"/>
      <c r="CB404" s="6"/>
      <c r="CC404" s="6"/>
      <c r="CD404" s="6"/>
      <c r="CE404" s="6"/>
      <c r="CF404" s="6"/>
      <c r="CG404" s="6"/>
      <c r="CH404" s="6"/>
      <c r="CI404" s="6"/>
      <c r="CJ404" s="6"/>
      <c r="CK404" s="6"/>
      <c r="CL404" s="6"/>
      <c r="CM404" s="6"/>
      <c r="CN404" s="6"/>
      <c r="CO404" s="6"/>
      <c r="CP404" s="6"/>
      <c r="CQ404" s="6"/>
      <c r="CR404" s="6"/>
      <c r="CS404" s="6"/>
      <c r="CT404" s="6"/>
      <c r="CU404" s="6"/>
      <c r="CV404" s="6"/>
      <c r="CW404" s="6"/>
      <c r="CX404" s="6"/>
      <c r="CY404" s="6"/>
      <c r="CZ404" s="6"/>
      <c r="DA404" s="6"/>
      <c r="DB404" s="6"/>
      <c r="DC404" s="6"/>
      <c r="DD404" s="6"/>
      <c r="DE404" s="6"/>
      <c r="DF404" s="6"/>
      <c r="DG404" s="6"/>
      <c r="DH404" s="6"/>
      <c r="DI404" s="6"/>
      <c r="DJ404" s="6"/>
    </row>
    <row r="405" spans="2:114" x14ac:dyDescent="0.2">
      <c r="B405" s="68"/>
      <c r="C405" s="69"/>
      <c r="D405" s="70"/>
      <c r="F405" s="68"/>
      <c r="G405" s="69"/>
      <c r="H405" s="70"/>
      <c r="J405" s="71"/>
      <c r="K405" s="71"/>
      <c r="L405" s="67"/>
      <c r="N405" s="71"/>
      <c r="O405" s="71"/>
      <c r="P405" s="67"/>
      <c r="R405" s="67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6"/>
      <c r="BY405" s="6"/>
      <c r="BZ405" s="6"/>
      <c r="CA405" s="6"/>
      <c r="CB405" s="6"/>
      <c r="CC405" s="6"/>
      <c r="CD405" s="6"/>
      <c r="CE405" s="6"/>
      <c r="CF405" s="6"/>
      <c r="CG405" s="6"/>
      <c r="CH405" s="6"/>
      <c r="CI405" s="6"/>
      <c r="CJ405" s="6"/>
      <c r="CK405" s="6"/>
      <c r="CL405" s="6"/>
      <c r="CM405" s="6"/>
      <c r="CN405" s="6"/>
      <c r="CO405" s="6"/>
      <c r="CP405" s="6"/>
      <c r="CQ405" s="6"/>
      <c r="CR405" s="6"/>
      <c r="CS405" s="6"/>
      <c r="CT405" s="6"/>
      <c r="CU405" s="6"/>
      <c r="CV405" s="6"/>
      <c r="CW405" s="6"/>
      <c r="CX405" s="6"/>
      <c r="CY405" s="6"/>
      <c r="CZ405" s="6"/>
      <c r="DA405" s="6"/>
      <c r="DB405" s="6"/>
      <c r="DC405" s="6"/>
      <c r="DD405" s="6"/>
      <c r="DE405" s="6"/>
      <c r="DF405" s="6"/>
      <c r="DG405" s="6"/>
      <c r="DH405" s="6"/>
      <c r="DI405" s="6"/>
      <c r="DJ405" s="6"/>
    </row>
    <row r="406" spans="2:114" x14ac:dyDescent="0.2">
      <c r="B406" s="68"/>
      <c r="C406" s="69"/>
      <c r="D406" s="70"/>
      <c r="F406" s="68"/>
      <c r="G406" s="69"/>
      <c r="H406" s="70"/>
      <c r="J406" s="71"/>
      <c r="K406" s="71"/>
      <c r="L406" s="67"/>
      <c r="N406" s="71"/>
      <c r="O406" s="71"/>
      <c r="P406" s="67"/>
      <c r="R406" s="67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6"/>
      <c r="BY406" s="6"/>
      <c r="BZ406" s="6"/>
      <c r="CA406" s="6"/>
      <c r="CB406" s="6"/>
      <c r="CC406" s="6"/>
      <c r="CD406" s="6"/>
      <c r="CE406" s="6"/>
      <c r="CF406" s="6"/>
      <c r="CG406" s="6"/>
      <c r="CH406" s="6"/>
      <c r="CI406" s="6"/>
      <c r="CJ406" s="6"/>
      <c r="CK406" s="6"/>
      <c r="CL406" s="6"/>
      <c r="CM406" s="6"/>
      <c r="CN406" s="6"/>
      <c r="CO406" s="6"/>
      <c r="CP406" s="6"/>
      <c r="CQ406" s="6"/>
      <c r="CR406" s="6"/>
      <c r="CS406" s="6"/>
      <c r="CT406" s="6"/>
      <c r="CU406" s="6"/>
      <c r="CV406" s="6"/>
      <c r="CW406" s="6"/>
      <c r="CX406" s="6"/>
      <c r="CY406" s="6"/>
      <c r="CZ406" s="6"/>
      <c r="DA406" s="6"/>
      <c r="DB406" s="6"/>
      <c r="DC406" s="6"/>
      <c r="DD406" s="6"/>
      <c r="DE406" s="6"/>
      <c r="DF406" s="6"/>
      <c r="DG406" s="6"/>
      <c r="DH406" s="6"/>
      <c r="DI406" s="6"/>
      <c r="DJ406" s="6"/>
    </row>
    <row r="407" spans="2:114" x14ac:dyDescent="0.2">
      <c r="B407" s="68"/>
      <c r="C407" s="69"/>
      <c r="D407" s="70"/>
      <c r="F407" s="68"/>
      <c r="G407" s="69"/>
      <c r="H407" s="70"/>
      <c r="J407" s="71"/>
      <c r="K407" s="71"/>
      <c r="L407" s="67"/>
      <c r="N407" s="71"/>
      <c r="O407" s="71"/>
      <c r="P407" s="67"/>
      <c r="R407" s="67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6"/>
      <c r="BY407" s="6"/>
      <c r="BZ407" s="6"/>
      <c r="CA407" s="6"/>
      <c r="CB407" s="6"/>
      <c r="CC407" s="6"/>
      <c r="CD407" s="6"/>
      <c r="CE407" s="6"/>
      <c r="CF407" s="6"/>
      <c r="CG407" s="6"/>
      <c r="CH407" s="6"/>
      <c r="CI407" s="6"/>
      <c r="CJ407" s="6"/>
      <c r="CK407" s="6"/>
      <c r="CL407" s="6"/>
      <c r="CM407" s="6"/>
      <c r="CN407" s="6"/>
      <c r="CO407" s="6"/>
      <c r="CP407" s="6"/>
      <c r="CQ407" s="6"/>
      <c r="CR407" s="6"/>
      <c r="CS407" s="6"/>
      <c r="CT407" s="6"/>
      <c r="CU407" s="6"/>
      <c r="CV407" s="6"/>
      <c r="CW407" s="6"/>
      <c r="CX407" s="6"/>
      <c r="CY407" s="6"/>
      <c r="CZ407" s="6"/>
      <c r="DA407" s="6"/>
      <c r="DB407" s="6"/>
      <c r="DC407" s="6"/>
      <c r="DD407" s="6"/>
      <c r="DE407" s="6"/>
      <c r="DF407" s="6"/>
      <c r="DG407" s="6"/>
      <c r="DH407" s="6"/>
      <c r="DI407" s="6"/>
      <c r="DJ407" s="6"/>
    </row>
    <row r="408" spans="2:114" x14ac:dyDescent="0.2">
      <c r="B408" s="68"/>
      <c r="C408" s="69"/>
      <c r="D408" s="70"/>
      <c r="F408" s="68"/>
      <c r="G408" s="69"/>
      <c r="H408" s="70"/>
      <c r="J408" s="71"/>
      <c r="K408" s="71"/>
      <c r="L408" s="67"/>
      <c r="N408" s="71"/>
      <c r="O408" s="71"/>
      <c r="P408" s="67"/>
      <c r="R408" s="67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6"/>
      <c r="BY408" s="6"/>
      <c r="BZ408" s="6"/>
      <c r="CA408" s="6"/>
      <c r="CB408" s="6"/>
      <c r="CC408" s="6"/>
      <c r="CD408" s="6"/>
      <c r="CE408" s="6"/>
      <c r="CF408" s="6"/>
      <c r="CG408" s="6"/>
      <c r="CH408" s="6"/>
      <c r="CI408" s="6"/>
      <c r="CJ408" s="6"/>
      <c r="CK408" s="6"/>
      <c r="CL408" s="6"/>
      <c r="CM408" s="6"/>
      <c r="CN408" s="6"/>
      <c r="CO408" s="6"/>
      <c r="CP408" s="6"/>
      <c r="CQ408" s="6"/>
      <c r="CR408" s="6"/>
      <c r="CS408" s="6"/>
      <c r="CT408" s="6"/>
      <c r="CU408" s="6"/>
      <c r="CV408" s="6"/>
      <c r="CW408" s="6"/>
      <c r="CX408" s="6"/>
      <c r="CY408" s="6"/>
      <c r="CZ408" s="6"/>
      <c r="DA408" s="6"/>
      <c r="DB408" s="6"/>
      <c r="DC408" s="6"/>
      <c r="DD408" s="6"/>
      <c r="DE408" s="6"/>
      <c r="DF408" s="6"/>
      <c r="DG408" s="6"/>
      <c r="DH408" s="6"/>
      <c r="DI408" s="6"/>
      <c r="DJ408" s="6"/>
    </row>
    <row r="409" spans="2:114" x14ac:dyDescent="0.2">
      <c r="B409" s="68"/>
      <c r="C409" s="69"/>
      <c r="D409" s="70"/>
      <c r="F409" s="68"/>
      <c r="G409" s="69"/>
      <c r="H409" s="70"/>
      <c r="J409" s="71"/>
      <c r="K409" s="71"/>
      <c r="L409" s="67"/>
      <c r="N409" s="71"/>
      <c r="O409" s="71"/>
      <c r="P409" s="67"/>
      <c r="R409" s="67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6"/>
      <c r="BY409" s="6"/>
      <c r="BZ409" s="6"/>
      <c r="CA409" s="6"/>
      <c r="CB409" s="6"/>
      <c r="CC409" s="6"/>
      <c r="CD409" s="6"/>
      <c r="CE409" s="6"/>
      <c r="CF409" s="6"/>
      <c r="CG409" s="6"/>
      <c r="CH409" s="6"/>
      <c r="CI409" s="6"/>
      <c r="CJ409" s="6"/>
      <c r="CK409" s="6"/>
      <c r="CL409" s="6"/>
      <c r="CM409" s="6"/>
      <c r="CN409" s="6"/>
      <c r="CO409" s="6"/>
      <c r="CP409" s="6"/>
      <c r="CQ409" s="6"/>
      <c r="CR409" s="6"/>
      <c r="CS409" s="6"/>
      <c r="CT409" s="6"/>
      <c r="CU409" s="6"/>
      <c r="CV409" s="6"/>
      <c r="CW409" s="6"/>
      <c r="CX409" s="6"/>
      <c r="CY409" s="6"/>
      <c r="CZ409" s="6"/>
      <c r="DA409" s="6"/>
      <c r="DB409" s="6"/>
      <c r="DC409" s="6"/>
      <c r="DD409" s="6"/>
      <c r="DE409" s="6"/>
      <c r="DF409" s="6"/>
      <c r="DG409" s="6"/>
      <c r="DH409" s="6"/>
      <c r="DI409" s="6"/>
      <c r="DJ409" s="6"/>
    </row>
    <row r="410" spans="2:114" x14ac:dyDescent="0.2">
      <c r="B410" s="68"/>
      <c r="C410" s="69"/>
      <c r="D410" s="70"/>
      <c r="F410" s="68"/>
      <c r="G410" s="69"/>
      <c r="H410" s="70"/>
      <c r="J410" s="71"/>
      <c r="K410" s="71"/>
      <c r="L410" s="67"/>
      <c r="N410" s="71"/>
      <c r="O410" s="71"/>
      <c r="P410" s="67"/>
      <c r="R410" s="67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6"/>
      <c r="BY410" s="6"/>
      <c r="BZ410" s="6"/>
      <c r="CA410" s="6"/>
      <c r="CB410" s="6"/>
      <c r="CC410" s="6"/>
      <c r="CD410" s="6"/>
      <c r="CE410" s="6"/>
      <c r="CF410" s="6"/>
      <c r="CG410" s="6"/>
      <c r="CH410" s="6"/>
      <c r="CI410" s="6"/>
      <c r="CJ410" s="6"/>
      <c r="CK410" s="6"/>
      <c r="CL410" s="6"/>
      <c r="CM410" s="6"/>
      <c r="CN410" s="6"/>
      <c r="CO410" s="6"/>
      <c r="CP410" s="6"/>
      <c r="CQ410" s="6"/>
      <c r="CR410" s="6"/>
      <c r="CS410" s="6"/>
      <c r="CT410" s="6"/>
      <c r="CU410" s="6"/>
      <c r="CV410" s="6"/>
      <c r="CW410" s="6"/>
      <c r="CX410" s="6"/>
      <c r="CY410" s="6"/>
      <c r="CZ410" s="6"/>
      <c r="DA410" s="6"/>
      <c r="DB410" s="6"/>
      <c r="DC410" s="6"/>
      <c r="DD410" s="6"/>
      <c r="DE410" s="6"/>
      <c r="DF410" s="6"/>
      <c r="DG410" s="6"/>
      <c r="DH410" s="6"/>
      <c r="DI410" s="6"/>
      <c r="DJ410" s="6"/>
    </row>
    <row r="411" spans="2:114" x14ac:dyDescent="0.2">
      <c r="B411" s="68"/>
      <c r="C411" s="69"/>
      <c r="D411" s="70"/>
      <c r="F411" s="68"/>
      <c r="G411" s="69"/>
      <c r="H411" s="70"/>
      <c r="J411" s="71"/>
      <c r="K411" s="71"/>
      <c r="L411" s="67"/>
      <c r="N411" s="71"/>
      <c r="O411" s="71"/>
      <c r="P411" s="67"/>
      <c r="R411" s="67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6"/>
      <c r="BY411" s="6"/>
      <c r="BZ411" s="6"/>
      <c r="CA411" s="6"/>
      <c r="CB411" s="6"/>
      <c r="CC411" s="6"/>
      <c r="CD411" s="6"/>
      <c r="CE411" s="6"/>
      <c r="CF411" s="6"/>
      <c r="CG411" s="6"/>
      <c r="CH411" s="6"/>
      <c r="CI411" s="6"/>
      <c r="CJ411" s="6"/>
      <c r="CK411" s="6"/>
      <c r="CL411" s="6"/>
      <c r="CM411" s="6"/>
      <c r="CN411" s="6"/>
      <c r="CO411" s="6"/>
      <c r="CP411" s="6"/>
      <c r="CQ411" s="6"/>
      <c r="CR411" s="6"/>
      <c r="CS411" s="6"/>
      <c r="CT411" s="6"/>
      <c r="CU411" s="6"/>
      <c r="CV411" s="6"/>
      <c r="CW411" s="6"/>
      <c r="CX411" s="6"/>
      <c r="CY411" s="6"/>
      <c r="CZ411" s="6"/>
      <c r="DA411" s="6"/>
      <c r="DB411" s="6"/>
      <c r="DC411" s="6"/>
      <c r="DD411" s="6"/>
      <c r="DE411" s="6"/>
      <c r="DF411" s="6"/>
      <c r="DG411" s="6"/>
      <c r="DH411" s="6"/>
      <c r="DI411" s="6"/>
      <c r="DJ411" s="6"/>
    </row>
    <row r="412" spans="2:114" x14ac:dyDescent="0.2">
      <c r="B412" s="68"/>
      <c r="C412" s="69"/>
      <c r="D412" s="70"/>
      <c r="F412" s="68"/>
      <c r="G412" s="69"/>
      <c r="H412" s="70"/>
      <c r="J412" s="71"/>
      <c r="K412" s="71"/>
      <c r="L412" s="67"/>
      <c r="N412" s="71"/>
      <c r="O412" s="71"/>
      <c r="P412" s="67"/>
      <c r="R412" s="67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6"/>
      <c r="BY412" s="6"/>
      <c r="BZ412" s="6"/>
      <c r="CA412" s="6"/>
      <c r="CB412" s="6"/>
      <c r="CC412" s="6"/>
      <c r="CD412" s="6"/>
      <c r="CE412" s="6"/>
      <c r="CF412" s="6"/>
      <c r="CG412" s="6"/>
      <c r="CH412" s="6"/>
      <c r="CI412" s="6"/>
      <c r="CJ412" s="6"/>
      <c r="CK412" s="6"/>
      <c r="CL412" s="6"/>
      <c r="CM412" s="6"/>
      <c r="CN412" s="6"/>
      <c r="CO412" s="6"/>
      <c r="CP412" s="6"/>
      <c r="CQ412" s="6"/>
      <c r="CR412" s="6"/>
      <c r="CS412" s="6"/>
      <c r="CT412" s="6"/>
      <c r="CU412" s="6"/>
      <c r="CV412" s="6"/>
      <c r="CW412" s="6"/>
      <c r="CX412" s="6"/>
      <c r="CY412" s="6"/>
      <c r="CZ412" s="6"/>
      <c r="DA412" s="6"/>
      <c r="DB412" s="6"/>
      <c r="DC412" s="6"/>
      <c r="DD412" s="6"/>
      <c r="DE412" s="6"/>
      <c r="DF412" s="6"/>
      <c r="DG412" s="6"/>
      <c r="DH412" s="6"/>
      <c r="DI412" s="6"/>
      <c r="DJ412" s="6"/>
    </row>
    <row r="413" spans="2:114" x14ac:dyDescent="0.2">
      <c r="B413" s="68"/>
      <c r="C413" s="69"/>
      <c r="D413" s="70"/>
      <c r="F413" s="68"/>
      <c r="G413" s="69"/>
      <c r="H413" s="70"/>
      <c r="J413" s="71"/>
      <c r="K413" s="71"/>
      <c r="L413" s="67"/>
      <c r="N413" s="71"/>
      <c r="O413" s="71"/>
      <c r="P413" s="67"/>
      <c r="R413" s="67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6"/>
      <c r="BY413" s="6"/>
      <c r="BZ413" s="6"/>
      <c r="CA413" s="6"/>
      <c r="CB413" s="6"/>
      <c r="CC413" s="6"/>
      <c r="CD413" s="6"/>
      <c r="CE413" s="6"/>
      <c r="CF413" s="6"/>
      <c r="CG413" s="6"/>
      <c r="CH413" s="6"/>
      <c r="CI413" s="6"/>
      <c r="CJ413" s="6"/>
      <c r="CK413" s="6"/>
      <c r="CL413" s="6"/>
      <c r="CM413" s="6"/>
      <c r="CN413" s="6"/>
      <c r="CO413" s="6"/>
      <c r="CP413" s="6"/>
      <c r="CQ413" s="6"/>
      <c r="CR413" s="6"/>
      <c r="CS413" s="6"/>
      <c r="CT413" s="6"/>
      <c r="CU413" s="6"/>
      <c r="CV413" s="6"/>
      <c r="CW413" s="6"/>
      <c r="CX413" s="6"/>
      <c r="CY413" s="6"/>
      <c r="CZ413" s="6"/>
      <c r="DA413" s="6"/>
      <c r="DB413" s="6"/>
      <c r="DC413" s="6"/>
      <c r="DD413" s="6"/>
      <c r="DE413" s="6"/>
      <c r="DF413" s="6"/>
      <c r="DG413" s="6"/>
      <c r="DH413" s="6"/>
      <c r="DI413" s="6"/>
      <c r="DJ413" s="6"/>
    </row>
    <row r="414" spans="2:114" x14ac:dyDescent="0.2">
      <c r="B414" s="68"/>
      <c r="C414" s="69"/>
      <c r="D414" s="70"/>
      <c r="F414" s="68"/>
      <c r="G414" s="69"/>
      <c r="H414" s="70"/>
      <c r="J414" s="71"/>
      <c r="K414" s="71"/>
      <c r="L414" s="67"/>
      <c r="N414" s="71"/>
      <c r="O414" s="71"/>
      <c r="P414" s="67"/>
      <c r="R414" s="67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6"/>
      <c r="BY414" s="6"/>
      <c r="BZ414" s="6"/>
      <c r="CA414" s="6"/>
      <c r="CB414" s="6"/>
      <c r="CC414" s="6"/>
      <c r="CD414" s="6"/>
      <c r="CE414" s="6"/>
      <c r="CF414" s="6"/>
      <c r="CG414" s="6"/>
      <c r="CH414" s="6"/>
      <c r="CI414" s="6"/>
      <c r="CJ414" s="6"/>
      <c r="CK414" s="6"/>
      <c r="CL414" s="6"/>
      <c r="CM414" s="6"/>
      <c r="CN414" s="6"/>
      <c r="CO414" s="6"/>
      <c r="CP414" s="6"/>
      <c r="CQ414" s="6"/>
      <c r="CR414" s="6"/>
      <c r="CS414" s="6"/>
      <c r="CT414" s="6"/>
      <c r="CU414" s="6"/>
      <c r="CV414" s="6"/>
      <c r="CW414" s="6"/>
      <c r="CX414" s="6"/>
      <c r="CY414" s="6"/>
      <c r="CZ414" s="6"/>
      <c r="DA414" s="6"/>
      <c r="DB414" s="6"/>
      <c r="DC414" s="6"/>
      <c r="DD414" s="6"/>
      <c r="DE414" s="6"/>
      <c r="DF414" s="6"/>
      <c r="DG414" s="6"/>
      <c r="DH414" s="6"/>
      <c r="DI414" s="6"/>
      <c r="DJ414" s="6"/>
    </row>
    <row r="415" spans="2:114" x14ac:dyDescent="0.2">
      <c r="B415" s="68"/>
      <c r="C415" s="69"/>
      <c r="D415" s="70"/>
      <c r="F415" s="68"/>
      <c r="G415" s="69"/>
      <c r="H415" s="70"/>
      <c r="J415" s="71"/>
      <c r="K415" s="71"/>
      <c r="L415" s="67"/>
      <c r="N415" s="71"/>
      <c r="O415" s="71"/>
      <c r="P415" s="67"/>
      <c r="R415" s="67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6"/>
      <c r="BY415" s="6"/>
      <c r="BZ415" s="6"/>
      <c r="CA415" s="6"/>
      <c r="CB415" s="6"/>
      <c r="CC415" s="6"/>
      <c r="CD415" s="6"/>
      <c r="CE415" s="6"/>
      <c r="CF415" s="6"/>
      <c r="CG415" s="6"/>
      <c r="CH415" s="6"/>
      <c r="CI415" s="6"/>
      <c r="CJ415" s="6"/>
      <c r="CK415" s="6"/>
      <c r="CL415" s="6"/>
      <c r="CM415" s="6"/>
      <c r="CN415" s="6"/>
      <c r="CO415" s="6"/>
      <c r="CP415" s="6"/>
      <c r="CQ415" s="6"/>
      <c r="CR415" s="6"/>
      <c r="CS415" s="6"/>
      <c r="CT415" s="6"/>
      <c r="CU415" s="6"/>
      <c r="CV415" s="6"/>
      <c r="CW415" s="6"/>
      <c r="CX415" s="6"/>
      <c r="CY415" s="6"/>
      <c r="CZ415" s="6"/>
      <c r="DA415" s="6"/>
      <c r="DB415" s="6"/>
      <c r="DC415" s="6"/>
      <c r="DD415" s="6"/>
      <c r="DE415" s="6"/>
      <c r="DF415" s="6"/>
      <c r="DG415" s="6"/>
      <c r="DH415" s="6"/>
      <c r="DI415" s="6"/>
      <c r="DJ415" s="6"/>
    </row>
    <row r="416" spans="2:114" x14ac:dyDescent="0.2">
      <c r="B416" s="68"/>
      <c r="C416" s="69"/>
      <c r="D416" s="70"/>
      <c r="F416" s="68"/>
      <c r="G416" s="69"/>
      <c r="H416" s="70"/>
      <c r="J416" s="71"/>
      <c r="K416" s="71"/>
      <c r="L416" s="67"/>
      <c r="N416" s="71"/>
      <c r="O416" s="71"/>
      <c r="P416" s="67"/>
      <c r="R416" s="67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6"/>
      <c r="BY416" s="6"/>
      <c r="BZ416" s="6"/>
      <c r="CA416" s="6"/>
      <c r="CB416" s="6"/>
      <c r="CC416" s="6"/>
      <c r="CD416" s="6"/>
      <c r="CE416" s="6"/>
      <c r="CF416" s="6"/>
      <c r="CG416" s="6"/>
      <c r="CH416" s="6"/>
      <c r="CI416" s="6"/>
      <c r="CJ416" s="6"/>
      <c r="CK416" s="6"/>
      <c r="CL416" s="6"/>
      <c r="CM416" s="6"/>
      <c r="CN416" s="6"/>
      <c r="CO416" s="6"/>
      <c r="CP416" s="6"/>
      <c r="CQ416" s="6"/>
      <c r="CR416" s="6"/>
      <c r="CS416" s="6"/>
      <c r="CT416" s="6"/>
      <c r="CU416" s="6"/>
      <c r="CV416" s="6"/>
      <c r="CW416" s="6"/>
      <c r="CX416" s="6"/>
      <c r="CY416" s="6"/>
      <c r="CZ416" s="6"/>
      <c r="DA416" s="6"/>
      <c r="DB416" s="6"/>
      <c r="DC416" s="6"/>
      <c r="DD416" s="6"/>
      <c r="DE416" s="6"/>
      <c r="DF416" s="6"/>
      <c r="DG416" s="6"/>
      <c r="DH416" s="6"/>
      <c r="DI416" s="6"/>
      <c r="DJ416" s="6"/>
    </row>
    <row r="417" spans="2:114" x14ac:dyDescent="0.2">
      <c r="B417" s="68"/>
      <c r="C417" s="69"/>
      <c r="D417" s="70"/>
      <c r="F417" s="68"/>
      <c r="G417" s="69"/>
      <c r="H417" s="70"/>
      <c r="J417" s="71"/>
      <c r="K417" s="71"/>
      <c r="L417" s="67"/>
      <c r="N417" s="71"/>
      <c r="O417" s="71"/>
      <c r="P417" s="67"/>
      <c r="R417" s="67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6"/>
      <c r="BY417" s="6"/>
      <c r="BZ417" s="6"/>
      <c r="CA417" s="6"/>
      <c r="CB417" s="6"/>
      <c r="CC417" s="6"/>
      <c r="CD417" s="6"/>
      <c r="CE417" s="6"/>
      <c r="CF417" s="6"/>
      <c r="CG417" s="6"/>
      <c r="CH417" s="6"/>
      <c r="CI417" s="6"/>
      <c r="CJ417" s="6"/>
      <c r="CK417" s="6"/>
      <c r="CL417" s="6"/>
      <c r="CM417" s="6"/>
      <c r="CN417" s="6"/>
      <c r="CO417" s="6"/>
      <c r="CP417" s="6"/>
      <c r="CQ417" s="6"/>
      <c r="CR417" s="6"/>
      <c r="CS417" s="6"/>
      <c r="CT417" s="6"/>
      <c r="CU417" s="6"/>
      <c r="CV417" s="6"/>
      <c r="CW417" s="6"/>
      <c r="CX417" s="6"/>
      <c r="CY417" s="6"/>
      <c r="CZ417" s="6"/>
      <c r="DA417" s="6"/>
      <c r="DB417" s="6"/>
      <c r="DC417" s="6"/>
      <c r="DD417" s="6"/>
      <c r="DE417" s="6"/>
      <c r="DF417" s="6"/>
      <c r="DG417" s="6"/>
      <c r="DH417" s="6"/>
      <c r="DI417" s="6"/>
      <c r="DJ417" s="6"/>
    </row>
    <row r="418" spans="2:114" x14ac:dyDescent="0.2">
      <c r="B418" s="68"/>
      <c r="C418" s="69"/>
      <c r="D418" s="70"/>
      <c r="F418" s="68"/>
      <c r="G418" s="69"/>
      <c r="H418" s="70"/>
      <c r="J418" s="71"/>
      <c r="K418" s="71"/>
      <c r="L418" s="67"/>
      <c r="N418" s="71"/>
      <c r="O418" s="71"/>
      <c r="P418" s="67"/>
      <c r="R418" s="67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6"/>
      <c r="BY418" s="6"/>
      <c r="BZ418" s="6"/>
      <c r="CA418" s="6"/>
      <c r="CB418" s="6"/>
      <c r="CC418" s="6"/>
      <c r="CD418" s="6"/>
      <c r="CE418" s="6"/>
      <c r="CF418" s="6"/>
      <c r="CG418" s="6"/>
      <c r="CH418" s="6"/>
      <c r="CI418" s="6"/>
      <c r="CJ418" s="6"/>
      <c r="CK418" s="6"/>
      <c r="CL418" s="6"/>
      <c r="CM418" s="6"/>
      <c r="CN418" s="6"/>
      <c r="CO418" s="6"/>
      <c r="CP418" s="6"/>
      <c r="CQ418" s="6"/>
      <c r="CR418" s="6"/>
      <c r="CS418" s="6"/>
      <c r="CT418" s="6"/>
      <c r="CU418" s="6"/>
      <c r="CV418" s="6"/>
      <c r="CW418" s="6"/>
      <c r="CX418" s="6"/>
      <c r="CY418" s="6"/>
      <c r="CZ418" s="6"/>
      <c r="DA418" s="6"/>
      <c r="DB418" s="6"/>
      <c r="DC418" s="6"/>
      <c r="DD418" s="6"/>
      <c r="DE418" s="6"/>
      <c r="DF418" s="6"/>
      <c r="DG418" s="6"/>
      <c r="DH418" s="6"/>
      <c r="DI418" s="6"/>
      <c r="DJ418" s="6"/>
    </row>
    <row r="419" spans="2:114" x14ac:dyDescent="0.2">
      <c r="B419" s="68"/>
      <c r="C419" s="69"/>
      <c r="D419" s="70"/>
      <c r="F419" s="68"/>
      <c r="G419" s="69"/>
      <c r="H419" s="70"/>
      <c r="J419" s="71"/>
      <c r="K419" s="71"/>
      <c r="L419" s="67"/>
      <c r="N419" s="71"/>
      <c r="O419" s="71"/>
      <c r="P419" s="67"/>
      <c r="R419" s="67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6"/>
      <c r="BY419" s="6"/>
      <c r="BZ419" s="6"/>
      <c r="CA419" s="6"/>
      <c r="CB419" s="6"/>
      <c r="CC419" s="6"/>
      <c r="CD419" s="6"/>
      <c r="CE419" s="6"/>
      <c r="CF419" s="6"/>
      <c r="CG419" s="6"/>
      <c r="CH419" s="6"/>
      <c r="CI419" s="6"/>
      <c r="CJ419" s="6"/>
      <c r="CK419" s="6"/>
      <c r="CL419" s="6"/>
      <c r="CM419" s="6"/>
      <c r="CN419" s="6"/>
      <c r="CO419" s="6"/>
      <c r="CP419" s="6"/>
      <c r="CQ419" s="6"/>
      <c r="CR419" s="6"/>
      <c r="CS419" s="6"/>
      <c r="CT419" s="6"/>
      <c r="CU419" s="6"/>
      <c r="CV419" s="6"/>
      <c r="CW419" s="6"/>
      <c r="CX419" s="6"/>
      <c r="CY419" s="6"/>
      <c r="CZ419" s="6"/>
      <c r="DA419" s="6"/>
      <c r="DB419" s="6"/>
      <c r="DC419" s="6"/>
      <c r="DD419" s="6"/>
      <c r="DE419" s="6"/>
      <c r="DF419" s="6"/>
      <c r="DG419" s="6"/>
      <c r="DH419" s="6"/>
      <c r="DI419" s="6"/>
      <c r="DJ419" s="6"/>
    </row>
    <row r="420" spans="2:114" x14ac:dyDescent="0.2">
      <c r="B420" s="68"/>
      <c r="C420" s="69"/>
      <c r="D420" s="70"/>
      <c r="F420" s="68"/>
      <c r="G420" s="69"/>
      <c r="H420" s="70"/>
      <c r="J420" s="71"/>
      <c r="K420" s="71"/>
      <c r="L420" s="67"/>
      <c r="N420" s="71"/>
      <c r="O420" s="71"/>
      <c r="P420" s="67"/>
      <c r="R420" s="67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6"/>
      <c r="BY420" s="6"/>
      <c r="BZ420" s="6"/>
      <c r="CA420" s="6"/>
      <c r="CB420" s="6"/>
      <c r="CC420" s="6"/>
      <c r="CD420" s="6"/>
      <c r="CE420" s="6"/>
      <c r="CF420" s="6"/>
      <c r="CG420" s="6"/>
      <c r="CH420" s="6"/>
      <c r="CI420" s="6"/>
      <c r="CJ420" s="6"/>
      <c r="CK420" s="6"/>
      <c r="CL420" s="6"/>
      <c r="CM420" s="6"/>
      <c r="CN420" s="6"/>
      <c r="CO420" s="6"/>
      <c r="CP420" s="6"/>
      <c r="CQ420" s="6"/>
      <c r="CR420" s="6"/>
      <c r="CS420" s="6"/>
      <c r="CT420" s="6"/>
      <c r="CU420" s="6"/>
      <c r="CV420" s="6"/>
      <c r="CW420" s="6"/>
      <c r="CX420" s="6"/>
      <c r="CY420" s="6"/>
      <c r="CZ420" s="6"/>
      <c r="DA420" s="6"/>
      <c r="DB420" s="6"/>
      <c r="DC420" s="6"/>
      <c r="DD420" s="6"/>
      <c r="DE420" s="6"/>
      <c r="DF420" s="6"/>
      <c r="DG420" s="6"/>
      <c r="DH420" s="6"/>
      <c r="DI420" s="6"/>
      <c r="DJ420" s="6"/>
    </row>
    <row r="421" spans="2:114" x14ac:dyDescent="0.2">
      <c r="B421" s="68"/>
      <c r="C421" s="69"/>
      <c r="D421" s="70"/>
      <c r="F421" s="68"/>
      <c r="G421" s="69"/>
      <c r="H421" s="70"/>
      <c r="J421" s="71"/>
      <c r="K421" s="71"/>
      <c r="L421" s="67"/>
      <c r="N421" s="71"/>
      <c r="O421" s="71"/>
      <c r="P421" s="67"/>
      <c r="R421" s="67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6"/>
      <c r="BY421" s="6"/>
      <c r="BZ421" s="6"/>
      <c r="CA421" s="6"/>
      <c r="CB421" s="6"/>
      <c r="CC421" s="6"/>
      <c r="CD421" s="6"/>
      <c r="CE421" s="6"/>
      <c r="CF421" s="6"/>
      <c r="CG421" s="6"/>
      <c r="CH421" s="6"/>
      <c r="CI421" s="6"/>
      <c r="CJ421" s="6"/>
      <c r="CK421" s="6"/>
      <c r="CL421" s="6"/>
      <c r="CM421" s="6"/>
      <c r="CN421" s="6"/>
      <c r="CO421" s="6"/>
      <c r="CP421" s="6"/>
      <c r="CQ421" s="6"/>
      <c r="CR421" s="6"/>
      <c r="CS421" s="6"/>
      <c r="CT421" s="6"/>
      <c r="CU421" s="6"/>
      <c r="CV421" s="6"/>
      <c r="CW421" s="6"/>
      <c r="CX421" s="6"/>
      <c r="CY421" s="6"/>
      <c r="CZ421" s="6"/>
      <c r="DA421" s="6"/>
      <c r="DB421" s="6"/>
      <c r="DC421" s="6"/>
      <c r="DD421" s="6"/>
      <c r="DE421" s="6"/>
      <c r="DF421" s="6"/>
      <c r="DG421" s="6"/>
      <c r="DH421" s="6"/>
      <c r="DI421" s="6"/>
      <c r="DJ421" s="6"/>
    </row>
    <row r="422" spans="2:114" x14ac:dyDescent="0.2">
      <c r="B422" s="68"/>
      <c r="C422" s="69"/>
      <c r="D422" s="70"/>
      <c r="F422" s="68"/>
      <c r="G422" s="69"/>
      <c r="H422" s="70"/>
      <c r="J422" s="71"/>
      <c r="K422" s="71"/>
      <c r="L422" s="67"/>
      <c r="N422" s="71"/>
      <c r="O422" s="71"/>
      <c r="P422" s="67"/>
      <c r="R422" s="67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6"/>
      <c r="BY422" s="6"/>
      <c r="BZ422" s="6"/>
      <c r="CA422" s="6"/>
      <c r="CB422" s="6"/>
      <c r="CC422" s="6"/>
      <c r="CD422" s="6"/>
      <c r="CE422" s="6"/>
      <c r="CF422" s="6"/>
      <c r="CG422" s="6"/>
      <c r="CH422" s="6"/>
      <c r="CI422" s="6"/>
      <c r="CJ422" s="6"/>
      <c r="CK422" s="6"/>
      <c r="CL422" s="6"/>
      <c r="CM422" s="6"/>
      <c r="CN422" s="6"/>
      <c r="CO422" s="6"/>
      <c r="CP422" s="6"/>
      <c r="CQ422" s="6"/>
      <c r="CR422" s="6"/>
      <c r="CS422" s="6"/>
      <c r="CT422" s="6"/>
      <c r="CU422" s="6"/>
      <c r="CV422" s="6"/>
      <c r="CW422" s="6"/>
      <c r="CX422" s="6"/>
      <c r="CY422" s="6"/>
      <c r="CZ422" s="6"/>
      <c r="DA422" s="6"/>
      <c r="DB422" s="6"/>
      <c r="DC422" s="6"/>
      <c r="DD422" s="6"/>
      <c r="DE422" s="6"/>
      <c r="DF422" s="6"/>
      <c r="DG422" s="6"/>
      <c r="DH422" s="6"/>
      <c r="DI422" s="6"/>
      <c r="DJ422" s="6"/>
    </row>
    <row r="423" spans="2:114" x14ac:dyDescent="0.2">
      <c r="B423" s="68"/>
      <c r="C423" s="69"/>
      <c r="D423" s="70"/>
      <c r="F423" s="68"/>
      <c r="G423" s="69"/>
      <c r="H423" s="70"/>
      <c r="J423" s="71"/>
      <c r="K423" s="71"/>
      <c r="L423" s="67"/>
      <c r="N423" s="71"/>
      <c r="O423" s="71"/>
      <c r="P423" s="67"/>
      <c r="R423" s="67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6"/>
      <c r="BY423" s="6"/>
      <c r="BZ423" s="6"/>
      <c r="CA423" s="6"/>
      <c r="CB423" s="6"/>
      <c r="CC423" s="6"/>
      <c r="CD423" s="6"/>
      <c r="CE423" s="6"/>
      <c r="CF423" s="6"/>
      <c r="CG423" s="6"/>
      <c r="CH423" s="6"/>
      <c r="CI423" s="6"/>
      <c r="CJ423" s="6"/>
      <c r="CK423" s="6"/>
      <c r="CL423" s="6"/>
      <c r="CM423" s="6"/>
      <c r="CN423" s="6"/>
      <c r="CO423" s="6"/>
      <c r="CP423" s="6"/>
      <c r="CQ423" s="6"/>
      <c r="CR423" s="6"/>
      <c r="CS423" s="6"/>
      <c r="CT423" s="6"/>
      <c r="CU423" s="6"/>
      <c r="CV423" s="6"/>
      <c r="CW423" s="6"/>
      <c r="CX423" s="6"/>
      <c r="CY423" s="6"/>
      <c r="CZ423" s="6"/>
      <c r="DA423" s="6"/>
      <c r="DB423" s="6"/>
      <c r="DC423" s="6"/>
      <c r="DD423" s="6"/>
      <c r="DE423" s="6"/>
      <c r="DF423" s="6"/>
      <c r="DG423" s="6"/>
      <c r="DH423" s="6"/>
      <c r="DI423" s="6"/>
      <c r="DJ423" s="6"/>
    </row>
    <row r="424" spans="2:114" x14ac:dyDescent="0.2">
      <c r="B424" s="68"/>
      <c r="C424" s="69"/>
      <c r="D424" s="70"/>
      <c r="F424" s="68"/>
      <c r="G424" s="69"/>
      <c r="H424" s="70"/>
      <c r="J424" s="71"/>
      <c r="K424" s="71"/>
      <c r="L424" s="67"/>
      <c r="N424" s="71"/>
      <c r="O424" s="71"/>
      <c r="P424" s="67"/>
      <c r="R424" s="67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6"/>
      <c r="BY424" s="6"/>
      <c r="BZ424" s="6"/>
      <c r="CA424" s="6"/>
      <c r="CB424" s="6"/>
      <c r="CC424" s="6"/>
      <c r="CD424" s="6"/>
      <c r="CE424" s="6"/>
      <c r="CF424" s="6"/>
      <c r="CG424" s="6"/>
      <c r="CH424" s="6"/>
      <c r="CI424" s="6"/>
      <c r="CJ424" s="6"/>
      <c r="CK424" s="6"/>
      <c r="CL424" s="6"/>
      <c r="CM424" s="6"/>
      <c r="CN424" s="6"/>
      <c r="CO424" s="6"/>
      <c r="CP424" s="6"/>
      <c r="CQ424" s="6"/>
      <c r="CR424" s="6"/>
      <c r="CS424" s="6"/>
      <c r="CT424" s="6"/>
      <c r="CU424" s="6"/>
      <c r="CV424" s="6"/>
      <c r="CW424" s="6"/>
      <c r="CX424" s="6"/>
      <c r="CY424" s="6"/>
      <c r="CZ424" s="6"/>
      <c r="DA424" s="6"/>
      <c r="DB424" s="6"/>
      <c r="DC424" s="6"/>
      <c r="DD424" s="6"/>
      <c r="DE424" s="6"/>
      <c r="DF424" s="6"/>
      <c r="DG424" s="6"/>
      <c r="DH424" s="6"/>
      <c r="DI424" s="6"/>
      <c r="DJ424" s="6"/>
    </row>
    <row r="425" spans="2:114" x14ac:dyDescent="0.2">
      <c r="B425" s="68"/>
      <c r="C425" s="69"/>
      <c r="D425" s="70"/>
      <c r="F425" s="68"/>
      <c r="G425" s="69"/>
      <c r="H425" s="70"/>
      <c r="J425" s="71"/>
      <c r="K425" s="71"/>
      <c r="L425" s="67"/>
      <c r="N425" s="71"/>
      <c r="O425" s="71"/>
      <c r="P425" s="67"/>
      <c r="R425" s="67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6"/>
      <c r="BY425" s="6"/>
      <c r="BZ425" s="6"/>
      <c r="CA425" s="6"/>
      <c r="CB425" s="6"/>
      <c r="CC425" s="6"/>
      <c r="CD425" s="6"/>
      <c r="CE425" s="6"/>
      <c r="CF425" s="6"/>
      <c r="CG425" s="6"/>
      <c r="CH425" s="6"/>
      <c r="CI425" s="6"/>
      <c r="CJ425" s="6"/>
      <c r="CK425" s="6"/>
      <c r="CL425" s="6"/>
      <c r="CM425" s="6"/>
      <c r="CN425" s="6"/>
      <c r="CO425" s="6"/>
      <c r="CP425" s="6"/>
      <c r="CQ425" s="6"/>
      <c r="CR425" s="6"/>
      <c r="CS425" s="6"/>
      <c r="CT425" s="6"/>
      <c r="CU425" s="6"/>
      <c r="CV425" s="6"/>
      <c r="CW425" s="6"/>
      <c r="CX425" s="6"/>
      <c r="CY425" s="6"/>
      <c r="CZ425" s="6"/>
      <c r="DA425" s="6"/>
      <c r="DB425" s="6"/>
      <c r="DC425" s="6"/>
      <c r="DD425" s="6"/>
      <c r="DE425" s="6"/>
      <c r="DF425" s="6"/>
      <c r="DG425" s="6"/>
      <c r="DH425" s="6"/>
      <c r="DI425" s="6"/>
      <c r="DJ425" s="6"/>
    </row>
    <row r="426" spans="2:114" x14ac:dyDescent="0.2">
      <c r="B426" s="68"/>
      <c r="C426" s="69"/>
      <c r="D426" s="70"/>
      <c r="F426" s="68"/>
      <c r="G426" s="69"/>
      <c r="H426" s="70"/>
      <c r="J426" s="71"/>
      <c r="K426" s="71"/>
      <c r="L426" s="67"/>
      <c r="N426" s="71"/>
      <c r="O426" s="71"/>
      <c r="P426" s="67"/>
      <c r="R426" s="67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6"/>
      <c r="BY426" s="6"/>
      <c r="BZ426" s="6"/>
      <c r="CA426" s="6"/>
      <c r="CB426" s="6"/>
      <c r="CC426" s="6"/>
      <c r="CD426" s="6"/>
      <c r="CE426" s="6"/>
      <c r="CF426" s="6"/>
      <c r="CG426" s="6"/>
      <c r="CH426" s="6"/>
      <c r="CI426" s="6"/>
      <c r="CJ426" s="6"/>
      <c r="CK426" s="6"/>
      <c r="CL426" s="6"/>
      <c r="CM426" s="6"/>
      <c r="CN426" s="6"/>
      <c r="CO426" s="6"/>
      <c r="CP426" s="6"/>
      <c r="CQ426" s="6"/>
      <c r="CR426" s="6"/>
      <c r="CS426" s="6"/>
      <c r="CT426" s="6"/>
      <c r="CU426" s="6"/>
      <c r="CV426" s="6"/>
      <c r="CW426" s="6"/>
      <c r="CX426" s="6"/>
      <c r="CY426" s="6"/>
      <c r="CZ426" s="6"/>
      <c r="DA426" s="6"/>
      <c r="DB426" s="6"/>
      <c r="DC426" s="6"/>
      <c r="DD426" s="6"/>
      <c r="DE426" s="6"/>
      <c r="DF426" s="6"/>
      <c r="DG426" s="6"/>
      <c r="DH426" s="6"/>
      <c r="DI426" s="6"/>
      <c r="DJ426" s="6"/>
    </row>
    <row r="427" spans="2:114" x14ac:dyDescent="0.2">
      <c r="B427" s="68"/>
      <c r="C427" s="69"/>
      <c r="D427" s="70"/>
      <c r="F427" s="68"/>
      <c r="G427" s="69"/>
      <c r="H427" s="70"/>
      <c r="J427" s="71"/>
      <c r="K427" s="71"/>
      <c r="L427" s="67"/>
      <c r="N427" s="71"/>
      <c r="O427" s="71"/>
      <c r="P427" s="67"/>
      <c r="R427" s="67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6"/>
      <c r="BY427" s="6"/>
      <c r="BZ427" s="6"/>
      <c r="CA427" s="6"/>
      <c r="CB427" s="6"/>
      <c r="CC427" s="6"/>
      <c r="CD427" s="6"/>
      <c r="CE427" s="6"/>
      <c r="CF427" s="6"/>
      <c r="CG427" s="6"/>
      <c r="CH427" s="6"/>
      <c r="CI427" s="6"/>
      <c r="CJ427" s="6"/>
      <c r="CK427" s="6"/>
      <c r="CL427" s="6"/>
      <c r="CM427" s="6"/>
      <c r="CN427" s="6"/>
      <c r="CO427" s="6"/>
      <c r="CP427" s="6"/>
      <c r="CQ427" s="6"/>
      <c r="CR427" s="6"/>
      <c r="CS427" s="6"/>
      <c r="CT427" s="6"/>
      <c r="CU427" s="6"/>
      <c r="CV427" s="6"/>
      <c r="CW427" s="6"/>
      <c r="CX427" s="6"/>
      <c r="CY427" s="6"/>
      <c r="CZ427" s="6"/>
      <c r="DA427" s="6"/>
      <c r="DB427" s="6"/>
      <c r="DC427" s="6"/>
      <c r="DD427" s="6"/>
      <c r="DE427" s="6"/>
      <c r="DF427" s="6"/>
      <c r="DG427" s="6"/>
      <c r="DH427" s="6"/>
      <c r="DI427" s="6"/>
      <c r="DJ427" s="6"/>
    </row>
    <row r="428" spans="2:114" x14ac:dyDescent="0.2">
      <c r="B428" s="68"/>
      <c r="C428" s="69"/>
      <c r="D428" s="70"/>
      <c r="F428" s="68"/>
      <c r="G428" s="69"/>
      <c r="H428" s="70"/>
      <c r="J428" s="71"/>
      <c r="K428" s="71"/>
      <c r="L428" s="67"/>
      <c r="N428" s="71"/>
      <c r="O428" s="71"/>
      <c r="P428" s="67"/>
      <c r="R428" s="67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6"/>
      <c r="BY428" s="6"/>
      <c r="BZ428" s="6"/>
      <c r="CA428" s="6"/>
      <c r="CB428" s="6"/>
      <c r="CC428" s="6"/>
      <c r="CD428" s="6"/>
      <c r="CE428" s="6"/>
      <c r="CF428" s="6"/>
      <c r="CG428" s="6"/>
      <c r="CH428" s="6"/>
      <c r="CI428" s="6"/>
      <c r="CJ428" s="6"/>
      <c r="CK428" s="6"/>
      <c r="CL428" s="6"/>
      <c r="CM428" s="6"/>
      <c r="CN428" s="6"/>
      <c r="CO428" s="6"/>
      <c r="CP428" s="6"/>
      <c r="CQ428" s="6"/>
      <c r="CR428" s="6"/>
      <c r="CS428" s="6"/>
      <c r="CT428" s="6"/>
      <c r="CU428" s="6"/>
      <c r="CV428" s="6"/>
      <c r="CW428" s="6"/>
      <c r="CX428" s="6"/>
      <c r="CY428" s="6"/>
      <c r="CZ428" s="6"/>
      <c r="DA428" s="6"/>
      <c r="DB428" s="6"/>
      <c r="DC428" s="6"/>
      <c r="DD428" s="6"/>
      <c r="DE428" s="6"/>
      <c r="DF428" s="6"/>
      <c r="DG428" s="6"/>
      <c r="DH428" s="6"/>
      <c r="DI428" s="6"/>
      <c r="DJ428" s="6"/>
    </row>
    <row r="429" spans="2:114" x14ac:dyDescent="0.2">
      <c r="B429" s="68"/>
      <c r="C429" s="69"/>
      <c r="D429" s="70"/>
      <c r="F429" s="68"/>
      <c r="G429" s="69"/>
      <c r="H429" s="70"/>
      <c r="J429" s="71"/>
      <c r="K429" s="71"/>
      <c r="L429" s="67"/>
      <c r="N429" s="71"/>
      <c r="O429" s="71"/>
      <c r="P429" s="67"/>
      <c r="R429" s="67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6"/>
      <c r="BY429" s="6"/>
      <c r="BZ429" s="6"/>
      <c r="CA429" s="6"/>
      <c r="CB429" s="6"/>
      <c r="CC429" s="6"/>
      <c r="CD429" s="6"/>
      <c r="CE429" s="6"/>
      <c r="CF429" s="6"/>
      <c r="CG429" s="6"/>
      <c r="CH429" s="6"/>
      <c r="CI429" s="6"/>
      <c r="CJ429" s="6"/>
      <c r="CK429" s="6"/>
      <c r="CL429" s="6"/>
      <c r="CM429" s="6"/>
      <c r="CN429" s="6"/>
      <c r="CO429" s="6"/>
      <c r="CP429" s="6"/>
      <c r="CQ429" s="6"/>
      <c r="CR429" s="6"/>
      <c r="CS429" s="6"/>
      <c r="CT429" s="6"/>
      <c r="CU429" s="6"/>
      <c r="CV429" s="6"/>
      <c r="CW429" s="6"/>
      <c r="CX429" s="6"/>
      <c r="CY429" s="6"/>
      <c r="CZ429" s="6"/>
      <c r="DA429" s="6"/>
      <c r="DB429" s="6"/>
      <c r="DC429" s="6"/>
      <c r="DD429" s="6"/>
      <c r="DE429" s="6"/>
      <c r="DF429" s="6"/>
      <c r="DG429" s="6"/>
      <c r="DH429" s="6"/>
      <c r="DI429" s="6"/>
      <c r="DJ429" s="6"/>
    </row>
    <row r="430" spans="2:114" x14ac:dyDescent="0.2">
      <c r="B430" s="68"/>
      <c r="C430" s="69"/>
      <c r="D430" s="70"/>
      <c r="F430" s="68"/>
      <c r="G430" s="69"/>
      <c r="H430" s="70"/>
      <c r="J430" s="71"/>
      <c r="K430" s="71"/>
      <c r="L430" s="67"/>
      <c r="N430" s="71"/>
      <c r="O430" s="71"/>
      <c r="P430" s="67"/>
      <c r="R430" s="67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6"/>
      <c r="BY430" s="6"/>
      <c r="BZ430" s="6"/>
      <c r="CA430" s="6"/>
      <c r="CB430" s="6"/>
      <c r="CC430" s="6"/>
      <c r="CD430" s="6"/>
      <c r="CE430" s="6"/>
      <c r="CF430" s="6"/>
      <c r="CG430" s="6"/>
      <c r="CH430" s="6"/>
      <c r="CI430" s="6"/>
      <c r="CJ430" s="6"/>
      <c r="CK430" s="6"/>
      <c r="CL430" s="6"/>
      <c r="CM430" s="6"/>
      <c r="CN430" s="6"/>
      <c r="CO430" s="6"/>
      <c r="CP430" s="6"/>
      <c r="CQ430" s="6"/>
      <c r="CR430" s="6"/>
      <c r="CS430" s="6"/>
      <c r="CT430" s="6"/>
      <c r="CU430" s="6"/>
      <c r="CV430" s="6"/>
      <c r="CW430" s="6"/>
      <c r="CX430" s="6"/>
      <c r="CY430" s="6"/>
      <c r="CZ430" s="6"/>
      <c r="DA430" s="6"/>
      <c r="DB430" s="6"/>
      <c r="DC430" s="6"/>
      <c r="DD430" s="6"/>
      <c r="DE430" s="6"/>
      <c r="DF430" s="6"/>
      <c r="DG430" s="6"/>
      <c r="DH430" s="6"/>
      <c r="DI430" s="6"/>
      <c r="DJ430" s="6"/>
    </row>
    <row r="431" spans="2:114" x14ac:dyDescent="0.2">
      <c r="B431" s="68"/>
      <c r="C431" s="69"/>
      <c r="D431" s="70"/>
      <c r="F431" s="68"/>
      <c r="G431" s="69"/>
      <c r="H431" s="70"/>
      <c r="J431" s="71"/>
      <c r="K431" s="71"/>
      <c r="L431" s="67"/>
      <c r="N431" s="71"/>
      <c r="O431" s="71"/>
      <c r="P431" s="67"/>
      <c r="R431" s="67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6"/>
      <c r="BY431" s="6"/>
      <c r="BZ431" s="6"/>
      <c r="CA431" s="6"/>
      <c r="CB431" s="6"/>
      <c r="CC431" s="6"/>
      <c r="CD431" s="6"/>
      <c r="CE431" s="6"/>
      <c r="CF431" s="6"/>
      <c r="CG431" s="6"/>
      <c r="CH431" s="6"/>
      <c r="CI431" s="6"/>
      <c r="CJ431" s="6"/>
      <c r="CK431" s="6"/>
      <c r="CL431" s="6"/>
      <c r="CM431" s="6"/>
      <c r="CN431" s="6"/>
      <c r="CO431" s="6"/>
      <c r="CP431" s="6"/>
      <c r="CQ431" s="6"/>
      <c r="CR431" s="6"/>
      <c r="CS431" s="6"/>
      <c r="CT431" s="6"/>
      <c r="CU431" s="6"/>
      <c r="CV431" s="6"/>
      <c r="CW431" s="6"/>
      <c r="CX431" s="6"/>
      <c r="CY431" s="6"/>
      <c r="CZ431" s="6"/>
      <c r="DA431" s="6"/>
      <c r="DB431" s="6"/>
      <c r="DC431" s="6"/>
      <c r="DD431" s="6"/>
      <c r="DE431" s="6"/>
      <c r="DF431" s="6"/>
      <c r="DG431" s="6"/>
      <c r="DH431" s="6"/>
      <c r="DI431" s="6"/>
      <c r="DJ431" s="6"/>
    </row>
    <row r="432" spans="2:114" x14ac:dyDescent="0.2">
      <c r="B432" s="68"/>
      <c r="C432" s="69"/>
      <c r="D432" s="70"/>
      <c r="F432" s="68"/>
      <c r="G432" s="69"/>
      <c r="H432" s="70"/>
      <c r="J432" s="71"/>
      <c r="K432" s="71"/>
      <c r="L432" s="67"/>
      <c r="N432" s="71"/>
      <c r="O432" s="71"/>
      <c r="P432" s="67"/>
      <c r="R432" s="67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6"/>
      <c r="BY432" s="6"/>
      <c r="BZ432" s="6"/>
      <c r="CA432" s="6"/>
      <c r="CB432" s="6"/>
      <c r="CC432" s="6"/>
      <c r="CD432" s="6"/>
      <c r="CE432" s="6"/>
      <c r="CF432" s="6"/>
      <c r="CG432" s="6"/>
      <c r="CH432" s="6"/>
      <c r="CI432" s="6"/>
      <c r="CJ432" s="6"/>
      <c r="CK432" s="6"/>
      <c r="CL432" s="6"/>
      <c r="CM432" s="6"/>
      <c r="CN432" s="6"/>
      <c r="CO432" s="6"/>
      <c r="CP432" s="6"/>
      <c r="CQ432" s="6"/>
      <c r="CR432" s="6"/>
      <c r="CS432" s="6"/>
      <c r="CT432" s="6"/>
      <c r="CU432" s="6"/>
      <c r="CV432" s="6"/>
      <c r="CW432" s="6"/>
      <c r="CX432" s="6"/>
      <c r="CY432" s="6"/>
      <c r="CZ432" s="6"/>
      <c r="DA432" s="6"/>
      <c r="DB432" s="6"/>
      <c r="DC432" s="6"/>
      <c r="DD432" s="6"/>
      <c r="DE432" s="6"/>
      <c r="DF432" s="6"/>
      <c r="DG432" s="6"/>
      <c r="DH432" s="6"/>
      <c r="DI432" s="6"/>
      <c r="DJ432" s="6"/>
    </row>
    <row r="433" spans="2:114" x14ac:dyDescent="0.2">
      <c r="B433" s="68"/>
      <c r="C433" s="69"/>
      <c r="D433" s="70"/>
      <c r="F433" s="68"/>
      <c r="G433" s="69"/>
      <c r="H433" s="70"/>
      <c r="J433" s="71"/>
      <c r="K433" s="71"/>
      <c r="L433" s="67"/>
      <c r="N433" s="71"/>
      <c r="O433" s="71"/>
      <c r="P433" s="67"/>
      <c r="R433" s="67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6"/>
      <c r="BY433" s="6"/>
      <c r="BZ433" s="6"/>
      <c r="CA433" s="6"/>
      <c r="CB433" s="6"/>
      <c r="CC433" s="6"/>
      <c r="CD433" s="6"/>
      <c r="CE433" s="6"/>
      <c r="CF433" s="6"/>
      <c r="CG433" s="6"/>
      <c r="CH433" s="6"/>
      <c r="CI433" s="6"/>
      <c r="CJ433" s="6"/>
      <c r="CK433" s="6"/>
      <c r="CL433" s="6"/>
      <c r="CM433" s="6"/>
      <c r="CN433" s="6"/>
      <c r="CO433" s="6"/>
      <c r="CP433" s="6"/>
      <c r="CQ433" s="6"/>
      <c r="CR433" s="6"/>
      <c r="CS433" s="6"/>
      <c r="CT433" s="6"/>
      <c r="CU433" s="6"/>
      <c r="CV433" s="6"/>
      <c r="CW433" s="6"/>
      <c r="CX433" s="6"/>
      <c r="CY433" s="6"/>
      <c r="CZ433" s="6"/>
      <c r="DA433" s="6"/>
      <c r="DB433" s="6"/>
      <c r="DC433" s="6"/>
      <c r="DD433" s="6"/>
      <c r="DE433" s="6"/>
      <c r="DF433" s="6"/>
      <c r="DG433" s="6"/>
      <c r="DH433" s="6"/>
      <c r="DI433" s="6"/>
      <c r="DJ433" s="6"/>
    </row>
    <row r="434" spans="2:114" x14ac:dyDescent="0.2">
      <c r="B434" s="68"/>
      <c r="C434" s="69"/>
      <c r="D434" s="70"/>
      <c r="F434" s="68"/>
      <c r="G434" s="69"/>
      <c r="H434" s="70"/>
      <c r="J434" s="71"/>
      <c r="K434" s="71"/>
      <c r="L434" s="67"/>
      <c r="N434" s="71"/>
      <c r="O434" s="71"/>
      <c r="P434" s="67"/>
      <c r="R434" s="67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6"/>
      <c r="BY434" s="6"/>
      <c r="BZ434" s="6"/>
      <c r="CA434" s="6"/>
      <c r="CB434" s="6"/>
      <c r="CC434" s="6"/>
      <c r="CD434" s="6"/>
      <c r="CE434" s="6"/>
      <c r="CF434" s="6"/>
      <c r="CG434" s="6"/>
      <c r="CH434" s="6"/>
      <c r="CI434" s="6"/>
      <c r="CJ434" s="6"/>
      <c r="CK434" s="6"/>
      <c r="CL434" s="6"/>
      <c r="CM434" s="6"/>
      <c r="CN434" s="6"/>
      <c r="CO434" s="6"/>
      <c r="CP434" s="6"/>
      <c r="CQ434" s="6"/>
      <c r="CR434" s="6"/>
      <c r="CS434" s="6"/>
      <c r="CT434" s="6"/>
      <c r="CU434" s="6"/>
      <c r="CV434" s="6"/>
      <c r="CW434" s="6"/>
      <c r="CX434" s="6"/>
      <c r="CY434" s="6"/>
      <c r="CZ434" s="6"/>
      <c r="DA434" s="6"/>
      <c r="DB434" s="6"/>
      <c r="DC434" s="6"/>
      <c r="DD434" s="6"/>
      <c r="DE434" s="6"/>
      <c r="DF434" s="6"/>
      <c r="DG434" s="6"/>
      <c r="DH434" s="6"/>
      <c r="DI434" s="6"/>
      <c r="DJ434" s="6"/>
    </row>
    <row r="435" spans="2:114" x14ac:dyDescent="0.2">
      <c r="B435" s="68"/>
      <c r="C435" s="69"/>
      <c r="D435" s="70"/>
      <c r="F435" s="68"/>
      <c r="G435" s="69"/>
      <c r="H435" s="70"/>
      <c r="J435" s="71"/>
      <c r="K435" s="71"/>
      <c r="L435" s="67"/>
      <c r="N435" s="71"/>
      <c r="O435" s="71"/>
      <c r="P435" s="67"/>
      <c r="R435" s="67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6"/>
      <c r="BY435" s="6"/>
      <c r="BZ435" s="6"/>
      <c r="CA435" s="6"/>
      <c r="CB435" s="6"/>
      <c r="CC435" s="6"/>
      <c r="CD435" s="6"/>
      <c r="CE435" s="6"/>
      <c r="CF435" s="6"/>
      <c r="CG435" s="6"/>
      <c r="CH435" s="6"/>
      <c r="CI435" s="6"/>
      <c r="CJ435" s="6"/>
      <c r="CK435" s="6"/>
      <c r="CL435" s="6"/>
      <c r="CM435" s="6"/>
      <c r="CN435" s="6"/>
      <c r="CO435" s="6"/>
      <c r="CP435" s="6"/>
      <c r="CQ435" s="6"/>
      <c r="CR435" s="6"/>
      <c r="CS435" s="6"/>
      <c r="CT435" s="6"/>
      <c r="CU435" s="6"/>
      <c r="CV435" s="6"/>
      <c r="CW435" s="6"/>
      <c r="CX435" s="6"/>
      <c r="CY435" s="6"/>
      <c r="CZ435" s="6"/>
      <c r="DA435" s="6"/>
      <c r="DB435" s="6"/>
      <c r="DC435" s="6"/>
      <c r="DD435" s="6"/>
      <c r="DE435" s="6"/>
      <c r="DF435" s="6"/>
      <c r="DG435" s="6"/>
      <c r="DH435" s="6"/>
      <c r="DI435" s="6"/>
      <c r="DJ435" s="6"/>
    </row>
    <row r="436" spans="2:114" x14ac:dyDescent="0.2">
      <c r="B436" s="68"/>
      <c r="C436" s="69"/>
      <c r="D436" s="70"/>
      <c r="F436" s="68"/>
      <c r="G436" s="69"/>
      <c r="H436" s="70"/>
      <c r="J436" s="71"/>
      <c r="K436" s="71"/>
      <c r="L436" s="67"/>
      <c r="N436" s="71"/>
      <c r="O436" s="71"/>
      <c r="P436" s="67"/>
      <c r="R436" s="67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6"/>
      <c r="BY436" s="6"/>
      <c r="BZ436" s="6"/>
      <c r="CA436" s="6"/>
      <c r="CB436" s="6"/>
      <c r="CC436" s="6"/>
      <c r="CD436" s="6"/>
      <c r="CE436" s="6"/>
      <c r="CF436" s="6"/>
      <c r="CG436" s="6"/>
      <c r="CH436" s="6"/>
      <c r="CI436" s="6"/>
      <c r="CJ436" s="6"/>
      <c r="CK436" s="6"/>
      <c r="CL436" s="6"/>
      <c r="CM436" s="6"/>
      <c r="CN436" s="6"/>
      <c r="CO436" s="6"/>
      <c r="CP436" s="6"/>
      <c r="CQ436" s="6"/>
      <c r="CR436" s="6"/>
      <c r="CS436" s="6"/>
      <c r="CT436" s="6"/>
      <c r="CU436" s="6"/>
      <c r="CV436" s="6"/>
      <c r="CW436" s="6"/>
      <c r="CX436" s="6"/>
      <c r="CY436" s="6"/>
      <c r="CZ436" s="6"/>
      <c r="DA436" s="6"/>
      <c r="DB436" s="6"/>
      <c r="DC436" s="6"/>
      <c r="DD436" s="6"/>
      <c r="DE436" s="6"/>
      <c r="DF436" s="6"/>
      <c r="DG436" s="6"/>
      <c r="DH436" s="6"/>
      <c r="DI436" s="6"/>
      <c r="DJ436" s="6"/>
    </row>
    <row r="437" spans="2:114" x14ac:dyDescent="0.2">
      <c r="B437" s="68"/>
      <c r="C437" s="69"/>
      <c r="D437" s="70"/>
      <c r="F437" s="68"/>
      <c r="G437" s="69"/>
      <c r="H437" s="70"/>
      <c r="J437" s="71"/>
      <c r="K437" s="71"/>
      <c r="L437" s="67"/>
      <c r="N437" s="71"/>
      <c r="O437" s="71"/>
      <c r="P437" s="67"/>
      <c r="R437" s="67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6"/>
      <c r="BY437" s="6"/>
      <c r="BZ437" s="6"/>
      <c r="CA437" s="6"/>
      <c r="CB437" s="6"/>
      <c r="CC437" s="6"/>
      <c r="CD437" s="6"/>
      <c r="CE437" s="6"/>
      <c r="CF437" s="6"/>
      <c r="CG437" s="6"/>
      <c r="CH437" s="6"/>
      <c r="CI437" s="6"/>
      <c r="CJ437" s="6"/>
      <c r="CK437" s="6"/>
      <c r="CL437" s="6"/>
      <c r="CM437" s="6"/>
      <c r="CN437" s="6"/>
      <c r="CO437" s="6"/>
      <c r="CP437" s="6"/>
      <c r="CQ437" s="6"/>
      <c r="CR437" s="6"/>
      <c r="CS437" s="6"/>
      <c r="CT437" s="6"/>
      <c r="CU437" s="6"/>
      <c r="CV437" s="6"/>
      <c r="CW437" s="6"/>
      <c r="CX437" s="6"/>
      <c r="CY437" s="6"/>
      <c r="CZ437" s="6"/>
      <c r="DA437" s="6"/>
      <c r="DB437" s="6"/>
      <c r="DC437" s="6"/>
      <c r="DD437" s="6"/>
      <c r="DE437" s="6"/>
      <c r="DF437" s="6"/>
      <c r="DG437" s="6"/>
      <c r="DH437" s="6"/>
      <c r="DI437" s="6"/>
      <c r="DJ437" s="6"/>
    </row>
    <row r="438" spans="2:114" x14ac:dyDescent="0.2">
      <c r="B438" s="68"/>
      <c r="C438" s="69"/>
      <c r="D438" s="70"/>
      <c r="F438" s="68"/>
      <c r="G438" s="69"/>
      <c r="H438" s="70"/>
      <c r="J438" s="71"/>
      <c r="K438" s="71"/>
      <c r="L438" s="67"/>
      <c r="N438" s="71"/>
      <c r="O438" s="71"/>
      <c r="P438" s="67"/>
      <c r="R438" s="67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6"/>
      <c r="BY438" s="6"/>
      <c r="BZ438" s="6"/>
      <c r="CA438" s="6"/>
      <c r="CB438" s="6"/>
      <c r="CC438" s="6"/>
      <c r="CD438" s="6"/>
      <c r="CE438" s="6"/>
      <c r="CF438" s="6"/>
      <c r="CG438" s="6"/>
      <c r="CH438" s="6"/>
      <c r="CI438" s="6"/>
      <c r="CJ438" s="6"/>
      <c r="CK438" s="6"/>
      <c r="CL438" s="6"/>
      <c r="CM438" s="6"/>
      <c r="CN438" s="6"/>
      <c r="CO438" s="6"/>
      <c r="CP438" s="6"/>
      <c r="CQ438" s="6"/>
      <c r="CR438" s="6"/>
      <c r="CS438" s="6"/>
      <c r="CT438" s="6"/>
      <c r="CU438" s="6"/>
      <c r="CV438" s="6"/>
      <c r="CW438" s="6"/>
      <c r="CX438" s="6"/>
      <c r="CY438" s="6"/>
      <c r="CZ438" s="6"/>
      <c r="DA438" s="6"/>
      <c r="DB438" s="6"/>
      <c r="DC438" s="6"/>
      <c r="DD438" s="6"/>
      <c r="DE438" s="6"/>
      <c r="DF438" s="6"/>
      <c r="DG438" s="6"/>
      <c r="DH438" s="6"/>
      <c r="DI438" s="6"/>
      <c r="DJ438" s="6"/>
    </row>
    <row r="439" spans="2:114" x14ac:dyDescent="0.2">
      <c r="B439" s="68"/>
      <c r="C439" s="69"/>
      <c r="D439" s="70"/>
      <c r="F439" s="68"/>
      <c r="G439" s="69"/>
      <c r="H439" s="70"/>
      <c r="J439" s="71"/>
      <c r="K439" s="71"/>
      <c r="L439" s="67"/>
      <c r="N439" s="71"/>
      <c r="O439" s="71"/>
      <c r="P439" s="67"/>
      <c r="R439" s="67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6"/>
      <c r="BY439" s="6"/>
      <c r="BZ439" s="6"/>
      <c r="CA439" s="6"/>
      <c r="CB439" s="6"/>
      <c r="CC439" s="6"/>
      <c r="CD439" s="6"/>
      <c r="CE439" s="6"/>
      <c r="CF439" s="6"/>
      <c r="CG439" s="6"/>
      <c r="CH439" s="6"/>
      <c r="CI439" s="6"/>
      <c r="CJ439" s="6"/>
      <c r="CK439" s="6"/>
      <c r="CL439" s="6"/>
      <c r="CM439" s="6"/>
      <c r="CN439" s="6"/>
      <c r="CO439" s="6"/>
      <c r="CP439" s="6"/>
      <c r="CQ439" s="6"/>
      <c r="CR439" s="6"/>
      <c r="CS439" s="6"/>
      <c r="CT439" s="6"/>
      <c r="CU439" s="6"/>
      <c r="CV439" s="6"/>
      <c r="CW439" s="6"/>
      <c r="CX439" s="6"/>
      <c r="CY439" s="6"/>
      <c r="CZ439" s="6"/>
      <c r="DA439" s="6"/>
      <c r="DB439" s="6"/>
      <c r="DC439" s="6"/>
      <c r="DD439" s="6"/>
      <c r="DE439" s="6"/>
      <c r="DF439" s="6"/>
      <c r="DG439" s="6"/>
      <c r="DH439" s="6"/>
      <c r="DI439" s="6"/>
      <c r="DJ439" s="6"/>
    </row>
    <row r="440" spans="2:114" x14ac:dyDescent="0.2">
      <c r="B440" s="68"/>
      <c r="C440" s="69"/>
      <c r="D440" s="70"/>
      <c r="F440" s="68"/>
      <c r="G440" s="69"/>
      <c r="H440" s="70"/>
      <c r="J440" s="71"/>
      <c r="K440" s="71"/>
      <c r="L440" s="67"/>
      <c r="N440" s="71"/>
      <c r="O440" s="71"/>
      <c r="P440" s="67"/>
      <c r="R440" s="67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6"/>
      <c r="BZ440" s="6"/>
      <c r="CA440" s="6"/>
      <c r="CB440" s="6"/>
      <c r="CC440" s="6"/>
      <c r="CD440" s="6"/>
      <c r="CE440" s="6"/>
      <c r="CF440" s="6"/>
      <c r="CG440" s="6"/>
      <c r="CH440" s="6"/>
      <c r="CI440" s="6"/>
      <c r="CJ440" s="6"/>
      <c r="CK440" s="6"/>
      <c r="CL440" s="6"/>
      <c r="CM440" s="6"/>
      <c r="CN440" s="6"/>
      <c r="CO440" s="6"/>
      <c r="CP440" s="6"/>
      <c r="CQ440" s="6"/>
      <c r="CR440" s="6"/>
      <c r="CS440" s="6"/>
      <c r="CT440" s="6"/>
      <c r="CU440" s="6"/>
      <c r="CV440" s="6"/>
      <c r="CW440" s="6"/>
      <c r="CX440" s="6"/>
      <c r="CY440" s="6"/>
      <c r="CZ440" s="6"/>
      <c r="DA440" s="6"/>
      <c r="DB440" s="6"/>
      <c r="DC440" s="6"/>
      <c r="DD440" s="6"/>
      <c r="DE440" s="6"/>
      <c r="DF440" s="6"/>
      <c r="DG440" s="6"/>
      <c r="DH440" s="6"/>
      <c r="DI440" s="6"/>
      <c r="DJ440" s="6"/>
    </row>
    <row r="441" spans="2:114" x14ac:dyDescent="0.2">
      <c r="B441" s="68"/>
      <c r="C441" s="69"/>
      <c r="D441" s="70"/>
      <c r="F441" s="68"/>
      <c r="G441" s="69"/>
      <c r="H441" s="70"/>
      <c r="J441" s="71"/>
      <c r="K441" s="71"/>
      <c r="L441" s="67"/>
      <c r="N441" s="71"/>
      <c r="O441" s="71"/>
      <c r="P441" s="67"/>
      <c r="R441" s="67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6"/>
      <c r="BY441" s="6"/>
      <c r="BZ441" s="6"/>
      <c r="CA441" s="6"/>
      <c r="CB441" s="6"/>
      <c r="CC441" s="6"/>
      <c r="CD441" s="6"/>
      <c r="CE441" s="6"/>
      <c r="CF441" s="6"/>
      <c r="CG441" s="6"/>
      <c r="CH441" s="6"/>
      <c r="CI441" s="6"/>
      <c r="CJ441" s="6"/>
      <c r="CK441" s="6"/>
      <c r="CL441" s="6"/>
      <c r="CM441" s="6"/>
      <c r="CN441" s="6"/>
      <c r="CO441" s="6"/>
      <c r="CP441" s="6"/>
      <c r="CQ441" s="6"/>
      <c r="CR441" s="6"/>
      <c r="CS441" s="6"/>
      <c r="CT441" s="6"/>
      <c r="CU441" s="6"/>
      <c r="CV441" s="6"/>
      <c r="CW441" s="6"/>
      <c r="CX441" s="6"/>
      <c r="CY441" s="6"/>
      <c r="CZ441" s="6"/>
      <c r="DA441" s="6"/>
      <c r="DB441" s="6"/>
      <c r="DC441" s="6"/>
      <c r="DD441" s="6"/>
      <c r="DE441" s="6"/>
      <c r="DF441" s="6"/>
      <c r="DG441" s="6"/>
      <c r="DH441" s="6"/>
      <c r="DI441" s="6"/>
      <c r="DJ441" s="6"/>
    </row>
    <row r="442" spans="2:114" x14ac:dyDescent="0.2">
      <c r="B442" s="68"/>
      <c r="C442" s="69"/>
      <c r="D442" s="70"/>
      <c r="F442" s="68"/>
      <c r="G442" s="69"/>
      <c r="H442" s="70"/>
      <c r="J442" s="71"/>
      <c r="K442" s="71"/>
      <c r="L442" s="67"/>
      <c r="N442" s="71"/>
      <c r="O442" s="71"/>
      <c r="P442" s="67"/>
      <c r="R442" s="67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6"/>
      <c r="BY442" s="6"/>
      <c r="BZ442" s="6"/>
      <c r="CA442" s="6"/>
      <c r="CB442" s="6"/>
      <c r="CC442" s="6"/>
      <c r="CD442" s="6"/>
      <c r="CE442" s="6"/>
      <c r="CF442" s="6"/>
      <c r="CG442" s="6"/>
      <c r="CH442" s="6"/>
      <c r="CI442" s="6"/>
      <c r="CJ442" s="6"/>
      <c r="CK442" s="6"/>
      <c r="CL442" s="6"/>
      <c r="CM442" s="6"/>
      <c r="CN442" s="6"/>
      <c r="CO442" s="6"/>
      <c r="CP442" s="6"/>
      <c r="CQ442" s="6"/>
      <c r="CR442" s="6"/>
      <c r="CS442" s="6"/>
      <c r="CT442" s="6"/>
      <c r="CU442" s="6"/>
      <c r="CV442" s="6"/>
      <c r="CW442" s="6"/>
      <c r="CX442" s="6"/>
      <c r="CY442" s="6"/>
      <c r="CZ442" s="6"/>
      <c r="DA442" s="6"/>
      <c r="DB442" s="6"/>
      <c r="DC442" s="6"/>
      <c r="DD442" s="6"/>
      <c r="DE442" s="6"/>
      <c r="DF442" s="6"/>
      <c r="DG442" s="6"/>
      <c r="DH442" s="6"/>
      <c r="DI442" s="6"/>
      <c r="DJ442" s="6"/>
    </row>
    <row r="443" spans="2:114" x14ac:dyDescent="0.2">
      <c r="B443" s="68"/>
      <c r="C443" s="69"/>
      <c r="D443" s="70"/>
      <c r="F443" s="68"/>
      <c r="G443" s="69"/>
      <c r="H443" s="70"/>
      <c r="J443" s="71"/>
      <c r="K443" s="71"/>
      <c r="L443" s="67"/>
      <c r="N443" s="71"/>
      <c r="O443" s="71"/>
      <c r="P443" s="67"/>
      <c r="R443" s="67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6"/>
      <c r="BY443" s="6"/>
      <c r="BZ443" s="6"/>
      <c r="CA443" s="6"/>
      <c r="CB443" s="6"/>
      <c r="CC443" s="6"/>
      <c r="CD443" s="6"/>
      <c r="CE443" s="6"/>
      <c r="CF443" s="6"/>
      <c r="CG443" s="6"/>
      <c r="CH443" s="6"/>
      <c r="CI443" s="6"/>
      <c r="CJ443" s="6"/>
      <c r="CK443" s="6"/>
      <c r="CL443" s="6"/>
      <c r="CM443" s="6"/>
      <c r="CN443" s="6"/>
      <c r="CO443" s="6"/>
      <c r="CP443" s="6"/>
      <c r="CQ443" s="6"/>
      <c r="CR443" s="6"/>
      <c r="CS443" s="6"/>
      <c r="CT443" s="6"/>
      <c r="CU443" s="6"/>
      <c r="CV443" s="6"/>
      <c r="CW443" s="6"/>
      <c r="CX443" s="6"/>
      <c r="CY443" s="6"/>
      <c r="CZ443" s="6"/>
      <c r="DA443" s="6"/>
      <c r="DB443" s="6"/>
      <c r="DC443" s="6"/>
      <c r="DD443" s="6"/>
      <c r="DE443" s="6"/>
      <c r="DF443" s="6"/>
      <c r="DG443" s="6"/>
      <c r="DH443" s="6"/>
      <c r="DI443" s="6"/>
      <c r="DJ443" s="6"/>
    </row>
    <row r="444" spans="2:114" x14ac:dyDescent="0.2">
      <c r="B444" s="68"/>
      <c r="C444" s="69"/>
      <c r="D444" s="70"/>
      <c r="F444" s="68"/>
      <c r="G444" s="69"/>
      <c r="H444" s="70"/>
      <c r="J444" s="71"/>
      <c r="K444" s="71"/>
      <c r="L444" s="67"/>
      <c r="N444" s="71"/>
      <c r="O444" s="71"/>
      <c r="P444" s="67"/>
      <c r="R444" s="67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6"/>
      <c r="BY444" s="6"/>
      <c r="BZ444" s="6"/>
      <c r="CA444" s="6"/>
      <c r="CB444" s="6"/>
      <c r="CC444" s="6"/>
      <c r="CD444" s="6"/>
      <c r="CE444" s="6"/>
      <c r="CF444" s="6"/>
      <c r="CG444" s="6"/>
      <c r="CH444" s="6"/>
      <c r="CI444" s="6"/>
      <c r="CJ444" s="6"/>
      <c r="CK444" s="6"/>
      <c r="CL444" s="6"/>
      <c r="CM444" s="6"/>
      <c r="CN444" s="6"/>
      <c r="CO444" s="6"/>
      <c r="CP444" s="6"/>
      <c r="CQ444" s="6"/>
      <c r="CR444" s="6"/>
      <c r="CS444" s="6"/>
      <c r="CT444" s="6"/>
      <c r="CU444" s="6"/>
      <c r="CV444" s="6"/>
      <c r="CW444" s="6"/>
      <c r="CX444" s="6"/>
      <c r="CY444" s="6"/>
      <c r="CZ444" s="6"/>
      <c r="DA444" s="6"/>
      <c r="DB444" s="6"/>
      <c r="DC444" s="6"/>
      <c r="DD444" s="6"/>
      <c r="DE444" s="6"/>
      <c r="DF444" s="6"/>
      <c r="DG444" s="6"/>
      <c r="DH444" s="6"/>
      <c r="DI444" s="6"/>
      <c r="DJ444" s="6"/>
    </row>
    <row r="445" spans="2:114" x14ac:dyDescent="0.2">
      <c r="B445" s="68"/>
      <c r="C445" s="69"/>
      <c r="D445" s="70"/>
      <c r="F445" s="68"/>
      <c r="G445" s="69"/>
      <c r="H445" s="70"/>
      <c r="J445" s="71"/>
      <c r="K445" s="71"/>
      <c r="L445" s="67"/>
      <c r="N445" s="71"/>
      <c r="O445" s="71"/>
      <c r="P445" s="67"/>
      <c r="R445" s="67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6"/>
      <c r="BY445" s="6"/>
      <c r="BZ445" s="6"/>
      <c r="CA445" s="6"/>
      <c r="CB445" s="6"/>
      <c r="CC445" s="6"/>
      <c r="CD445" s="6"/>
      <c r="CE445" s="6"/>
      <c r="CF445" s="6"/>
      <c r="CG445" s="6"/>
      <c r="CH445" s="6"/>
      <c r="CI445" s="6"/>
      <c r="CJ445" s="6"/>
      <c r="CK445" s="6"/>
      <c r="CL445" s="6"/>
      <c r="CM445" s="6"/>
      <c r="CN445" s="6"/>
      <c r="CO445" s="6"/>
      <c r="CP445" s="6"/>
      <c r="CQ445" s="6"/>
      <c r="CR445" s="6"/>
      <c r="CS445" s="6"/>
      <c r="CT445" s="6"/>
      <c r="CU445" s="6"/>
      <c r="CV445" s="6"/>
      <c r="CW445" s="6"/>
      <c r="CX445" s="6"/>
      <c r="CY445" s="6"/>
      <c r="CZ445" s="6"/>
      <c r="DA445" s="6"/>
      <c r="DB445" s="6"/>
      <c r="DC445" s="6"/>
      <c r="DD445" s="6"/>
      <c r="DE445" s="6"/>
      <c r="DF445" s="6"/>
      <c r="DG445" s="6"/>
      <c r="DH445" s="6"/>
      <c r="DI445" s="6"/>
      <c r="DJ445" s="6"/>
    </row>
    <row r="446" spans="2:114" x14ac:dyDescent="0.2">
      <c r="B446" s="68"/>
      <c r="C446" s="69"/>
      <c r="D446" s="70"/>
      <c r="F446" s="68"/>
      <c r="G446" s="69"/>
      <c r="H446" s="70"/>
      <c r="J446" s="71"/>
      <c r="K446" s="71"/>
      <c r="L446" s="67"/>
      <c r="N446" s="71"/>
      <c r="O446" s="71"/>
      <c r="P446" s="67"/>
      <c r="R446" s="67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6"/>
      <c r="BY446" s="6"/>
      <c r="BZ446" s="6"/>
      <c r="CA446" s="6"/>
      <c r="CB446" s="6"/>
      <c r="CC446" s="6"/>
      <c r="CD446" s="6"/>
      <c r="CE446" s="6"/>
      <c r="CF446" s="6"/>
      <c r="CG446" s="6"/>
      <c r="CH446" s="6"/>
      <c r="CI446" s="6"/>
      <c r="CJ446" s="6"/>
      <c r="CK446" s="6"/>
      <c r="CL446" s="6"/>
      <c r="CM446" s="6"/>
      <c r="CN446" s="6"/>
      <c r="CO446" s="6"/>
      <c r="CP446" s="6"/>
      <c r="CQ446" s="6"/>
      <c r="CR446" s="6"/>
      <c r="CS446" s="6"/>
      <c r="CT446" s="6"/>
      <c r="CU446" s="6"/>
      <c r="CV446" s="6"/>
      <c r="CW446" s="6"/>
      <c r="CX446" s="6"/>
      <c r="CY446" s="6"/>
      <c r="CZ446" s="6"/>
      <c r="DA446" s="6"/>
      <c r="DB446" s="6"/>
      <c r="DC446" s="6"/>
      <c r="DD446" s="6"/>
      <c r="DE446" s="6"/>
      <c r="DF446" s="6"/>
      <c r="DG446" s="6"/>
      <c r="DH446" s="6"/>
      <c r="DI446" s="6"/>
      <c r="DJ446" s="6"/>
    </row>
    <row r="447" spans="2:114" x14ac:dyDescent="0.2">
      <c r="B447" s="68"/>
      <c r="C447" s="69"/>
      <c r="D447" s="70"/>
      <c r="F447" s="68"/>
      <c r="G447" s="69"/>
      <c r="H447" s="70"/>
      <c r="J447" s="71"/>
      <c r="K447" s="71"/>
      <c r="L447" s="67"/>
      <c r="N447" s="71"/>
      <c r="O447" s="71"/>
      <c r="P447" s="67"/>
      <c r="R447" s="67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6"/>
      <c r="BY447" s="6"/>
      <c r="BZ447" s="6"/>
      <c r="CA447" s="6"/>
      <c r="CB447" s="6"/>
      <c r="CC447" s="6"/>
      <c r="CD447" s="6"/>
      <c r="CE447" s="6"/>
      <c r="CF447" s="6"/>
      <c r="CG447" s="6"/>
      <c r="CH447" s="6"/>
      <c r="CI447" s="6"/>
      <c r="CJ447" s="6"/>
      <c r="CK447" s="6"/>
      <c r="CL447" s="6"/>
      <c r="CM447" s="6"/>
      <c r="CN447" s="6"/>
      <c r="CO447" s="6"/>
      <c r="CP447" s="6"/>
      <c r="CQ447" s="6"/>
      <c r="CR447" s="6"/>
      <c r="CS447" s="6"/>
      <c r="CT447" s="6"/>
      <c r="CU447" s="6"/>
      <c r="CV447" s="6"/>
      <c r="CW447" s="6"/>
      <c r="CX447" s="6"/>
      <c r="CY447" s="6"/>
      <c r="CZ447" s="6"/>
      <c r="DA447" s="6"/>
      <c r="DB447" s="6"/>
      <c r="DC447" s="6"/>
      <c r="DD447" s="6"/>
      <c r="DE447" s="6"/>
      <c r="DF447" s="6"/>
      <c r="DG447" s="6"/>
      <c r="DH447" s="6"/>
      <c r="DI447" s="6"/>
      <c r="DJ447" s="6"/>
    </row>
    <row r="448" spans="2:114" x14ac:dyDescent="0.2">
      <c r="B448" s="68"/>
      <c r="C448" s="69"/>
      <c r="D448" s="70"/>
      <c r="F448" s="68"/>
      <c r="G448" s="69"/>
      <c r="H448" s="70"/>
      <c r="J448" s="71"/>
      <c r="K448" s="71"/>
      <c r="L448" s="67"/>
      <c r="N448" s="71"/>
      <c r="O448" s="71"/>
      <c r="P448" s="67"/>
      <c r="R448" s="67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6"/>
      <c r="BY448" s="6"/>
      <c r="BZ448" s="6"/>
      <c r="CA448" s="6"/>
      <c r="CB448" s="6"/>
      <c r="CC448" s="6"/>
      <c r="CD448" s="6"/>
      <c r="CE448" s="6"/>
      <c r="CF448" s="6"/>
      <c r="CG448" s="6"/>
      <c r="CH448" s="6"/>
      <c r="CI448" s="6"/>
      <c r="CJ448" s="6"/>
      <c r="CK448" s="6"/>
      <c r="CL448" s="6"/>
      <c r="CM448" s="6"/>
      <c r="CN448" s="6"/>
      <c r="CO448" s="6"/>
      <c r="CP448" s="6"/>
      <c r="CQ448" s="6"/>
      <c r="CR448" s="6"/>
      <c r="CS448" s="6"/>
      <c r="CT448" s="6"/>
      <c r="CU448" s="6"/>
      <c r="CV448" s="6"/>
      <c r="CW448" s="6"/>
      <c r="CX448" s="6"/>
      <c r="CY448" s="6"/>
      <c r="CZ448" s="6"/>
      <c r="DA448" s="6"/>
      <c r="DB448" s="6"/>
      <c r="DC448" s="6"/>
      <c r="DD448" s="6"/>
      <c r="DE448" s="6"/>
      <c r="DF448" s="6"/>
      <c r="DG448" s="6"/>
      <c r="DH448" s="6"/>
      <c r="DI448" s="6"/>
      <c r="DJ448" s="6"/>
    </row>
    <row r="449" spans="2:114" x14ac:dyDescent="0.2">
      <c r="B449" s="68"/>
      <c r="C449" s="69"/>
      <c r="D449" s="70"/>
      <c r="F449" s="68"/>
      <c r="G449" s="69"/>
      <c r="H449" s="70"/>
      <c r="J449" s="71"/>
      <c r="K449" s="71"/>
      <c r="L449" s="67"/>
      <c r="N449" s="71"/>
      <c r="O449" s="71"/>
      <c r="P449" s="67"/>
      <c r="R449" s="67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6"/>
      <c r="BY449" s="6"/>
      <c r="BZ449" s="6"/>
      <c r="CA449" s="6"/>
      <c r="CB449" s="6"/>
      <c r="CC449" s="6"/>
      <c r="CD449" s="6"/>
      <c r="CE449" s="6"/>
      <c r="CF449" s="6"/>
      <c r="CG449" s="6"/>
      <c r="CH449" s="6"/>
      <c r="CI449" s="6"/>
      <c r="CJ449" s="6"/>
      <c r="CK449" s="6"/>
      <c r="CL449" s="6"/>
      <c r="CM449" s="6"/>
      <c r="CN449" s="6"/>
      <c r="CO449" s="6"/>
      <c r="CP449" s="6"/>
      <c r="CQ449" s="6"/>
      <c r="CR449" s="6"/>
      <c r="CS449" s="6"/>
      <c r="CT449" s="6"/>
      <c r="CU449" s="6"/>
      <c r="CV449" s="6"/>
      <c r="CW449" s="6"/>
      <c r="CX449" s="6"/>
      <c r="CY449" s="6"/>
      <c r="CZ449" s="6"/>
      <c r="DA449" s="6"/>
      <c r="DB449" s="6"/>
      <c r="DC449" s="6"/>
      <c r="DD449" s="6"/>
      <c r="DE449" s="6"/>
      <c r="DF449" s="6"/>
      <c r="DG449" s="6"/>
      <c r="DH449" s="6"/>
      <c r="DI449" s="6"/>
      <c r="DJ449" s="6"/>
    </row>
    <row r="450" spans="2:114" x14ac:dyDescent="0.2">
      <c r="B450" s="68"/>
      <c r="C450" s="69"/>
      <c r="D450" s="70"/>
      <c r="F450" s="68"/>
      <c r="G450" s="69"/>
      <c r="H450" s="70"/>
      <c r="J450" s="71"/>
      <c r="K450" s="71"/>
      <c r="L450" s="67"/>
      <c r="N450" s="71"/>
      <c r="O450" s="71"/>
      <c r="P450" s="67"/>
      <c r="R450" s="67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6"/>
      <c r="BY450" s="6"/>
      <c r="BZ450" s="6"/>
      <c r="CA450" s="6"/>
      <c r="CB450" s="6"/>
      <c r="CC450" s="6"/>
      <c r="CD450" s="6"/>
      <c r="CE450" s="6"/>
      <c r="CF450" s="6"/>
      <c r="CG450" s="6"/>
      <c r="CH450" s="6"/>
      <c r="CI450" s="6"/>
      <c r="CJ450" s="6"/>
      <c r="CK450" s="6"/>
      <c r="CL450" s="6"/>
      <c r="CM450" s="6"/>
      <c r="CN450" s="6"/>
      <c r="CO450" s="6"/>
      <c r="CP450" s="6"/>
      <c r="CQ450" s="6"/>
      <c r="CR450" s="6"/>
      <c r="CS450" s="6"/>
      <c r="CT450" s="6"/>
      <c r="CU450" s="6"/>
      <c r="CV450" s="6"/>
      <c r="CW450" s="6"/>
      <c r="CX450" s="6"/>
      <c r="CY450" s="6"/>
      <c r="CZ450" s="6"/>
      <c r="DA450" s="6"/>
      <c r="DB450" s="6"/>
      <c r="DC450" s="6"/>
      <c r="DD450" s="6"/>
      <c r="DE450" s="6"/>
      <c r="DF450" s="6"/>
      <c r="DG450" s="6"/>
      <c r="DH450" s="6"/>
      <c r="DI450" s="6"/>
      <c r="DJ450" s="6"/>
    </row>
    <row r="451" spans="2:114" x14ac:dyDescent="0.2">
      <c r="B451" s="68"/>
      <c r="C451" s="69"/>
      <c r="D451" s="70"/>
      <c r="F451" s="68"/>
      <c r="G451" s="69"/>
      <c r="H451" s="70"/>
      <c r="J451" s="71"/>
      <c r="K451" s="71"/>
      <c r="L451" s="67"/>
      <c r="N451" s="71"/>
      <c r="O451" s="71"/>
      <c r="P451" s="67"/>
      <c r="R451" s="67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6"/>
      <c r="BY451" s="6"/>
      <c r="BZ451" s="6"/>
      <c r="CA451" s="6"/>
      <c r="CB451" s="6"/>
      <c r="CC451" s="6"/>
      <c r="CD451" s="6"/>
      <c r="CE451" s="6"/>
      <c r="CF451" s="6"/>
      <c r="CG451" s="6"/>
      <c r="CH451" s="6"/>
      <c r="CI451" s="6"/>
      <c r="CJ451" s="6"/>
      <c r="CK451" s="6"/>
      <c r="CL451" s="6"/>
      <c r="CM451" s="6"/>
      <c r="CN451" s="6"/>
      <c r="CO451" s="6"/>
      <c r="CP451" s="6"/>
      <c r="CQ451" s="6"/>
      <c r="CR451" s="6"/>
      <c r="CS451" s="6"/>
      <c r="CT451" s="6"/>
      <c r="CU451" s="6"/>
      <c r="CV451" s="6"/>
      <c r="CW451" s="6"/>
      <c r="CX451" s="6"/>
      <c r="CY451" s="6"/>
      <c r="CZ451" s="6"/>
      <c r="DA451" s="6"/>
      <c r="DB451" s="6"/>
      <c r="DC451" s="6"/>
      <c r="DD451" s="6"/>
      <c r="DE451" s="6"/>
      <c r="DF451" s="6"/>
      <c r="DG451" s="6"/>
      <c r="DH451" s="6"/>
      <c r="DI451" s="6"/>
      <c r="DJ451" s="6"/>
    </row>
    <row r="452" spans="2:114" x14ac:dyDescent="0.2">
      <c r="B452" s="68"/>
      <c r="C452" s="69"/>
      <c r="D452" s="70"/>
      <c r="F452" s="68"/>
      <c r="G452" s="69"/>
      <c r="H452" s="70"/>
      <c r="J452" s="71"/>
      <c r="K452" s="71"/>
      <c r="L452" s="67"/>
      <c r="N452" s="71"/>
      <c r="O452" s="71"/>
      <c r="P452" s="67"/>
      <c r="R452" s="67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6"/>
      <c r="BY452" s="6"/>
      <c r="BZ452" s="6"/>
      <c r="CA452" s="6"/>
      <c r="CB452" s="6"/>
      <c r="CC452" s="6"/>
      <c r="CD452" s="6"/>
      <c r="CE452" s="6"/>
      <c r="CF452" s="6"/>
      <c r="CG452" s="6"/>
      <c r="CH452" s="6"/>
      <c r="CI452" s="6"/>
      <c r="CJ452" s="6"/>
      <c r="CK452" s="6"/>
      <c r="CL452" s="6"/>
      <c r="CM452" s="6"/>
      <c r="CN452" s="6"/>
      <c r="CO452" s="6"/>
      <c r="CP452" s="6"/>
      <c r="CQ452" s="6"/>
      <c r="CR452" s="6"/>
      <c r="CS452" s="6"/>
      <c r="CT452" s="6"/>
      <c r="CU452" s="6"/>
      <c r="CV452" s="6"/>
      <c r="CW452" s="6"/>
      <c r="CX452" s="6"/>
      <c r="CY452" s="6"/>
      <c r="CZ452" s="6"/>
      <c r="DA452" s="6"/>
      <c r="DB452" s="6"/>
      <c r="DC452" s="6"/>
      <c r="DD452" s="6"/>
      <c r="DE452" s="6"/>
      <c r="DF452" s="6"/>
      <c r="DG452" s="6"/>
      <c r="DH452" s="6"/>
      <c r="DI452" s="6"/>
      <c r="DJ452" s="6"/>
    </row>
    <row r="453" spans="2:114" x14ac:dyDescent="0.2">
      <c r="B453" s="68"/>
      <c r="C453" s="69"/>
      <c r="D453" s="70"/>
      <c r="F453" s="68"/>
      <c r="G453" s="69"/>
      <c r="H453" s="70"/>
      <c r="J453" s="71"/>
      <c r="K453" s="71"/>
      <c r="L453" s="67"/>
      <c r="N453" s="71"/>
      <c r="O453" s="71"/>
      <c r="P453" s="67"/>
      <c r="R453" s="67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6"/>
      <c r="BY453" s="6"/>
      <c r="BZ453" s="6"/>
      <c r="CA453" s="6"/>
      <c r="CB453" s="6"/>
      <c r="CC453" s="6"/>
      <c r="CD453" s="6"/>
      <c r="CE453" s="6"/>
      <c r="CF453" s="6"/>
      <c r="CG453" s="6"/>
      <c r="CH453" s="6"/>
      <c r="CI453" s="6"/>
      <c r="CJ453" s="6"/>
      <c r="CK453" s="6"/>
      <c r="CL453" s="6"/>
      <c r="CM453" s="6"/>
      <c r="CN453" s="6"/>
      <c r="CO453" s="6"/>
      <c r="CP453" s="6"/>
      <c r="CQ453" s="6"/>
      <c r="CR453" s="6"/>
      <c r="CS453" s="6"/>
      <c r="CT453" s="6"/>
      <c r="CU453" s="6"/>
      <c r="CV453" s="6"/>
      <c r="CW453" s="6"/>
      <c r="CX453" s="6"/>
      <c r="CY453" s="6"/>
      <c r="CZ453" s="6"/>
      <c r="DA453" s="6"/>
      <c r="DB453" s="6"/>
      <c r="DC453" s="6"/>
      <c r="DD453" s="6"/>
      <c r="DE453" s="6"/>
      <c r="DF453" s="6"/>
      <c r="DG453" s="6"/>
      <c r="DH453" s="6"/>
      <c r="DI453" s="6"/>
      <c r="DJ453" s="6"/>
    </row>
    <row r="454" spans="2:114" x14ac:dyDescent="0.2">
      <c r="B454" s="68"/>
      <c r="C454" s="69"/>
      <c r="D454" s="70"/>
      <c r="F454" s="68"/>
      <c r="G454" s="69"/>
      <c r="H454" s="70"/>
      <c r="J454" s="71"/>
      <c r="K454" s="71"/>
      <c r="L454" s="67"/>
      <c r="N454" s="71"/>
      <c r="O454" s="71"/>
      <c r="P454" s="67"/>
      <c r="R454" s="67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6"/>
      <c r="BY454" s="6"/>
      <c r="BZ454" s="6"/>
      <c r="CA454" s="6"/>
      <c r="CB454" s="6"/>
      <c r="CC454" s="6"/>
      <c r="CD454" s="6"/>
      <c r="CE454" s="6"/>
      <c r="CF454" s="6"/>
      <c r="CG454" s="6"/>
      <c r="CH454" s="6"/>
      <c r="CI454" s="6"/>
      <c r="CJ454" s="6"/>
      <c r="CK454" s="6"/>
      <c r="CL454" s="6"/>
      <c r="CM454" s="6"/>
      <c r="CN454" s="6"/>
      <c r="CO454" s="6"/>
      <c r="CP454" s="6"/>
      <c r="CQ454" s="6"/>
      <c r="CR454" s="6"/>
      <c r="CS454" s="6"/>
      <c r="CT454" s="6"/>
      <c r="CU454" s="6"/>
      <c r="CV454" s="6"/>
      <c r="CW454" s="6"/>
      <c r="CX454" s="6"/>
      <c r="CY454" s="6"/>
      <c r="CZ454" s="6"/>
      <c r="DA454" s="6"/>
      <c r="DB454" s="6"/>
      <c r="DC454" s="6"/>
      <c r="DD454" s="6"/>
      <c r="DE454" s="6"/>
      <c r="DF454" s="6"/>
      <c r="DG454" s="6"/>
      <c r="DH454" s="6"/>
      <c r="DI454" s="6"/>
      <c r="DJ454" s="6"/>
    </row>
    <row r="455" spans="2:114" x14ac:dyDescent="0.2">
      <c r="B455" s="68"/>
      <c r="C455" s="69"/>
      <c r="D455" s="70"/>
      <c r="F455" s="68"/>
      <c r="G455" s="69"/>
      <c r="H455" s="70"/>
      <c r="J455" s="71"/>
      <c r="K455" s="71"/>
      <c r="L455" s="67"/>
      <c r="N455" s="71"/>
      <c r="O455" s="71"/>
      <c r="P455" s="67"/>
      <c r="R455" s="67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6"/>
      <c r="BY455" s="6"/>
      <c r="BZ455" s="6"/>
      <c r="CA455" s="6"/>
      <c r="CB455" s="6"/>
      <c r="CC455" s="6"/>
      <c r="CD455" s="6"/>
      <c r="CE455" s="6"/>
      <c r="CF455" s="6"/>
      <c r="CG455" s="6"/>
      <c r="CH455" s="6"/>
      <c r="CI455" s="6"/>
      <c r="CJ455" s="6"/>
      <c r="CK455" s="6"/>
      <c r="CL455" s="6"/>
      <c r="CM455" s="6"/>
      <c r="CN455" s="6"/>
      <c r="CO455" s="6"/>
      <c r="CP455" s="6"/>
      <c r="CQ455" s="6"/>
      <c r="CR455" s="6"/>
      <c r="CS455" s="6"/>
      <c r="CT455" s="6"/>
      <c r="CU455" s="6"/>
      <c r="CV455" s="6"/>
      <c r="CW455" s="6"/>
      <c r="CX455" s="6"/>
      <c r="CY455" s="6"/>
      <c r="CZ455" s="6"/>
      <c r="DA455" s="6"/>
      <c r="DB455" s="6"/>
      <c r="DC455" s="6"/>
      <c r="DD455" s="6"/>
      <c r="DE455" s="6"/>
      <c r="DF455" s="6"/>
      <c r="DG455" s="6"/>
      <c r="DH455" s="6"/>
      <c r="DI455" s="6"/>
      <c r="DJ455" s="6"/>
    </row>
    <row r="456" spans="2:114" x14ac:dyDescent="0.2">
      <c r="B456" s="68"/>
      <c r="C456" s="69"/>
      <c r="D456" s="70"/>
      <c r="F456" s="68"/>
      <c r="G456" s="69"/>
      <c r="H456" s="70"/>
      <c r="J456" s="71"/>
      <c r="K456" s="71"/>
      <c r="L456" s="67"/>
      <c r="N456" s="71"/>
      <c r="O456" s="71"/>
      <c r="P456" s="67"/>
      <c r="R456" s="67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6"/>
      <c r="BY456" s="6"/>
      <c r="BZ456" s="6"/>
      <c r="CA456" s="6"/>
      <c r="CB456" s="6"/>
      <c r="CC456" s="6"/>
      <c r="CD456" s="6"/>
      <c r="CE456" s="6"/>
      <c r="CF456" s="6"/>
      <c r="CG456" s="6"/>
      <c r="CH456" s="6"/>
      <c r="CI456" s="6"/>
      <c r="CJ456" s="6"/>
      <c r="CK456" s="6"/>
      <c r="CL456" s="6"/>
      <c r="CM456" s="6"/>
      <c r="CN456" s="6"/>
      <c r="CO456" s="6"/>
      <c r="CP456" s="6"/>
      <c r="CQ456" s="6"/>
      <c r="CR456" s="6"/>
      <c r="CS456" s="6"/>
      <c r="CT456" s="6"/>
      <c r="CU456" s="6"/>
      <c r="CV456" s="6"/>
      <c r="CW456" s="6"/>
      <c r="CX456" s="6"/>
      <c r="CY456" s="6"/>
      <c r="CZ456" s="6"/>
      <c r="DA456" s="6"/>
      <c r="DB456" s="6"/>
      <c r="DC456" s="6"/>
      <c r="DD456" s="6"/>
      <c r="DE456" s="6"/>
      <c r="DF456" s="6"/>
      <c r="DG456" s="6"/>
      <c r="DH456" s="6"/>
      <c r="DI456" s="6"/>
      <c r="DJ456" s="6"/>
    </row>
    <row r="457" spans="2:114" x14ac:dyDescent="0.2">
      <c r="B457" s="68"/>
      <c r="C457" s="69"/>
      <c r="D457" s="70"/>
      <c r="F457" s="68"/>
      <c r="G457" s="69"/>
      <c r="H457" s="70"/>
      <c r="J457" s="71"/>
      <c r="K457" s="71"/>
      <c r="L457" s="67"/>
      <c r="N457" s="71"/>
      <c r="O457" s="71"/>
      <c r="P457" s="67"/>
      <c r="R457" s="67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6"/>
      <c r="BY457" s="6"/>
      <c r="BZ457" s="6"/>
      <c r="CA457" s="6"/>
      <c r="CB457" s="6"/>
      <c r="CC457" s="6"/>
      <c r="CD457" s="6"/>
      <c r="CE457" s="6"/>
      <c r="CF457" s="6"/>
      <c r="CG457" s="6"/>
      <c r="CH457" s="6"/>
      <c r="CI457" s="6"/>
      <c r="CJ457" s="6"/>
      <c r="CK457" s="6"/>
      <c r="CL457" s="6"/>
      <c r="CM457" s="6"/>
      <c r="CN457" s="6"/>
      <c r="CO457" s="6"/>
      <c r="CP457" s="6"/>
      <c r="CQ457" s="6"/>
      <c r="CR457" s="6"/>
      <c r="CS457" s="6"/>
      <c r="CT457" s="6"/>
      <c r="CU457" s="6"/>
      <c r="CV457" s="6"/>
      <c r="CW457" s="6"/>
      <c r="CX457" s="6"/>
      <c r="CY457" s="6"/>
      <c r="CZ457" s="6"/>
      <c r="DA457" s="6"/>
      <c r="DB457" s="6"/>
      <c r="DC457" s="6"/>
      <c r="DD457" s="6"/>
      <c r="DE457" s="6"/>
      <c r="DF457" s="6"/>
      <c r="DG457" s="6"/>
      <c r="DH457" s="6"/>
      <c r="DI457" s="6"/>
      <c r="DJ457" s="6"/>
    </row>
    <row r="458" spans="2:114" x14ac:dyDescent="0.2">
      <c r="B458" s="68"/>
      <c r="C458" s="69"/>
      <c r="D458" s="70"/>
      <c r="F458" s="68"/>
      <c r="G458" s="69"/>
      <c r="H458" s="70"/>
      <c r="J458" s="71"/>
      <c r="K458" s="71"/>
      <c r="L458" s="67"/>
      <c r="N458" s="71"/>
      <c r="O458" s="71"/>
      <c r="P458" s="67"/>
      <c r="R458" s="67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6"/>
      <c r="BY458" s="6"/>
      <c r="BZ458" s="6"/>
      <c r="CA458" s="6"/>
      <c r="CB458" s="6"/>
      <c r="CC458" s="6"/>
      <c r="CD458" s="6"/>
      <c r="CE458" s="6"/>
      <c r="CF458" s="6"/>
      <c r="CG458" s="6"/>
      <c r="CH458" s="6"/>
      <c r="CI458" s="6"/>
      <c r="CJ458" s="6"/>
      <c r="CK458" s="6"/>
      <c r="CL458" s="6"/>
      <c r="CM458" s="6"/>
      <c r="CN458" s="6"/>
      <c r="CO458" s="6"/>
      <c r="CP458" s="6"/>
      <c r="CQ458" s="6"/>
      <c r="CR458" s="6"/>
      <c r="CS458" s="6"/>
      <c r="CT458" s="6"/>
      <c r="CU458" s="6"/>
      <c r="CV458" s="6"/>
      <c r="CW458" s="6"/>
      <c r="CX458" s="6"/>
      <c r="CY458" s="6"/>
      <c r="CZ458" s="6"/>
      <c r="DA458" s="6"/>
      <c r="DB458" s="6"/>
      <c r="DC458" s="6"/>
      <c r="DD458" s="6"/>
      <c r="DE458" s="6"/>
      <c r="DF458" s="6"/>
      <c r="DG458" s="6"/>
      <c r="DH458" s="6"/>
      <c r="DI458" s="6"/>
      <c r="DJ458" s="6"/>
    </row>
    <row r="459" spans="2:114" x14ac:dyDescent="0.2">
      <c r="B459" s="68"/>
      <c r="C459" s="69"/>
      <c r="D459" s="70"/>
      <c r="F459" s="68"/>
      <c r="G459" s="69"/>
      <c r="H459" s="70"/>
      <c r="J459" s="71"/>
      <c r="K459" s="71"/>
      <c r="L459" s="67"/>
      <c r="N459" s="71"/>
      <c r="O459" s="71"/>
      <c r="P459" s="67"/>
      <c r="R459" s="67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6"/>
      <c r="BY459" s="6"/>
      <c r="BZ459" s="6"/>
      <c r="CA459" s="6"/>
      <c r="CB459" s="6"/>
      <c r="CC459" s="6"/>
      <c r="CD459" s="6"/>
      <c r="CE459" s="6"/>
      <c r="CF459" s="6"/>
      <c r="CG459" s="6"/>
      <c r="CH459" s="6"/>
      <c r="CI459" s="6"/>
      <c r="CJ459" s="6"/>
      <c r="CK459" s="6"/>
      <c r="CL459" s="6"/>
      <c r="CM459" s="6"/>
      <c r="CN459" s="6"/>
      <c r="CO459" s="6"/>
      <c r="CP459" s="6"/>
      <c r="CQ459" s="6"/>
      <c r="CR459" s="6"/>
      <c r="CS459" s="6"/>
      <c r="CT459" s="6"/>
      <c r="CU459" s="6"/>
      <c r="CV459" s="6"/>
      <c r="CW459" s="6"/>
      <c r="CX459" s="6"/>
      <c r="CY459" s="6"/>
      <c r="CZ459" s="6"/>
      <c r="DA459" s="6"/>
      <c r="DB459" s="6"/>
      <c r="DC459" s="6"/>
      <c r="DD459" s="6"/>
      <c r="DE459" s="6"/>
      <c r="DF459" s="6"/>
      <c r="DG459" s="6"/>
      <c r="DH459" s="6"/>
      <c r="DI459" s="6"/>
      <c r="DJ459" s="6"/>
    </row>
    <row r="460" spans="2:114" x14ac:dyDescent="0.2">
      <c r="B460" s="68"/>
      <c r="C460" s="69"/>
      <c r="D460" s="70"/>
      <c r="F460" s="68"/>
      <c r="G460" s="69"/>
      <c r="H460" s="70"/>
      <c r="J460" s="71"/>
      <c r="K460" s="71"/>
      <c r="L460" s="67"/>
      <c r="N460" s="71"/>
      <c r="O460" s="71"/>
      <c r="P460" s="67"/>
      <c r="R460" s="67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6"/>
      <c r="BY460" s="6"/>
      <c r="BZ460" s="6"/>
      <c r="CA460" s="6"/>
      <c r="CB460" s="6"/>
      <c r="CC460" s="6"/>
      <c r="CD460" s="6"/>
      <c r="CE460" s="6"/>
      <c r="CF460" s="6"/>
      <c r="CG460" s="6"/>
      <c r="CH460" s="6"/>
      <c r="CI460" s="6"/>
      <c r="CJ460" s="6"/>
      <c r="CK460" s="6"/>
      <c r="CL460" s="6"/>
      <c r="CM460" s="6"/>
      <c r="CN460" s="6"/>
      <c r="CO460" s="6"/>
      <c r="CP460" s="6"/>
      <c r="CQ460" s="6"/>
      <c r="CR460" s="6"/>
      <c r="CS460" s="6"/>
      <c r="CT460" s="6"/>
      <c r="CU460" s="6"/>
      <c r="CV460" s="6"/>
      <c r="CW460" s="6"/>
      <c r="CX460" s="6"/>
      <c r="CY460" s="6"/>
      <c r="CZ460" s="6"/>
      <c r="DA460" s="6"/>
      <c r="DB460" s="6"/>
      <c r="DC460" s="6"/>
      <c r="DD460" s="6"/>
      <c r="DE460" s="6"/>
      <c r="DF460" s="6"/>
      <c r="DG460" s="6"/>
      <c r="DH460" s="6"/>
      <c r="DI460" s="6"/>
      <c r="DJ460" s="6"/>
    </row>
    <row r="461" spans="2:114" x14ac:dyDescent="0.2">
      <c r="B461" s="68"/>
      <c r="C461" s="69"/>
      <c r="D461" s="70"/>
      <c r="F461" s="68"/>
      <c r="G461" s="69"/>
      <c r="H461" s="70"/>
      <c r="J461" s="71"/>
      <c r="K461" s="71"/>
      <c r="L461" s="67"/>
      <c r="N461" s="71"/>
      <c r="O461" s="71"/>
      <c r="P461" s="67"/>
      <c r="R461" s="67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6"/>
      <c r="BY461" s="6"/>
      <c r="BZ461" s="6"/>
      <c r="CA461" s="6"/>
      <c r="CB461" s="6"/>
      <c r="CC461" s="6"/>
      <c r="CD461" s="6"/>
      <c r="CE461" s="6"/>
      <c r="CF461" s="6"/>
      <c r="CG461" s="6"/>
      <c r="CH461" s="6"/>
      <c r="CI461" s="6"/>
      <c r="CJ461" s="6"/>
      <c r="CK461" s="6"/>
      <c r="CL461" s="6"/>
      <c r="CM461" s="6"/>
      <c r="CN461" s="6"/>
      <c r="CO461" s="6"/>
      <c r="CP461" s="6"/>
      <c r="CQ461" s="6"/>
      <c r="CR461" s="6"/>
      <c r="CS461" s="6"/>
      <c r="CT461" s="6"/>
      <c r="CU461" s="6"/>
      <c r="CV461" s="6"/>
      <c r="CW461" s="6"/>
      <c r="CX461" s="6"/>
      <c r="CY461" s="6"/>
      <c r="CZ461" s="6"/>
      <c r="DA461" s="6"/>
      <c r="DB461" s="6"/>
      <c r="DC461" s="6"/>
      <c r="DD461" s="6"/>
      <c r="DE461" s="6"/>
      <c r="DF461" s="6"/>
      <c r="DG461" s="6"/>
      <c r="DH461" s="6"/>
      <c r="DI461" s="6"/>
      <c r="DJ461" s="6"/>
    </row>
    <row r="462" spans="2:114" x14ac:dyDescent="0.2">
      <c r="B462" s="68"/>
      <c r="C462" s="69"/>
      <c r="D462" s="70"/>
      <c r="F462" s="68"/>
      <c r="G462" s="69"/>
      <c r="H462" s="70"/>
      <c r="J462" s="71"/>
      <c r="K462" s="71"/>
      <c r="L462" s="67"/>
      <c r="N462" s="71"/>
      <c r="O462" s="71"/>
      <c r="P462" s="67"/>
      <c r="R462" s="67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6"/>
      <c r="BY462" s="6"/>
      <c r="BZ462" s="6"/>
      <c r="CA462" s="6"/>
      <c r="CB462" s="6"/>
      <c r="CC462" s="6"/>
      <c r="CD462" s="6"/>
      <c r="CE462" s="6"/>
      <c r="CF462" s="6"/>
      <c r="CG462" s="6"/>
      <c r="CH462" s="6"/>
      <c r="CI462" s="6"/>
      <c r="CJ462" s="6"/>
      <c r="CK462" s="6"/>
      <c r="CL462" s="6"/>
      <c r="CM462" s="6"/>
      <c r="CN462" s="6"/>
      <c r="CO462" s="6"/>
      <c r="CP462" s="6"/>
      <c r="CQ462" s="6"/>
      <c r="CR462" s="6"/>
      <c r="CS462" s="6"/>
      <c r="CT462" s="6"/>
      <c r="CU462" s="6"/>
      <c r="CV462" s="6"/>
      <c r="CW462" s="6"/>
      <c r="CX462" s="6"/>
      <c r="CY462" s="6"/>
      <c r="CZ462" s="6"/>
      <c r="DA462" s="6"/>
      <c r="DB462" s="6"/>
      <c r="DC462" s="6"/>
      <c r="DD462" s="6"/>
      <c r="DE462" s="6"/>
      <c r="DF462" s="6"/>
      <c r="DG462" s="6"/>
      <c r="DH462" s="6"/>
      <c r="DI462" s="6"/>
      <c r="DJ462" s="6"/>
    </row>
    <row r="463" spans="2:114" x14ac:dyDescent="0.2">
      <c r="B463" s="68"/>
      <c r="C463" s="69"/>
      <c r="D463" s="70"/>
      <c r="F463" s="68"/>
      <c r="G463" s="69"/>
      <c r="H463" s="70"/>
      <c r="J463" s="71"/>
      <c r="K463" s="71"/>
      <c r="L463" s="67"/>
      <c r="N463" s="71"/>
      <c r="O463" s="71"/>
      <c r="P463" s="67"/>
      <c r="R463" s="67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6"/>
      <c r="BY463" s="6"/>
      <c r="BZ463" s="6"/>
      <c r="CA463" s="6"/>
      <c r="CB463" s="6"/>
      <c r="CC463" s="6"/>
      <c r="CD463" s="6"/>
      <c r="CE463" s="6"/>
      <c r="CF463" s="6"/>
      <c r="CG463" s="6"/>
      <c r="CH463" s="6"/>
      <c r="CI463" s="6"/>
      <c r="CJ463" s="6"/>
      <c r="CK463" s="6"/>
      <c r="CL463" s="6"/>
      <c r="CM463" s="6"/>
      <c r="CN463" s="6"/>
      <c r="CO463" s="6"/>
      <c r="CP463" s="6"/>
      <c r="CQ463" s="6"/>
      <c r="CR463" s="6"/>
      <c r="CS463" s="6"/>
      <c r="CT463" s="6"/>
      <c r="CU463" s="6"/>
      <c r="CV463" s="6"/>
      <c r="CW463" s="6"/>
      <c r="CX463" s="6"/>
      <c r="CY463" s="6"/>
      <c r="CZ463" s="6"/>
      <c r="DA463" s="6"/>
      <c r="DB463" s="6"/>
      <c r="DC463" s="6"/>
      <c r="DD463" s="6"/>
      <c r="DE463" s="6"/>
      <c r="DF463" s="6"/>
      <c r="DG463" s="6"/>
      <c r="DH463" s="6"/>
      <c r="DI463" s="6"/>
      <c r="DJ463" s="6"/>
    </row>
    <row r="464" spans="2:114" x14ac:dyDescent="0.2">
      <c r="B464" s="68"/>
      <c r="C464" s="69"/>
      <c r="D464" s="70"/>
      <c r="F464" s="68"/>
      <c r="G464" s="69"/>
      <c r="H464" s="70"/>
      <c r="J464" s="71"/>
      <c r="K464" s="71"/>
      <c r="L464" s="67"/>
      <c r="N464" s="71"/>
      <c r="O464" s="71"/>
      <c r="P464" s="67"/>
      <c r="R464" s="67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6"/>
      <c r="BY464" s="6"/>
      <c r="BZ464" s="6"/>
      <c r="CA464" s="6"/>
      <c r="CB464" s="6"/>
      <c r="CC464" s="6"/>
      <c r="CD464" s="6"/>
      <c r="CE464" s="6"/>
      <c r="CF464" s="6"/>
      <c r="CG464" s="6"/>
      <c r="CH464" s="6"/>
      <c r="CI464" s="6"/>
      <c r="CJ464" s="6"/>
      <c r="CK464" s="6"/>
      <c r="CL464" s="6"/>
      <c r="CM464" s="6"/>
      <c r="CN464" s="6"/>
      <c r="CO464" s="6"/>
      <c r="CP464" s="6"/>
      <c r="CQ464" s="6"/>
      <c r="CR464" s="6"/>
      <c r="CS464" s="6"/>
      <c r="CT464" s="6"/>
      <c r="CU464" s="6"/>
      <c r="CV464" s="6"/>
      <c r="CW464" s="6"/>
      <c r="CX464" s="6"/>
      <c r="CY464" s="6"/>
      <c r="CZ464" s="6"/>
      <c r="DA464" s="6"/>
      <c r="DB464" s="6"/>
      <c r="DC464" s="6"/>
      <c r="DD464" s="6"/>
      <c r="DE464" s="6"/>
      <c r="DF464" s="6"/>
      <c r="DG464" s="6"/>
      <c r="DH464" s="6"/>
      <c r="DI464" s="6"/>
      <c r="DJ464" s="6"/>
    </row>
    <row r="465" spans="2:114" x14ac:dyDescent="0.2">
      <c r="B465" s="68"/>
      <c r="C465" s="69"/>
      <c r="D465" s="70"/>
      <c r="F465" s="68"/>
      <c r="G465" s="69"/>
      <c r="H465" s="70"/>
      <c r="J465" s="71"/>
      <c r="K465" s="71"/>
      <c r="L465" s="67"/>
      <c r="N465" s="71"/>
      <c r="O465" s="71"/>
      <c r="P465" s="67"/>
      <c r="R465" s="67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6"/>
      <c r="BY465" s="6"/>
      <c r="BZ465" s="6"/>
      <c r="CA465" s="6"/>
      <c r="CB465" s="6"/>
      <c r="CC465" s="6"/>
      <c r="CD465" s="6"/>
      <c r="CE465" s="6"/>
      <c r="CF465" s="6"/>
      <c r="CG465" s="6"/>
      <c r="CH465" s="6"/>
      <c r="CI465" s="6"/>
      <c r="CJ465" s="6"/>
      <c r="CK465" s="6"/>
      <c r="CL465" s="6"/>
      <c r="CM465" s="6"/>
      <c r="CN465" s="6"/>
      <c r="CO465" s="6"/>
      <c r="CP465" s="6"/>
      <c r="CQ465" s="6"/>
      <c r="CR465" s="6"/>
      <c r="CS465" s="6"/>
      <c r="CT465" s="6"/>
      <c r="CU465" s="6"/>
      <c r="CV465" s="6"/>
      <c r="CW465" s="6"/>
      <c r="CX465" s="6"/>
      <c r="CY465" s="6"/>
      <c r="CZ465" s="6"/>
      <c r="DA465" s="6"/>
      <c r="DB465" s="6"/>
      <c r="DC465" s="6"/>
      <c r="DD465" s="6"/>
      <c r="DE465" s="6"/>
      <c r="DF465" s="6"/>
      <c r="DG465" s="6"/>
      <c r="DH465" s="6"/>
      <c r="DI465" s="6"/>
      <c r="DJ465" s="6"/>
    </row>
    <row r="466" spans="2:114" x14ac:dyDescent="0.2">
      <c r="B466" s="68"/>
      <c r="C466" s="69"/>
      <c r="D466" s="70"/>
      <c r="F466" s="68"/>
      <c r="G466" s="69"/>
      <c r="H466" s="70"/>
      <c r="J466" s="71"/>
      <c r="K466" s="71"/>
      <c r="L466" s="67"/>
      <c r="N466" s="71"/>
      <c r="O466" s="71"/>
      <c r="P466" s="67"/>
      <c r="R466" s="67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6"/>
      <c r="BY466" s="6"/>
      <c r="BZ466" s="6"/>
      <c r="CA466" s="6"/>
      <c r="CB466" s="6"/>
      <c r="CC466" s="6"/>
      <c r="CD466" s="6"/>
      <c r="CE466" s="6"/>
      <c r="CF466" s="6"/>
      <c r="CG466" s="6"/>
      <c r="CH466" s="6"/>
      <c r="CI466" s="6"/>
      <c r="CJ466" s="6"/>
      <c r="CK466" s="6"/>
      <c r="CL466" s="6"/>
      <c r="CM466" s="6"/>
      <c r="CN466" s="6"/>
      <c r="CO466" s="6"/>
      <c r="CP466" s="6"/>
      <c r="CQ466" s="6"/>
      <c r="CR466" s="6"/>
      <c r="CS466" s="6"/>
      <c r="CT466" s="6"/>
      <c r="CU466" s="6"/>
      <c r="CV466" s="6"/>
      <c r="CW466" s="6"/>
      <c r="CX466" s="6"/>
      <c r="CY466" s="6"/>
      <c r="CZ466" s="6"/>
      <c r="DA466" s="6"/>
      <c r="DB466" s="6"/>
      <c r="DC466" s="6"/>
      <c r="DD466" s="6"/>
      <c r="DE466" s="6"/>
      <c r="DF466" s="6"/>
      <c r="DG466" s="6"/>
      <c r="DH466" s="6"/>
      <c r="DI466" s="6"/>
      <c r="DJ466" s="6"/>
    </row>
    <row r="467" spans="2:114" x14ac:dyDescent="0.2">
      <c r="B467" s="68"/>
      <c r="C467" s="69"/>
      <c r="D467" s="70"/>
      <c r="F467" s="68"/>
      <c r="G467" s="69"/>
      <c r="H467" s="70"/>
      <c r="J467" s="71"/>
      <c r="K467" s="71"/>
      <c r="L467" s="67"/>
      <c r="N467" s="71"/>
      <c r="O467" s="71"/>
      <c r="P467" s="67"/>
      <c r="R467" s="67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6"/>
      <c r="BY467" s="6"/>
      <c r="BZ467" s="6"/>
      <c r="CA467" s="6"/>
      <c r="CB467" s="6"/>
      <c r="CC467" s="6"/>
      <c r="CD467" s="6"/>
      <c r="CE467" s="6"/>
      <c r="CF467" s="6"/>
      <c r="CG467" s="6"/>
      <c r="CH467" s="6"/>
      <c r="CI467" s="6"/>
      <c r="CJ467" s="6"/>
      <c r="CK467" s="6"/>
      <c r="CL467" s="6"/>
      <c r="CM467" s="6"/>
      <c r="CN467" s="6"/>
      <c r="CO467" s="6"/>
      <c r="CP467" s="6"/>
      <c r="CQ467" s="6"/>
      <c r="CR467" s="6"/>
      <c r="CS467" s="6"/>
      <c r="CT467" s="6"/>
      <c r="CU467" s="6"/>
      <c r="CV467" s="6"/>
      <c r="CW467" s="6"/>
      <c r="CX467" s="6"/>
      <c r="CY467" s="6"/>
      <c r="CZ467" s="6"/>
      <c r="DA467" s="6"/>
      <c r="DB467" s="6"/>
      <c r="DC467" s="6"/>
      <c r="DD467" s="6"/>
      <c r="DE467" s="6"/>
      <c r="DF467" s="6"/>
      <c r="DG467" s="6"/>
      <c r="DH467" s="6"/>
      <c r="DI467" s="6"/>
      <c r="DJ467" s="6"/>
    </row>
    <row r="468" spans="2:114" x14ac:dyDescent="0.2">
      <c r="B468" s="68"/>
      <c r="C468" s="69"/>
      <c r="D468" s="70"/>
      <c r="F468" s="68"/>
      <c r="G468" s="69"/>
      <c r="H468" s="70"/>
      <c r="J468" s="71"/>
      <c r="K468" s="71"/>
      <c r="L468" s="67"/>
      <c r="N468" s="71"/>
      <c r="O468" s="71"/>
      <c r="P468" s="67"/>
      <c r="R468" s="67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6"/>
      <c r="BY468" s="6"/>
      <c r="BZ468" s="6"/>
      <c r="CA468" s="6"/>
      <c r="CB468" s="6"/>
      <c r="CC468" s="6"/>
      <c r="CD468" s="6"/>
      <c r="CE468" s="6"/>
      <c r="CF468" s="6"/>
      <c r="CG468" s="6"/>
      <c r="CH468" s="6"/>
      <c r="CI468" s="6"/>
      <c r="CJ468" s="6"/>
      <c r="CK468" s="6"/>
      <c r="CL468" s="6"/>
      <c r="CM468" s="6"/>
      <c r="CN468" s="6"/>
      <c r="CO468" s="6"/>
      <c r="CP468" s="6"/>
      <c r="CQ468" s="6"/>
      <c r="CR468" s="6"/>
      <c r="CS468" s="6"/>
      <c r="CT468" s="6"/>
      <c r="CU468" s="6"/>
      <c r="CV468" s="6"/>
      <c r="CW468" s="6"/>
      <c r="CX468" s="6"/>
      <c r="CY468" s="6"/>
      <c r="CZ468" s="6"/>
      <c r="DA468" s="6"/>
      <c r="DB468" s="6"/>
      <c r="DC468" s="6"/>
      <c r="DD468" s="6"/>
      <c r="DE468" s="6"/>
      <c r="DF468" s="6"/>
      <c r="DG468" s="6"/>
      <c r="DH468" s="6"/>
      <c r="DI468" s="6"/>
      <c r="DJ468" s="6"/>
    </row>
    <row r="469" spans="2:114" x14ac:dyDescent="0.2">
      <c r="B469" s="68"/>
      <c r="C469" s="69"/>
      <c r="D469" s="70"/>
      <c r="F469" s="68"/>
      <c r="G469" s="69"/>
      <c r="H469" s="70"/>
      <c r="J469" s="71"/>
      <c r="K469" s="71"/>
      <c r="L469" s="67"/>
      <c r="N469" s="71"/>
      <c r="O469" s="71"/>
      <c r="P469" s="67"/>
      <c r="R469" s="67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6"/>
      <c r="BY469" s="6"/>
      <c r="BZ469" s="6"/>
      <c r="CA469" s="6"/>
      <c r="CB469" s="6"/>
      <c r="CC469" s="6"/>
      <c r="CD469" s="6"/>
      <c r="CE469" s="6"/>
      <c r="CF469" s="6"/>
      <c r="CG469" s="6"/>
      <c r="CH469" s="6"/>
      <c r="CI469" s="6"/>
      <c r="CJ469" s="6"/>
      <c r="CK469" s="6"/>
      <c r="CL469" s="6"/>
      <c r="CM469" s="6"/>
      <c r="CN469" s="6"/>
      <c r="CO469" s="6"/>
      <c r="CP469" s="6"/>
      <c r="CQ469" s="6"/>
      <c r="CR469" s="6"/>
      <c r="CS469" s="6"/>
      <c r="CT469" s="6"/>
      <c r="CU469" s="6"/>
      <c r="CV469" s="6"/>
      <c r="CW469" s="6"/>
      <c r="CX469" s="6"/>
      <c r="CY469" s="6"/>
      <c r="CZ469" s="6"/>
      <c r="DA469" s="6"/>
      <c r="DB469" s="6"/>
      <c r="DC469" s="6"/>
      <c r="DD469" s="6"/>
      <c r="DE469" s="6"/>
      <c r="DF469" s="6"/>
      <c r="DG469" s="6"/>
      <c r="DH469" s="6"/>
      <c r="DI469" s="6"/>
      <c r="DJ469" s="6"/>
    </row>
    <row r="470" spans="2:114" x14ac:dyDescent="0.2">
      <c r="B470" s="68"/>
      <c r="C470" s="69"/>
      <c r="D470" s="70"/>
      <c r="F470" s="68"/>
      <c r="G470" s="69"/>
      <c r="H470" s="70"/>
      <c r="J470" s="71"/>
      <c r="K470" s="71"/>
      <c r="L470" s="67"/>
      <c r="N470" s="71"/>
      <c r="O470" s="71"/>
      <c r="P470" s="67"/>
      <c r="R470" s="67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6"/>
      <c r="BY470" s="6"/>
      <c r="BZ470" s="6"/>
      <c r="CA470" s="6"/>
      <c r="CB470" s="6"/>
      <c r="CC470" s="6"/>
      <c r="CD470" s="6"/>
      <c r="CE470" s="6"/>
      <c r="CF470" s="6"/>
      <c r="CG470" s="6"/>
      <c r="CH470" s="6"/>
      <c r="CI470" s="6"/>
      <c r="CJ470" s="6"/>
      <c r="CK470" s="6"/>
      <c r="CL470" s="6"/>
      <c r="CM470" s="6"/>
      <c r="CN470" s="6"/>
      <c r="CO470" s="6"/>
      <c r="CP470" s="6"/>
      <c r="CQ470" s="6"/>
      <c r="CR470" s="6"/>
      <c r="CS470" s="6"/>
      <c r="CT470" s="6"/>
      <c r="CU470" s="6"/>
      <c r="CV470" s="6"/>
      <c r="CW470" s="6"/>
      <c r="CX470" s="6"/>
      <c r="CY470" s="6"/>
      <c r="CZ470" s="6"/>
      <c r="DA470" s="6"/>
      <c r="DB470" s="6"/>
      <c r="DC470" s="6"/>
      <c r="DD470" s="6"/>
      <c r="DE470" s="6"/>
      <c r="DF470" s="6"/>
      <c r="DG470" s="6"/>
      <c r="DH470" s="6"/>
      <c r="DI470" s="6"/>
      <c r="DJ470" s="6"/>
    </row>
    <row r="471" spans="2:114" x14ac:dyDescent="0.2">
      <c r="B471" s="68"/>
      <c r="C471" s="69"/>
      <c r="D471" s="70"/>
      <c r="F471" s="68"/>
      <c r="G471" s="69"/>
      <c r="H471" s="70"/>
      <c r="J471" s="71"/>
      <c r="K471" s="71"/>
      <c r="L471" s="67"/>
      <c r="N471" s="71"/>
      <c r="O471" s="71"/>
      <c r="P471" s="67"/>
      <c r="R471" s="67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6"/>
      <c r="BY471" s="6"/>
      <c r="BZ471" s="6"/>
      <c r="CA471" s="6"/>
      <c r="CB471" s="6"/>
      <c r="CC471" s="6"/>
      <c r="CD471" s="6"/>
      <c r="CE471" s="6"/>
      <c r="CF471" s="6"/>
      <c r="CG471" s="6"/>
      <c r="CH471" s="6"/>
      <c r="CI471" s="6"/>
      <c r="CJ471" s="6"/>
      <c r="CK471" s="6"/>
      <c r="CL471" s="6"/>
      <c r="CM471" s="6"/>
      <c r="CN471" s="6"/>
      <c r="CO471" s="6"/>
      <c r="CP471" s="6"/>
      <c r="CQ471" s="6"/>
      <c r="CR471" s="6"/>
      <c r="CS471" s="6"/>
      <c r="CT471" s="6"/>
      <c r="CU471" s="6"/>
      <c r="CV471" s="6"/>
      <c r="CW471" s="6"/>
      <c r="CX471" s="6"/>
      <c r="CY471" s="6"/>
      <c r="CZ471" s="6"/>
      <c r="DA471" s="6"/>
      <c r="DB471" s="6"/>
      <c r="DC471" s="6"/>
      <c r="DD471" s="6"/>
      <c r="DE471" s="6"/>
      <c r="DF471" s="6"/>
      <c r="DG471" s="6"/>
      <c r="DH471" s="6"/>
      <c r="DI471" s="6"/>
      <c r="DJ471" s="6"/>
    </row>
    <row r="472" spans="2:114" x14ac:dyDescent="0.2">
      <c r="B472" s="68"/>
      <c r="C472" s="69"/>
      <c r="D472" s="70"/>
      <c r="F472" s="68"/>
      <c r="G472" s="69"/>
      <c r="H472" s="70"/>
      <c r="J472" s="71"/>
      <c r="K472" s="71"/>
      <c r="L472" s="67"/>
      <c r="N472" s="71"/>
      <c r="O472" s="71"/>
      <c r="P472" s="67"/>
      <c r="R472" s="67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6"/>
      <c r="BY472" s="6"/>
      <c r="BZ472" s="6"/>
      <c r="CA472" s="6"/>
      <c r="CB472" s="6"/>
      <c r="CC472" s="6"/>
      <c r="CD472" s="6"/>
      <c r="CE472" s="6"/>
      <c r="CF472" s="6"/>
      <c r="CG472" s="6"/>
      <c r="CH472" s="6"/>
      <c r="CI472" s="6"/>
      <c r="CJ472" s="6"/>
      <c r="CK472" s="6"/>
      <c r="CL472" s="6"/>
      <c r="CM472" s="6"/>
      <c r="CN472" s="6"/>
      <c r="CO472" s="6"/>
      <c r="CP472" s="6"/>
      <c r="CQ472" s="6"/>
      <c r="CR472" s="6"/>
      <c r="CS472" s="6"/>
      <c r="CT472" s="6"/>
      <c r="CU472" s="6"/>
      <c r="CV472" s="6"/>
      <c r="CW472" s="6"/>
      <c r="CX472" s="6"/>
      <c r="CY472" s="6"/>
      <c r="CZ472" s="6"/>
      <c r="DA472" s="6"/>
      <c r="DB472" s="6"/>
      <c r="DC472" s="6"/>
      <c r="DD472" s="6"/>
      <c r="DE472" s="6"/>
      <c r="DF472" s="6"/>
      <c r="DG472" s="6"/>
      <c r="DH472" s="6"/>
      <c r="DI472" s="6"/>
      <c r="DJ472" s="6"/>
    </row>
    <row r="473" spans="2:114" x14ac:dyDescent="0.2">
      <c r="B473" s="68"/>
      <c r="C473" s="69"/>
      <c r="D473" s="70"/>
      <c r="F473" s="68"/>
      <c r="G473" s="69"/>
      <c r="H473" s="70"/>
      <c r="J473" s="71"/>
      <c r="K473" s="71"/>
      <c r="L473" s="67"/>
      <c r="N473" s="71"/>
      <c r="O473" s="71"/>
      <c r="P473" s="67"/>
      <c r="R473" s="67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6"/>
      <c r="BY473" s="6"/>
      <c r="BZ473" s="6"/>
      <c r="CA473" s="6"/>
      <c r="CB473" s="6"/>
      <c r="CC473" s="6"/>
      <c r="CD473" s="6"/>
      <c r="CE473" s="6"/>
      <c r="CF473" s="6"/>
      <c r="CG473" s="6"/>
      <c r="CH473" s="6"/>
      <c r="CI473" s="6"/>
      <c r="CJ473" s="6"/>
      <c r="CK473" s="6"/>
      <c r="CL473" s="6"/>
      <c r="CM473" s="6"/>
      <c r="CN473" s="6"/>
      <c r="CO473" s="6"/>
      <c r="CP473" s="6"/>
      <c r="CQ473" s="6"/>
      <c r="CR473" s="6"/>
      <c r="CS473" s="6"/>
      <c r="CT473" s="6"/>
      <c r="CU473" s="6"/>
      <c r="CV473" s="6"/>
      <c r="CW473" s="6"/>
      <c r="CX473" s="6"/>
      <c r="CY473" s="6"/>
      <c r="CZ473" s="6"/>
      <c r="DA473" s="6"/>
      <c r="DB473" s="6"/>
      <c r="DC473" s="6"/>
      <c r="DD473" s="6"/>
      <c r="DE473" s="6"/>
      <c r="DF473" s="6"/>
      <c r="DG473" s="6"/>
      <c r="DH473" s="6"/>
      <c r="DI473" s="6"/>
      <c r="DJ473" s="6"/>
    </row>
    <row r="474" spans="2:114" x14ac:dyDescent="0.2">
      <c r="B474" s="68"/>
      <c r="C474" s="69"/>
      <c r="D474" s="70"/>
      <c r="F474" s="68"/>
      <c r="G474" s="69"/>
      <c r="H474" s="70"/>
      <c r="J474" s="71"/>
      <c r="K474" s="71"/>
      <c r="L474" s="67"/>
      <c r="N474" s="71"/>
      <c r="O474" s="71"/>
      <c r="P474" s="67"/>
      <c r="R474" s="67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6"/>
      <c r="BY474" s="6"/>
      <c r="BZ474" s="6"/>
      <c r="CA474" s="6"/>
      <c r="CB474" s="6"/>
      <c r="CC474" s="6"/>
      <c r="CD474" s="6"/>
      <c r="CE474" s="6"/>
      <c r="CF474" s="6"/>
      <c r="CG474" s="6"/>
      <c r="CH474" s="6"/>
      <c r="CI474" s="6"/>
      <c r="CJ474" s="6"/>
      <c r="CK474" s="6"/>
      <c r="CL474" s="6"/>
      <c r="CM474" s="6"/>
      <c r="CN474" s="6"/>
      <c r="CO474" s="6"/>
      <c r="CP474" s="6"/>
      <c r="CQ474" s="6"/>
      <c r="CR474" s="6"/>
      <c r="CS474" s="6"/>
      <c r="CT474" s="6"/>
      <c r="CU474" s="6"/>
      <c r="CV474" s="6"/>
      <c r="CW474" s="6"/>
      <c r="CX474" s="6"/>
      <c r="CY474" s="6"/>
      <c r="CZ474" s="6"/>
      <c r="DA474" s="6"/>
      <c r="DB474" s="6"/>
      <c r="DC474" s="6"/>
      <c r="DD474" s="6"/>
      <c r="DE474" s="6"/>
      <c r="DF474" s="6"/>
      <c r="DG474" s="6"/>
      <c r="DH474" s="6"/>
      <c r="DI474" s="6"/>
      <c r="DJ474" s="6"/>
    </row>
    <row r="475" spans="2:114" x14ac:dyDescent="0.2">
      <c r="B475" s="68"/>
      <c r="C475" s="69"/>
      <c r="D475" s="70"/>
      <c r="F475" s="68"/>
      <c r="G475" s="69"/>
      <c r="H475" s="70"/>
      <c r="J475" s="71"/>
      <c r="K475" s="71"/>
      <c r="L475" s="67"/>
      <c r="N475" s="71"/>
      <c r="O475" s="71"/>
      <c r="P475" s="67"/>
      <c r="R475" s="67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6"/>
      <c r="BY475" s="6"/>
      <c r="BZ475" s="6"/>
      <c r="CA475" s="6"/>
      <c r="CB475" s="6"/>
      <c r="CC475" s="6"/>
      <c r="CD475" s="6"/>
      <c r="CE475" s="6"/>
      <c r="CF475" s="6"/>
      <c r="CG475" s="6"/>
      <c r="CH475" s="6"/>
      <c r="CI475" s="6"/>
      <c r="CJ475" s="6"/>
      <c r="CK475" s="6"/>
      <c r="CL475" s="6"/>
      <c r="CM475" s="6"/>
      <c r="CN475" s="6"/>
      <c r="CO475" s="6"/>
      <c r="CP475" s="6"/>
      <c r="CQ475" s="6"/>
      <c r="CR475" s="6"/>
      <c r="CS475" s="6"/>
      <c r="CT475" s="6"/>
      <c r="CU475" s="6"/>
      <c r="CV475" s="6"/>
      <c r="CW475" s="6"/>
      <c r="CX475" s="6"/>
      <c r="CY475" s="6"/>
      <c r="CZ475" s="6"/>
      <c r="DA475" s="6"/>
      <c r="DB475" s="6"/>
      <c r="DC475" s="6"/>
      <c r="DD475" s="6"/>
      <c r="DE475" s="6"/>
      <c r="DF475" s="6"/>
      <c r="DG475" s="6"/>
      <c r="DH475" s="6"/>
      <c r="DI475" s="6"/>
      <c r="DJ475" s="6"/>
    </row>
    <row r="476" spans="2:114" x14ac:dyDescent="0.2">
      <c r="B476" s="68"/>
      <c r="C476" s="69"/>
      <c r="D476" s="70"/>
      <c r="F476" s="68"/>
      <c r="G476" s="69"/>
      <c r="H476" s="70"/>
      <c r="J476" s="71"/>
      <c r="K476" s="71"/>
      <c r="L476" s="67"/>
      <c r="N476" s="71"/>
      <c r="O476" s="71"/>
      <c r="P476" s="67"/>
      <c r="R476" s="67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6"/>
      <c r="BY476" s="6"/>
      <c r="BZ476" s="6"/>
      <c r="CA476" s="6"/>
      <c r="CB476" s="6"/>
      <c r="CC476" s="6"/>
      <c r="CD476" s="6"/>
      <c r="CE476" s="6"/>
      <c r="CF476" s="6"/>
      <c r="CG476" s="6"/>
      <c r="CH476" s="6"/>
      <c r="CI476" s="6"/>
      <c r="CJ476" s="6"/>
      <c r="CK476" s="6"/>
      <c r="CL476" s="6"/>
      <c r="CM476" s="6"/>
      <c r="CN476" s="6"/>
      <c r="CO476" s="6"/>
      <c r="CP476" s="6"/>
      <c r="CQ476" s="6"/>
      <c r="CR476" s="6"/>
      <c r="CS476" s="6"/>
      <c r="CT476" s="6"/>
      <c r="CU476" s="6"/>
      <c r="CV476" s="6"/>
      <c r="CW476" s="6"/>
      <c r="CX476" s="6"/>
      <c r="CY476" s="6"/>
      <c r="CZ476" s="6"/>
      <c r="DA476" s="6"/>
      <c r="DB476" s="6"/>
      <c r="DC476" s="6"/>
      <c r="DD476" s="6"/>
      <c r="DE476" s="6"/>
      <c r="DF476" s="6"/>
      <c r="DG476" s="6"/>
      <c r="DH476" s="6"/>
      <c r="DI476" s="6"/>
      <c r="DJ476" s="6"/>
    </row>
    <row r="477" spans="2:114" x14ac:dyDescent="0.2">
      <c r="B477" s="68"/>
      <c r="C477" s="69"/>
      <c r="D477" s="70"/>
      <c r="F477" s="68"/>
      <c r="G477" s="69"/>
      <c r="H477" s="70"/>
      <c r="J477" s="71"/>
      <c r="K477" s="71"/>
      <c r="L477" s="67"/>
      <c r="N477" s="71"/>
      <c r="O477" s="71"/>
      <c r="P477" s="67"/>
      <c r="R477" s="67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6"/>
      <c r="BY477" s="6"/>
      <c r="BZ477" s="6"/>
      <c r="CA477" s="6"/>
      <c r="CB477" s="6"/>
      <c r="CC477" s="6"/>
      <c r="CD477" s="6"/>
      <c r="CE477" s="6"/>
      <c r="CF477" s="6"/>
      <c r="CG477" s="6"/>
      <c r="CH477" s="6"/>
      <c r="CI477" s="6"/>
      <c r="CJ477" s="6"/>
      <c r="CK477" s="6"/>
      <c r="CL477" s="6"/>
      <c r="CM477" s="6"/>
      <c r="CN477" s="6"/>
      <c r="CO477" s="6"/>
      <c r="CP477" s="6"/>
      <c r="CQ477" s="6"/>
      <c r="CR477" s="6"/>
      <c r="CS477" s="6"/>
      <c r="CT477" s="6"/>
      <c r="CU477" s="6"/>
      <c r="CV477" s="6"/>
      <c r="CW477" s="6"/>
      <c r="CX477" s="6"/>
      <c r="CY477" s="6"/>
      <c r="CZ477" s="6"/>
      <c r="DA477" s="6"/>
      <c r="DB477" s="6"/>
      <c r="DC477" s="6"/>
      <c r="DD477" s="6"/>
      <c r="DE477" s="6"/>
      <c r="DF477" s="6"/>
      <c r="DG477" s="6"/>
      <c r="DH477" s="6"/>
      <c r="DI477" s="6"/>
      <c r="DJ477" s="6"/>
    </row>
    <row r="478" spans="2:114" x14ac:dyDescent="0.2">
      <c r="B478" s="68"/>
      <c r="C478" s="69"/>
      <c r="D478" s="70"/>
      <c r="F478" s="68"/>
      <c r="G478" s="69"/>
      <c r="H478" s="70"/>
      <c r="J478" s="71"/>
      <c r="K478" s="71"/>
      <c r="L478" s="67"/>
      <c r="N478" s="71"/>
      <c r="O478" s="71"/>
      <c r="P478" s="67"/>
      <c r="R478" s="67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6"/>
      <c r="BY478" s="6"/>
      <c r="BZ478" s="6"/>
      <c r="CA478" s="6"/>
      <c r="CB478" s="6"/>
      <c r="CC478" s="6"/>
      <c r="CD478" s="6"/>
      <c r="CE478" s="6"/>
      <c r="CF478" s="6"/>
      <c r="CG478" s="6"/>
      <c r="CH478" s="6"/>
      <c r="CI478" s="6"/>
      <c r="CJ478" s="6"/>
      <c r="CK478" s="6"/>
      <c r="CL478" s="6"/>
      <c r="CM478" s="6"/>
      <c r="CN478" s="6"/>
      <c r="CO478" s="6"/>
      <c r="CP478" s="6"/>
      <c r="CQ478" s="6"/>
      <c r="CR478" s="6"/>
      <c r="CS478" s="6"/>
      <c r="CT478" s="6"/>
      <c r="CU478" s="6"/>
      <c r="CV478" s="6"/>
      <c r="CW478" s="6"/>
      <c r="CX478" s="6"/>
      <c r="CY478" s="6"/>
      <c r="CZ478" s="6"/>
      <c r="DA478" s="6"/>
      <c r="DB478" s="6"/>
      <c r="DC478" s="6"/>
      <c r="DD478" s="6"/>
      <c r="DE478" s="6"/>
      <c r="DF478" s="6"/>
      <c r="DG478" s="6"/>
      <c r="DH478" s="6"/>
      <c r="DI478" s="6"/>
      <c r="DJ478" s="6"/>
    </row>
    <row r="479" spans="2:114" x14ac:dyDescent="0.2">
      <c r="B479" s="68"/>
      <c r="C479" s="69"/>
      <c r="D479" s="70"/>
      <c r="F479" s="68"/>
      <c r="G479" s="69"/>
      <c r="H479" s="70"/>
      <c r="J479" s="71"/>
      <c r="K479" s="71"/>
      <c r="L479" s="67"/>
      <c r="N479" s="71"/>
      <c r="O479" s="71"/>
      <c r="P479" s="67"/>
      <c r="R479" s="67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6"/>
      <c r="BY479" s="6"/>
      <c r="BZ479" s="6"/>
      <c r="CA479" s="6"/>
      <c r="CB479" s="6"/>
      <c r="CC479" s="6"/>
      <c r="CD479" s="6"/>
      <c r="CE479" s="6"/>
      <c r="CF479" s="6"/>
      <c r="CG479" s="6"/>
      <c r="CH479" s="6"/>
      <c r="CI479" s="6"/>
      <c r="CJ479" s="6"/>
      <c r="CK479" s="6"/>
      <c r="CL479" s="6"/>
      <c r="CM479" s="6"/>
      <c r="CN479" s="6"/>
      <c r="CO479" s="6"/>
      <c r="CP479" s="6"/>
      <c r="CQ479" s="6"/>
      <c r="CR479" s="6"/>
      <c r="CS479" s="6"/>
      <c r="CT479" s="6"/>
      <c r="CU479" s="6"/>
      <c r="CV479" s="6"/>
      <c r="CW479" s="6"/>
      <c r="CX479" s="6"/>
      <c r="CY479" s="6"/>
      <c r="CZ479" s="6"/>
      <c r="DA479" s="6"/>
      <c r="DB479" s="6"/>
      <c r="DC479" s="6"/>
      <c r="DD479" s="6"/>
      <c r="DE479" s="6"/>
      <c r="DF479" s="6"/>
      <c r="DG479" s="6"/>
      <c r="DH479" s="6"/>
      <c r="DI479" s="6"/>
      <c r="DJ479" s="6"/>
    </row>
    <row r="480" spans="2:114" x14ac:dyDescent="0.2">
      <c r="B480" s="68"/>
      <c r="C480" s="69"/>
      <c r="D480" s="70"/>
      <c r="F480" s="68"/>
      <c r="G480" s="69"/>
      <c r="H480" s="70"/>
      <c r="J480" s="71"/>
      <c r="K480" s="71"/>
      <c r="L480" s="67"/>
      <c r="N480" s="71"/>
      <c r="O480" s="71"/>
      <c r="P480" s="67"/>
      <c r="R480" s="67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6"/>
      <c r="BY480" s="6"/>
      <c r="BZ480" s="6"/>
      <c r="CA480" s="6"/>
      <c r="CB480" s="6"/>
      <c r="CC480" s="6"/>
      <c r="CD480" s="6"/>
      <c r="CE480" s="6"/>
      <c r="CF480" s="6"/>
      <c r="CG480" s="6"/>
      <c r="CH480" s="6"/>
      <c r="CI480" s="6"/>
      <c r="CJ480" s="6"/>
      <c r="CK480" s="6"/>
      <c r="CL480" s="6"/>
      <c r="CM480" s="6"/>
      <c r="CN480" s="6"/>
      <c r="CO480" s="6"/>
      <c r="CP480" s="6"/>
      <c r="CQ480" s="6"/>
      <c r="CR480" s="6"/>
      <c r="CS480" s="6"/>
      <c r="CT480" s="6"/>
      <c r="CU480" s="6"/>
      <c r="CV480" s="6"/>
      <c r="CW480" s="6"/>
      <c r="CX480" s="6"/>
      <c r="CY480" s="6"/>
      <c r="CZ480" s="6"/>
      <c r="DA480" s="6"/>
      <c r="DB480" s="6"/>
      <c r="DC480" s="6"/>
      <c r="DD480" s="6"/>
      <c r="DE480" s="6"/>
      <c r="DF480" s="6"/>
      <c r="DG480" s="6"/>
      <c r="DH480" s="6"/>
      <c r="DI480" s="6"/>
      <c r="DJ480" s="6"/>
    </row>
    <row r="481" spans="2:114" x14ac:dyDescent="0.2">
      <c r="B481" s="68"/>
      <c r="C481" s="69"/>
      <c r="D481" s="70"/>
      <c r="F481" s="68"/>
      <c r="G481" s="69"/>
      <c r="H481" s="70"/>
      <c r="J481" s="71"/>
      <c r="K481" s="71"/>
      <c r="L481" s="67"/>
      <c r="N481" s="71"/>
      <c r="O481" s="71"/>
      <c r="P481" s="67"/>
      <c r="R481" s="67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6"/>
      <c r="BY481" s="6"/>
      <c r="BZ481" s="6"/>
      <c r="CA481" s="6"/>
      <c r="CB481" s="6"/>
      <c r="CC481" s="6"/>
      <c r="CD481" s="6"/>
      <c r="CE481" s="6"/>
      <c r="CF481" s="6"/>
      <c r="CG481" s="6"/>
      <c r="CH481" s="6"/>
      <c r="CI481" s="6"/>
      <c r="CJ481" s="6"/>
      <c r="CK481" s="6"/>
      <c r="CL481" s="6"/>
      <c r="CM481" s="6"/>
      <c r="CN481" s="6"/>
      <c r="CO481" s="6"/>
      <c r="CP481" s="6"/>
      <c r="CQ481" s="6"/>
      <c r="CR481" s="6"/>
      <c r="CS481" s="6"/>
      <c r="CT481" s="6"/>
      <c r="CU481" s="6"/>
      <c r="CV481" s="6"/>
      <c r="CW481" s="6"/>
      <c r="CX481" s="6"/>
      <c r="CY481" s="6"/>
      <c r="CZ481" s="6"/>
      <c r="DA481" s="6"/>
      <c r="DB481" s="6"/>
      <c r="DC481" s="6"/>
      <c r="DD481" s="6"/>
      <c r="DE481" s="6"/>
      <c r="DF481" s="6"/>
      <c r="DG481" s="6"/>
      <c r="DH481" s="6"/>
      <c r="DI481" s="6"/>
      <c r="DJ481" s="6"/>
    </row>
    <row r="482" spans="2:114" x14ac:dyDescent="0.2">
      <c r="B482" s="68"/>
      <c r="C482" s="69"/>
      <c r="D482" s="70"/>
      <c r="F482" s="68"/>
      <c r="G482" s="69"/>
      <c r="H482" s="70"/>
      <c r="J482" s="71"/>
      <c r="K482" s="71"/>
      <c r="L482" s="67"/>
      <c r="N482" s="71"/>
      <c r="O482" s="71"/>
      <c r="P482" s="67"/>
      <c r="R482" s="67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6"/>
      <c r="BY482" s="6"/>
      <c r="BZ482" s="6"/>
      <c r="CA482" s="6"/>
      <c r="CB482" s="6"/>
      <c r="CC482" s="6"/>
      <c r="CD482" s="6"/>
      <c r="CE482" s="6"/>
      <c r="CF482" s="6"/>
      <c r="CG482" s="6"/>
      <c r="CH482" s="6"/>
      <c r="CI482" s="6"/>
      <c r="CJ482" s="6"/>
      <c r="CK482" s="6"/>
      <c r="CL482" s="6"/>
      <c r="CM482" s="6"/>
      <c r="CN482" s="6"/>
      <c r="CO482" s="6"/>
      <c r="CP482" s="6"/>
      <c r="CQ482" s="6"/>
      <c r="CR482" s="6"/>
      <c r="CS482" s="6"/>
      <c r="CT482" s="6"/>
      <c r="CU482" s="6"/>
      <c r="CV482" s="6"/>
      <c r="CW482" s="6"/>
      <c r="CX482" s="6"/>
      <c r="CY482" s="6"/>
      <c r="CZ482" s="6"/>
      <c r="DA482" s="6"/>
      <c r="DB482" s="6"/>
      <c r="DC482" s="6"/>
      <c r="DD482" s="6"/>
      <c r="DE482" s="6"/>
      <c r="DF482" s="6"/>
      <c r="DG482" s="6"/>
      <c r="DH482" s="6"/>
      <c r="DI482" s="6"/>
      <c r="DJ482" s="6"/>
    </row>
    <row r="483" spans="2:114" x14ac:dyDescent="0.2">
      <c r="B483" s="68"/>
      <c r="C483" s="69"/>
      <c r="D483" s="70"/>
      <c r="F483" s="68"/>
      <c r="G483" s="69"/>
      <c r="H483" s="70"/>
      <c r="J483" s="71"/>
      <c r="K483" s="71"/>
      <c r="L483" s="67"/>
      <c r="N483" s="71"/>
      <c r="O483" s="71"/>
      <c r="P483" s="67"/>
      <c r="R483" s="67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6"/>
      <c r="BY483" s="6"/>
      <c r="BZ483" s="6"/>
      <c r="CA483" s="6"/>
      <c r="CB483" s="6"/>
      <c r="CC483" s="6"/>
      <c r="CD483" s="6"/>
      <c r="CE483" s="6"/>
      <c r="CF483" s="6"/>
      <c r="CG483" s="6"/>
      <c r="CH483" s="6"/>
      <c r="CI483" s="6"/>
      <c r="CJ483" s="6"/>
      <c r="CK483" s="6"/>
      <c r="CL483" s="6"/>
      <c r="CM483" s="6"/>
      <c r="CN483" s="6"/>
      <c r="CO483" s="6"/>
      <c r="CP483" s="6"/>
      <c r="CQ483" s="6"/>
      <c r="CR483" s="6"/>
      <c r="CS483" s="6"/>
      <c r="CT483" s="6"/>
      <c r="CU483" s="6"/>
      <c r="CV483" s="6"/>
      <c r="CW483" s="6"/>
      <c r="CX483" s="6"/>
      <c r="CY483" s="6"/>
      <c r="CZ483" s="6"/>
      <c r="DA483" s="6"/>
      <c r="DB483" s="6"/>
      <c r="DC483" s="6"/>
      <c r="DD483" s="6"/>
      <c r="DE483" s="6"/>
      <c r="DF483" s="6"/>
      <c r="DG483" s="6"/>
      <c r="DH483" s="6"/>
      <c r="DI483" s="6"/>
      <c r="DJ483" s="6"/>
    </row>
    <row r="484" spans="2:114" x14ac:dyDescent="0.2">
      <c r="B484" s="68"/>
      <c r="C484" s="69"/>
      <c r="D484" s="70"/>
      <c r="F484" s="68"/>
      <c r="G484" s="69"/>
      <c r="H484" s="70"/>
      <c r="J484" s="71"/>
      <c r="K484" s="71"/>
      <c r="L484" s="67"/>
      <c r="N484" s="71"/>
      <c r="O484" s="71"/>
      <c r="P484" s="67"/>
      <c r="R484" s="67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6"/>
      <c r="BY484" s="6"/>
      <c r="BZ484" s="6"/>
      <c r="CA484" s="6"/>
      <c r="CB484" s="6"/>
      <c r="CC484" s="6"/>
      <c r="CD484" s="6"/>
      <c r="CE484" s="6"/>
      <c r="CF484" s="6"/>
      <c r="CG484" s="6"/>
      <c r="CH484" s="6"/>
      <c r="CI484" s="6"/>
      <c r="CJ484" s="6"/>
      <c r="CK484" s="6"/>
      <c r="CL484" s="6"/>
      <c r="CM484" s="6"/>
      <c r="CN484" s="6"/>
      <c r="CO484" s="6"/>
      <c r="CP484" s="6"/>
      <c r="CQ484" s="6"/>
      <c r="CR484" s="6"/>
      <c r="CS484" s="6"/>
      <c r="CT484" s="6"/>
      <c r="CU484" s="6"/>
      <c r="CV484" s="6"/>
      <c r="CW484" s="6"/>
      <c r="CX484" s="6"/>
      <c r="CY484" s="6"/>
      <c r="CZ484" s="6"/>
      <c r="DA484" s="6"/>
      <c r="DB484" s="6"/>
      <c r="DC484" s="6"/>
      <c r="DD484" s="6"/>
      <c r="DE484" s="6"/>
      <c r="DF484" s="6"/>
      <c r="DG484" s="6"/>
      <c r="DH484" s="6"/>
      <c r="DI484" s="6"/>
      <c r="DJ484" s="6"/>
    </row>
    <row r="485" spans="2:114" x14ac:dyDescent="0.2">
      <c r="B485" s="68"/>
      <c r="C485" s="69"/>
      <c r="D485" s="70"/>
      <c r="F485" s="68"/>
      <c r="G485" s="69"/>
      <c r="H485" s="70"/>
      <c r="J485" s="71"/>
      <c r="K485" s="71"/>
      <c r="L485" s="67"/>
      <c r="N485" s="71"/>
      <c r="O485" s="71"/>
      <c r="P485" s="67"/>
      <c r="R485" s="67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6"/>
      <c r="BY485" s="6"/>
      <c r="BZ485" s="6"/>
      <c r="CA485" s="6"/>
      <c r="CB485" s="6"/>
      <c r="CC485" s="6"/>
      <c r="CD485" s="6"/>
      <c r="CE485" s="6"/>
      <c r="CF485" s="6"/>
      <c r="CG485" s="6"/>
      <c r="CH485" s="6"/>
      <c r="CI485" s="6"/>
      <c r="CJ485" s="6"/>
      <c r="CK485" s="6"/>
      <c r="CL485" s="6"/>
      <c r="CM485" s="6"/>
      <c r="CN485" s="6"/>
      <c r="CO485" s="6"/>
      <c r="CP485" s="6"/>
      <c r="CQ485" s="6"/>
      <c r="CR485" s="6"/>
      <c r="CS485" s="6"/>
      <c r="CT485" s="6"/>
      <c r="CU485" s="6"/>
      <c r="CV485" s="6"/>
      <c r="CW485" s="6"/>
      <c r="CX485" s="6"/>
      <c r="CY485" s="6"/>
      <c r="CZ485" s="6"/>
      <c r="DA485" s="6"/>
      <c r="DB485" s="6"/>
      <c r="DC485" s="6"/>
      <c r="DD485" s="6"/>
      <c r="DE485" s="6"/>
      <c r="DF485" s="6"/>
      <c r="DG485" s="6"/>
      <c r="DH485" s="6"/>
      <c r="DI485" s="6"/>
      <c r="DJ485" s="6"/>
    </row>
    <row r="486" spans="2:114" x14ac:dyDescent="0.2">
      <c r="B486" s="68"/>
      <c r="C486" s="69"/>
      <c r="D486" s="70"/>
      <c r="F486" s="68"/>
      <c r="G486" s="69"/>
      <c r="H486" s="70"/>
      <c r="J486" s="71"/>
      <c r="K486" s="71"/>
      <c r="L486" s="67"/>
      <c r="N486" s="71"/>
      <c r="O486" s="71"/>
      <c r="P486" s="67"/>
      <c r="R486" s="67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6"/>
      <c r="BY486" s="6"/>
      <c r="BZ486" s="6"/>
      <c r="CA486" s="6"/>
      <c r="CB486" s="6"/>
      <c r="CC486" s="6"/>
      <c r="CD486" s="6"/>
      <c r="CE486" s="6"/>
      <c r="CF486" s="6"/>
      <c r="CG486" s="6"/>
      <c r="CH486" s="6"/>
      <c r="CI486" s="6"/>
      <c r="CJ486" s="6"/>
      <c r="CK486" s="6"/>
      <c r="CL486" s="6"/>
      <c r="CM486" s="6"/>
      <c r="CN486" s="6"/>
      <c r="CO486" s="6"/>
      <c r="CP486" s="6"/>
      <c r="CQ486" s="6"/>
      <c r="CR486" s="6"/>
      <c r="CS486" s="6"/>
      <c r="CT486" s="6"/>
      <c r="CU486" s="6"/>
      <c r="CV486" s="6"/>
      <c r="CW486" s="6"/>
      <c r="CX486" s="6"/>
      <c r="CY486" s="6"/>
      <c r="CZ486" s="6"/>
      <c r="DA486" s="6"/>
      <c r="DB486" s="6"/>
      <c r="DC486" s="6"/>
      <c r="DD486" s="6"/>
      <c r="DE486" s="6"/>
      <c r="DF486" s="6"/>
      <c r="DG486" s="6"/>
      <c r="DH486" s="6"/>
      <c r="DI486" s="6"/>
      <c r="DJ486" s="6"/>
    </row>
    <row r="487" spans="2:114" x14ac:dyDescent="0.2">
      <c r="B487" s="68"/>
      <c r="C487" s="69"/>
      <c r="D487" s="70"/>
      <c r="F487" s="68"/>
      <c r="G487" s="69"/>
      <c r="H487" s="70"/>
      <c r="J487" s="71"/>
      <c r="K487" s="71"/>
      <c r="L487" s="67"/>
      <c r="N487" s="71"/>
      <c r="O487" s="71"/>
      <c r="P487" s="67"/>
      <c r="R487" s="67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6"/>
      <c r="BY487" s="6"/>
      <c r="BZ487" s="6"/>
      <c r="CA487" s="6"/>
      <c r="CB487" s="6"/>
      <c r="CC487" s="6"/>
      <c r="CD487" s="6"/>
      <c r="CE487" s="6"/>
      <c r="CF487" s="6"/>
      <c r="CG487" s="6"/>
      <c r="CH487" s="6"/>
      <c r="CI487" s="6"/>
      <c r="CJ487" s="6"/>
      <c r="CK487" s="6"/>
      <c r="CL487" s="6"/>
      <c r="CM487" s="6"/>
      <c r="CN487" s="6"/>
      <c r="CO487" s="6"/>
      <c r="CP487" s="6"/>
      <c r="CQ487" s="6"/>
      <c r="CR487" s="6"/>
      <c r="CS487" s="6"/>
      <c r="CT487" s="6"/>
      <c r="CU487" s="6"/>
      <c r="CV487" s="6"/>
      <c r="CW487" s="6"/>
      <c r="CX487" s="6"/>
      <c r="CY487" s="6"/>
      <c r="CZ487" s="6"/>
      <c r="DA487" s="6"/>
      <c r="DB487" s="6"/>
      <c r="DC487" s="6"/>
      <c r="DD487" s="6"/>
      <c r="DE487" s="6"/>
      <c r="DF487" s="6"/>
      <c r="DG487" s="6"/>
      <c r="DH487" s="6"/>
      <c r="DI487" s="6"/>
      <c r="DJ487" s="6"/>
    </row>
    <row r="488" spans="2:114" x14ac:dyDescent="0.2">
      <c r="B488" s="68"/>
      <c r="C488" s="69"/>
      <c r="D488" s="70"/>
      <c r="F488" s="68"/>
      <c r="G488" s="69"/>
      <c r="H488" s="70"/>
      <c r="J488" s="71"/>
      <c r="K488" s="71"/>
      <c r="L488" s="67"/>
      <c r="N488" s="71"/>
      <c r="O488" s="71"/>
      <c r="P488" s="67"/>
      <c r="R488" s="67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6"/>
      <c r="BY488" s="6"/>
      <c r="BZ488" s="6"/>
      <c r="CA488" s="6"/>
      <c r="CB488" s="6"/>
      <c r="CC488" s="6"/>
      <c r="CD488" s="6"/>
      <c r="CE488" s="6"/>
      <c r="CF488" s="6"/>
      <c r="CG488" s="6"/>
      <c r="CH488" s="6"/>
      <c r="CI488" s="6"/>
      <c r="CJ488" s="6"/>
      <c r="CK488" s="6"/>
      <c r="CL488" s="6"/>
      <c r="CM488" s="6"/>
      <c r="CN488" s="6"/>
      <c r="CO488" s="6"/>
      <c r="CP488" s="6"/>
      <c r="CQ488" s="6"/>
      <c r="CR488" s="6"/>
      <c r="CS488" s="6"/>
      <c r="CT488" s="6"/>
      <c r="CU488" s="6"/>
      <c r="CV488" s="6"/>
      <c r="CW488" s="6"/>
      <c r="CX488" s="6"/>
      <c r="CY488" s="6"/>
      <c r="CZ488" s="6"/>
      <c r="DA488" s="6"/>
      <c r="DB488" s="6"/>
      <c r="DC488" s="6"/>
      <c r="DD488" s="6"/>
      <c r="DE488" s="6"/>
      <c r="DF488" s="6"/>
      <c r="DG488" s="6"/>
      <c r="DH488" s="6"/>
      <c r="DI488" s="6"/>
      <c r="DJ488" s="6"/>
    </row>
    <row r="489" spans="2:114" x14ac:dyDescent="0.2">
      <c r="B489" s="68"/>
      <c r="C489" s="69"/>
      <c r="D489" s="70"/>
      <c r="F489" s="68"/>
      <c r="G489" s="69"/>
      <c r="H489" s="70"/>
      <c r="J489" s="71"/>
      <c r="K489" s="71"/>
      <c r="L489" s="67"/>
      <c r="N489" s="71"/>
      <c r="O489" s="71"/>
      <c r="P489" s="67"/>
      <c r="R489" s="67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6"/>
      <c r="BY489" s="6"/>
      <c r="BZ489" s="6"/>
      <c r="CA489" s="6"/>
      <c r="CB489" s="6"/>
      <c r="CC489" s="6"/>
      <c r="CD489" s="6"/>
      <c r="CE489" s="6"/>
      <c r="CF489" s="6"/>
      <c r="CG489" s="6"/>
      <c r="CH489" s="6"/>
      <c r="CI489" s="6"/>
      <c r="CJ489" s="6"/>
      <c r="CK489" s="6"/>
      <c r="CL489" s="6"/>
      <c r="CM489" s="6"/>
      <c r="CN489" s="6"/>
      <c r="CO489" s="6"/>
      <c r="CP489" s="6"/>
      <c r="CQ489" s="6"/>
      <c r="CR489" s="6"/>
      <c r="CS489" s="6"/>
      <c r="CT489" s="6"/>
      <c r="CU489" s="6"/>
      <c r="CV489" s="6"/>
      <c r="CW489" s="6"/>
      <c r="CX489" s="6"/>
      <c r="CY489" s="6"/>
      <c r="CZ489" s="6"/>
      <c r="DA489" s="6"/>
      <c r="DB489" s="6"/>
      <c r="DC489" s="6"/>
      <c r="DD489" s="6"/>
      <c r="DE489" s="6"/>
      <c r="DF489" s="6"/>
      <c r="DG489" s="6"/>
      <c r="DH489" s="6"/>
      <c r="DI489" s="6"/>
      <c r="DJ489" s="6"/>
    </row>
    <row r="490" spans="2:114" x14ac:dyDescent="0.2">
      <c r="B490" s="68"/>
      <c r="C490" s="69"/>
      <c r="D490" s="70"/>
      <c r="F490" s="68"/>
      <c r="G490" s="69"/>
      <c r="H490" s="70"/>
      <c r="J490" s="71"/>
      <c r="K490" s="71"/>
      <c r="L490" s="67"/>
      <c r="N490" s="71"/>
      <c r="O490" s="71"/>
      <c r="P490" s="67"/>
      <c r="R490" s="67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6"/>
      <c r="BY490" s="6"/>
      <c r="BZ490" s="6"/>
      <c r="CA490" s="6"/>
      <c r="CB490" s="6"/>
      <c r="CC490" s="6"/>
      <c r="CD490" s="6"/>
      <c r="CE490" s="6"/>
      <c r="CF490" s="6"/>
      <c r="CG490" s="6"/>
      <c r="CH490" s="6"/>
      <c r="CI490" s="6"/>
      <c r="CJ490" s="6"/>
      <c r="CK490" s="6"/>
      <c r="CL490" s="6"/>
      <c r="CM490" s="6"/>
      <c r="CN490" s="6"/>
      <c r="CO490" s="6"/>
      <c r="CP490" s="6"/>
      <c r="CQ490" s="6"/>
      <c r="CR490" s="6"/>
      <c r="CS490" s="6"/>
      <c r="CT490" s="6"/>
      <c r="CU490" s="6"/>
      <c r="CV490" s="6"/>
      <c r="CW490" s="6"/>
      <c r="CX490" s="6"/>
      <c r="CY490" s="6"/>
      <c r="CZ490" s="6"/>
      <c r="DA490" s="6"/>
      <c r="DB490" s="6"/>
      <c r="DC490" s="6"/>
      <c r="DD490" s="6"/>
      <c r="DE490" s="6"/>
      <c r="DF490" s="6"/>
      <c r="DG490" s="6"/>
      <c r="DH490" s="6"/>
      <c r="DI490" s="6"/>
      <c r="DJ490" s="6"/>
    </row>
    <row r="491" spans="2:114" x14ac:dyDescent="0.2">
      <c r="B491" s="68"/>
      <c r="C491" s="69"/>
      <c r="D491" s="70"/>
      <c r="F491" s="68"/>
      <c r="G491" s="69"/>
      <c r="H491" s="70"/>
      <c r="J491" s="71"/>
      <c r="K491" s="71"/>
      <c r="L491" s="67"/>
      <c r="N491" s="71"/>
      <c r="O491" s="71"/>
      <c r="P491" s="67"/>
      <c r="R491" s="67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6"/>
      <c r="BY491" s="6"/>
      <c r="BZ491" s="6"/>
      <c r="CA491" s="6"/>
      <c r="CB491" s="6"/>
      <c r="CC491" s="6"/>
      <c r="CD491" s="6"/>
      <c r="CE491" s="6"/>
      <c r="CF491" s="6"/>
      <c r="CG491" s="6"/>
      <c r="CH491" s="6"/>
      <c r="CI491" s="6"/>
      <c r="CJ491" s="6"/>
      <c r="CK491" s="6"/>
      <c r="CL491" s="6"/>
      <c r="CM491" s="6"/>
      <c r="CN491" s="6"/>
      <c r="CO491" s="6"/>
      <c r="CP491" s="6"/>
      <c r="CQ491" s="6"/>
      <c r="CR491" s="6"/>
      <c r="CS491" s="6"/>
      <c r="CT491" s="6"/>
      <c r="CU491" s="6"/>
      <c r="CV491" s="6"/>
      <c r="CW491" s="6"/>
      <c r="CX491" s="6"/>
      <c r="CY491" s="6"/>
      <c r="CZ491" s="6"/>
      <c r="DA491" s="6"/>
      <c r="DB491" s="6"/>
      <c r="DC491" s="6"/>
      <c r="DD491" s="6"/>
      <c r="DE491" s="6"/>
      <c r="DF491" s="6"/>
      <c r="DG491" s="6"/>
      <c r="DH491" s="6"/>
      <c r="DI491" s="6"/>
      <c r="DJ491" s="6"/>
    </row>
    <row r="492" spans="2:114" x14ac:dyDescent="0.2">
      <c r="B492" s="68"/>
      <c r="C492" s="69"/>
      <c r="D492" s="70"/>
      <c r="F492" s="68"/>
      <c r="G492" s="69"/>
      <c r="H492" s="70"/>
      <c r="J492" s="71"/>
      <c r="K492" s="71"/>
      <c r="L492" s="67"/>
      <c r="N492" s="71"/>
      <c r="O492" s="71"/>
      <c r="P492" s="67"/>
      <c r="R492" s="67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6"/>
      <c r="BY492" s="6"/>
      <c r="BZ492" s="6"/>
      <c r="CA492" s="6"/>
      <c r="CB492" s="6"/>
      <c r="CC492" s="6"/>
      <c r="CD492" s="6"/>
      <c r="CE492" s="6"/>
      <c r="CF492" s="6"/>
      <c r="CG492" s="6"/>
      <c r="CH492" s="6"/>
      <c r="CI492" s="6"/>
      <c r="CJ492" s="6"/>
      <c r="CK492" s="6"/>
      <c r="CL492" s="6"/>
      <c r="CM492" s="6"/>
      <c r="CN492" s="6"/>
      <c r="CO492" s="6"/>
      <c r="CP492" s="6"/>
      <c r="CQ492" s="6"/>
      <c r="CR492" s="6"/>
      <c r="CS492" s="6"/>
      <c r="CT492" s="6"/>
      <c r="CU492" s="6"/>
      <c r="CV492" s="6"/>
      <c r="CW492" s="6"/>
      <c r="CX492" s="6"/>
      <c r="CY492" s="6"/>
      <c r="CZ492" s="6"/>
      <c r="DA492" s="6"/>
      <c r="DB492" s="6"/>
      <c r="DC492" s="6"/>
      <c r="DD492" s="6"/>
      <c r="DE492" s="6"/>
      <c r="DF492" s="6"/>
      <c r="DG492" s="6"/>
      <c r="DH492" s="6"/>
      <c r="DI492" s="6"/>
      <c r="DJ492" s="6"/>
    </row>
    <row r="493" spans="2:114" x14ac:dyDescent="0.2">
      <c r="B493" s="68"/>
      <c r="C493" s="69"/>
      <c r="D493" s="70"/>
      <c r="F493" s="68"/>
      <c r="G493" s="69"/>
      <c r="H493" s="70"/>
      <c r="J493" s="71"/>
      <c r="K493" s="71"/>
      <c r="L493" s="67"/>
      <c r="N493" s="71"/>
      <c r="O493" s="71"/>
      <c r="P493" s="67"/>
      <c r="R493" s="67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6"/>
      <c r="BY493" s="6"/>
      <c r="BZ493" s="6"/>
      <c r="CA493" s="6"/>
      <c r="CB493" s="6"/>
      <c r="CC493" s="6"/>
      <c r="CD493" s="6"/>
      <c r="CE493" s="6"/>
      <c r="CF493" s="6"/>
      <c r="CG493" s="6"/>
      <c r="CH493" s="6"/>
      <c r="CI493" s="6"/>
      <c r="CJ493" s="6"/>
      <c r="CK493" s="6"/>
      <c r="CL493" s="6"/>
      <c r="CM493" s="6"/>
      <c r="CN493" s="6"/>
      <c r="CO493" s="6"/>
      <c r="CP493" s="6"/>
      <c r="CQ493" s="6"/>
      <c r="CR493" s="6"/>
      <c r="CS493" s="6"/>
      <c r="CT493" s="6"/>
      <c r="CU493" s="6"/>
      <c r="CV493" s="6"/>
      <c r="CW493" s="6"/>
      <c r="CX493" s="6"/>
      <c r="CY493" s="6"/>
      <c r="CZ493" s="6"/>
      <c r="DA493" s="6"/>
      <c r="DB493" s="6"/>
      <c r="DC493" s="6"/>
      <c r="DD493" s="6"/>
      <c r="DE493" s="6"/>
      <c r="DF493" s="6"/>
      <c r="DG493" s="6"/>
      <c r="DH493" s="6"/>
      <c r="DI493" s="6"/>
      <c r="DJ493" s="6"/>
    </row>
    <row r="494" spans="2:114" x14ac:dyDescent="0.2">
      <c r="B494" s="68"/>
      <c r="C494" s="69"/>
      <c r="D494" s="70"/>
      <c r="F494" s="68"/>
      <c r="G494" s="69"/>
      <c r="H494" s="70"/>
      <c r="J494" s="71"/>
      <c r="K494" s="71"/>
      <c r="L494" s="67"/>
      <c r="N494" s="71"/>
      <c r="O494" s="71"/>
      <c r="P494" s="67"/>
      <c r="R494" s="67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6"/>
      <c r="BY494" s="6"/>
      <c r="BZ494" s="6"/>
      <c r="CA494" s="6"/>
      <c r="CB494" s="6"/>
      <c r="CC494" s="6"/>
      <c r="CD494" s="6"/>
      <c r="CE494" s="6"/>
      <c r="CF494" s="6"/>
      <c r="CG494" s="6"/>
      <c r="CH494" s="6"/>
      <c r="CI494" s="6"/>
      <c r="CJ494" s="6"/>
      <c r="CK494" s="6"/>
      <c r="CL494" s="6"/>
      <c r="CM494" s="6"/>
      <c r="CN494" s="6"/>
      <c r="CO494" s="6"/>
      <c r="CP494" s="6"/>
      <c r="CQ494" s="6"/>
      <c r="CR494" s="6"/>
      <c r="CS494" s="6"/>
      <c r="CT494" s="6"/>
      <c r="CU494" s="6"/>
      <c r="CV494" s="6"/>
      <c r="CW494" s="6"/>
      <c r="CX494" s="6"/>
      <c r="CY494" s="6"/>
      <c r="CZ494" s="6"/>
      <c r="DA494" s="6"/>
      <c r="DB494" s="6"/>
      <c r="DC494" s="6"/>
      <c r="DD494" s="6"/>
      <c r="DE494" s="6"/>
      <c r="DF494" s="6"/>
      <c r="DG494" s="6"/>
      <c r="DH494" s="6"/>
      <c r="DI494" s="6"/>
      <c r="DJ494" s="6"/>
    </row>
    <row r="495" spans="2:114" x14ac:dyDescent="0.2">
      <c r="B495" s="68"/>
      <c r="C495" s="69"/>
      <c r="D495" s="70"/>
      <c r="F495" s="68"/>
      <c r="G495" s="69"/>
      <c r="H495" s="70"/>
      <c r="J495" s="71"/>
      <c r="K495" s="71"/>
      <c r="L495" s="67"/>
      <c r="N495" s="71"/>
      <c r="O495" s="71"/>
      <c r="P495" s="67"/>
      <c r="R495" s="67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6"/>
      <c r="BY495" s="6"/>
      <c r="BZ495" s="6"/>
      <c r="CA495" s="6"/>
      <c r="CB495" s="6"/>
      <c r="CC495" s="6"/>
      <c r="CD495" s="6"/>
      <c r="CE495" s="6"/>
      <c r="CF495" s="6"/>
      <c r="CG495" s="6"/>
      <c r="CH495" s="6"/>
      <c r="CI495" s="6"/>
      <c r="CJ495" s="6"/>
      <c r="CK495" s="6"/>
      <c r="CL495" s="6"/>
      <c r="CM495" s="6"/>
      <c r="CN495" s="6"/>
      <c r="CO495" s="6"/>
      <c r="CP495" s="6"/>
      <c r="CQ495" s="6"/>
      <c r="CR495" s="6"/>
      <c r="CS495" s="6"/>
      <c r="CT495" s="6"/>
      <c r="CU495" s="6"/>
      <c r="CV495" s="6"/>
      <c r="CW495" s="6"/>
      <c r="CX495" s="6"/>
      <c r="CY495" s="6"/>
      <c r="CZ495" s="6"/>
      <c r="DA495" s="6"/>
      <c r="DB495" s="6"/>
      <c r="DC495" s="6"/>
      <c r="DD495" s="6"/>
      <c r="DE495" s="6"/>
      <c r="DF495" s="6"/>
      <c r="DG495" s="6"/>
      <c r="DH495" s="6"/>
      <c r="DI495" s="6"/>
      <c r="DJ495" s="6"/>
    </row>
    <row r="496" spans="2:114" x14ac:dyDescent="0.2">
      <c r="B496" s="68"/>
      <c r="C496" s="69"/>
      <c r="D496" s="70"/>
      <c r="F496" s="68"/>
      <c r="G496" s="69"/>
      <c r="H496" s="70"/>
      <c r="J496" s="71"/>
      <c r="K496" s="71"/>
      <c r="L496" s="67"/>
      <c r="N496" s="71"/>
      <c r="O496" s="71"/>
      <c r="P496" s="67"/>
      <c r="R496" s="67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6"/>
      <c r="BY496" s="6"/>
      <c r="BZ496" s="6"/>
      <c r="CA496" s="6"/>
      <c r="CB496" s="6"/>
      <c r="CC496" s="6"/>
      <c r="CD496" s="6"/>
      <c r="CE496" s="6"/>
      <c r="CF496" s="6"/>
      <c r="CG496" s="6"/>
      <c r="CH496" s="6"/>
      <c r="CI496" s="6"/>
      <c r="CJ496" s="6"/>
      <c r="CK496" s="6"/>
      <c r="CL496" s="6"/>
      <c r="CM496" s="6"/>
      <c r="CN496" s="6"/>
      <c r="CO496" s="6"/>
      <c r="CP496" s="6"/>
      <c r="CQ496" s="6"/>
      <c r="CR496" s="6"/>
      <c r="CS496" s="6"/>
      <c r="CT496" s="6"/>
      <c r="CU496" s="6"/>
      <c r="CV496" s="6"/>
      <c r="CW496" s="6"/>
      <c r="CX496" s="6"/>
      <c r="CY496" s="6"/>
      <c r="CZ496" s="6"/>
      <c r="DA496" s="6"/>
      <c r="DB496" s="6"/>
      <c r="DC496" s="6"/>
      <c r="DD496" s="6"/>
      <c r="DE496" s="6"/>
      <c r="DF496" s="6"/>
      <c r="DG496" s="6"/>
      <c r="DH496" s="6"/>
      <c r="DI496" s="6"/>
      <c r="DJ496" s="6"/>
    </row>
    <row r="497" spans="2:114" x14ac:dyDescent="0.2">
      <c r="B497" s="68"/>
      <c r="C497" s="69"/>
      <c r="D497" s="70"/>
      <c r="F497" s="68"/>
      <c r="G497" s="69"/>
      <c r="H497" s="70"/>
      <c r="J497" s="71"/>
      <c r="K497" s="71"/>
      <c r="L497" s="67"/>
      <c r="N497" s="71"/>
      <c r="O497" s="71"/>
      <c r="P497" s="67"/>
      <c r="R497" s="67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6"/>
      <c r="BY497" s="6"/>
      <c r="BZ497" s="6"/>
      <c r="CA497" s="6"/>
      <c r="CB497" s="6"/>
      <c r="CC497" s="6"/>
      <c r="CD497" s="6"/>
      <c r="CE497" s="6"/>
      <c r="CF497" s="6"/>
      <c r="CG497" s="6"/>
      <c r="CH497" s="6"/>
      <c r="CI497" s="6"/>
      <c r="CJ497" s="6"/>
      <c r="CK497" s="6"/>
      <c r="CL497" s="6"/>
      <c r="CM497" s="6"/>
      <c r="CN497" s="6"/>
      <c r="CO497" s="6"/>
      <c r="CP497" s="6"/>
      <c r="CQ497" s="6"/>
      <c r="CR497" s="6"/>
      <c r="CS497" s="6"/>
      <c r="CT497" s="6"/>
      <c r="CU497" s="6"/>
      <c r="CV497" s="6"/>
      <c r="CW497" s="6"/>
      <c r="CX497" s="6"/>
      <c r="CY497" s="6"/>
      <c r="CZ497" s="6"/>
      <c r="DA497" s="6"/>
      <c r="DB497" s="6"/>
      <c r="DC497" s="6"/>
      <c r="DD497" s="6"/>
      <c r="DE497" s="6"/>
      <c r="DF497" s="6"/>
      <c r="DG497" s="6"/>
      <c r="DH497" s="6"/>
      <c r="DI497" s="6"/>
      <c r="DJ497" s="6"/>
    </row>
    <row r="498" spans="2:114" x14ac:dyDescent="0.2">
      <c r="B498" s="68"/>
      <c r="C498" s="69"/>
      <c r="D498" s="70"/>
      <c r="F498" s="68"/>
      <c r="G498" s="69"/>
      <c r="H498" s="70"/>
      <c r="J498" s="71"/>
      <c r="K498" s="71"/>
      <c r="L498" s="67"/>
      <c r="N498" s="71"/>
      <c r="O498" s="71"/>
      <c r="P498" s="67"/>
      <c r="R498" s="67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6"/>
      <c r="BY498" s="6"/>
      <c r="BZ498" s="6"/>
      <c r="CA498" s="6"/>
      <c r="CB498" s="6"/>
      <c r="CC498" s="6"/>
      <c r="CD498" s="6"/>
      <c r="CE498" s="6"/>
      <c r="CF498" s="6"/>
      <c r="CG498" s="6"/>
      <c r="CH498" s="6"/>
      <c r="CI498" s="6"/>
      <c r="CJ498" s="6"/>
      <c r="CK498" s="6"/>
      <c r="CL498" s="6"/>
      <c r="CM498" s="6"/>
      <c r="CN498" s="6"/>
      <c r="CO498" s="6"/>
      <c r="CP498" s="6"/>
      <c r="CQ498" s="6"/>
      <c r="CR498" s="6"/>
      <c r="CS498" s="6"/>
      <c r="CT498" s="6"/>
      <c r="CU498" s="6"/>
      <c r="CV498" s="6"/>
      <c r="CW498" s="6"/>
      <c r="CX498" s="6"/>
      <c r="CY498" s="6"/>
      <c r="CZ498" s="6"/>
      <c r="DA498" s="6"/>
      <c r="DB498" s="6"/>
      <c r="DC498" s="6"/>
      <c r="DD498" s="6"/>
      <c r="DE498" s="6"/>
      <c r="DF498" s="6"/>
      <c r="DG498" s="6"/>
      <c r="DH498" s="6"/>
      <c r="DI498" s="6"/>
      <c r="DJ498" s="6"/>
    </row>
    <row r="499" spans="2:114" x14ac:dyDescent="0.2">
      <c r="B499" s="68"/>
      <c r="C499" s="69"/>
      <c r="D499" s="70"/>
      <c r="F499" s="68"/>
      <c r="G499" s="69"/>
      <c r="H499" s="70"/>
      <c r="J499" s="71"/>
      <c r="K499" s="71"/>
      <c r="L499" s="67"/>
      <c r="N499" s="71"/>
      <c r="O499" s="71"/>
      <c r="P499" s="67"/>
      <c r="R499" s="67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6"/>
      <c r="BY499" s="6"/>
      <c r="BZ499" s="6"/>
      <c r="CA499" s="6"/>
      <c r="CB499" s="6"/>
      <c r="CC499" s="6"/>
      <c r="CD499" s="6"/>
      <c r="CE499" s="6"/>
      <c r="CF499" s="6"/>
      <c r="CG499" s="6"/>
      <c r="CH499" s="6"/>
      <c r="CI499" s="6"/>
      <c r="CJ499" s="6"/>
      <c r="CK499" s="6"/>
      <c r="CL499" s="6"/>
      <c r="CM499" s="6"/>
      <c r="CN499" s="6"/>
      <c r="CO499" s="6"/>
      <c r="CP499" s="6"/>
      <c r="CQ499" s="6"/>
      <c r="CR499" s="6"/>
      <c r="CS499" s="6"/>
      <c r="CT499" s="6"/>
      <c r="CU499" s="6"/>
      <c r="CV499" s="6"/>
      <c r="CW499" s="6"/>
      <c r="CX499" s="6"/>
      <c r="CY499" s="6"/>
      <c r="CZ499" s="6"/>
      <c r="DA499" s="6"/>
      <c r="DB499" s="6"/>
      <c r="DC499" s="6"/>
      <c r="DD499" s="6"/>
      <c r="DE499" s="6"/>
      <c r="DF499" s="6"/>
      <c r="DG499" s="6"/>
      <c r="DH499" s="6"/>
      <c r="DI499" s="6"/>
      <c r="DJ499" s="6"/>
    </row>
    <row r="500" spans="2:114" x14ac:dyDescent="0.2">
      <c r="B500" s="68"/>
      <c r="C500" s="69"/>
      <c r="D500" s="70"/>
      <c r="F500" s="68"/>
      <c r="G500" s="69"/>
      <c r="H500" s="70"/>
      <c r="J500" s="71"/>
      <c r="K500" s="71"/>
      <c r="L500" s="67"/>
      <c r="N500" s="71"/>
      <c r="O500" s="71"/>
      <c r="P500" s="67"/>
      <c r="R500" s="67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6"/>
      <c r="BY500" s="6"/>
      <c r="BZ500" s="6"/>
      <c r="CA500" s="6"/>
      <c r="CB500" s="6"/>
      <c r="CC500" s="6"/>
      <c r="CD500" s="6"/>
      <c r="CE500" s="6"/>
      <c r="CF500" s="6"/>
      <c r="CG500" s="6"/>
      <c r="CH500" s="6"/>
      <c r="CI500" s="6"/>
      <c r="CJ500" s="6"/>
      <c r="CK500" s="6"/>
      <c r="CL500" s="6"/>
      <c r="CM500" s="6"/>
      <c r="CN500" s="6"/>
      <c r="CO500" s="6"/>
      <c r="CP500" s="6"/>
      <c r="CQ500" s="6"/>
      <c r="CR500" s="6"/>
      <c r="CS500" s="6"/>
      <c r="CT500" s="6"/>
      <c r="CU500" s="6"/>
      <c r="CV500" s="6"/>
      <c r="CW500" s="6"/>
      <c r="CX500" s="6"/>
      <c r="CY500" s="6"/>
      <c r="CZ500" s="6"/>
      <c r="DA500" s="6"/>
      <c r="DB500" s="6"/>
      <c r="DC500" s="6"/>
      <c r="DD500" s="6"/>
      <c r="DE500" s="6"/>
      <c r="DF500" s="6"/>
      <c r="DG500" s="6"/>
      <c r="DH500" s="6"/>
      <c r="DI500" s="6"/>
      <c r="DJ500" s="6"/>
    </row>
    <row r="501" spans="2:114" x14ac:dyDescent="0.2">
      <c r="B501" s="68"/>
      <c r="C501" s="69"/>
      <c r="D501" s="70"/>
      <c r="F501" s="68"/>
      <c r="G501" s="69"/>
      <c r="H501" s="70"/>
      <c r="J501" s="71"/>
      <c r="K501" s="71"/>
      <c r="L501" s="67"/>
      <c r="N501" s="71"/>
      <c r="O501" s="71"/>
      <c r="P501" s="67"/>
      <c r="R501" s="67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6"/>
      <c r="BY501" s="6"/>
      <c r="BZ501" s="6"/>
      <c r="CA501" s="6"/>
      <c r="CB501" s="6"/>
      <c r="CC501" s="6"/>
      <c r="CD501" s="6"/>
      <c r="CE501" s="6"/>
      <c r="CF501" s="6"/>
      <c r="CG501" s="6"/>
      <c r="CH501" s="6"/>
      <c r="CI501" s="6"/>
      <c r="CJ501" s="6"/>
      <c r="CK501" s="6"/>
      <c r="CL501" s="6"/>
      <c r="CM501" s="6"/>
      <c r="CN501" s="6"/>
      <c r="CO501" s="6"/>
      <c r="CP501" s="6"/>
      <c r="CQ501" s="6"/>
      <c r="CR501" s="6"/>
      <c r="CS501" s="6"/>
      <c r="CT501" s="6"/>
      <c r="CU501" s="6"/>
      <c r="CV501" s="6"/>
      <c r="CW501" s="6"/>
      <c r="CX501" s="6"/>
      <c r="CY501" s="6"/>
      <c r="CZ501" s="6"/>
      <c r="DA501" s="6"/>
      <c r="DB501" s="6"/>
      <c r="DC501" s="6"/>
      <c r="DD501" s="6"/>
      <c r="DE501" s="6"/>
      <c r="DF501" s="6"/>
      <c r="DG501" s="6"/>
      <c r="DH501" s="6"/>
      <c r="DI501" s="6"/>
      <c r="DJ501" s="6"/>
    </row>
    <row r="502" spans="2:114" x14ac:dyDescent="0.2">
      <c r="B502" s="68"/>
      <c r="C502" s="69"/>
      <c r="D502" s="70"/>
      <c r="F502" s="68"/>
      <c r="G502" s="69"/>
      <c r="H502" s="70"/>
      <c r="J502" s="71"/>
      <c r="K502" s="71"/>
      <c r="L502" s="67"/>
      <c r="N502" s="71"/>
      <c r="O502" s="71"/>
      <c r="P502" s="67"/>
      <c r="R502" s="67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6"/>
      <c r="BY502" s="6"/>
      <c r="BZ502" s="6"/>
      <c r="CA502" s="6"/>
      <c r="CB502" s="6"/>
      <c r="CC502" s="6"/>
      <c r="CD502" s="6"/>
      <c r="CE502" s="6"/>
      <c r="CF502" s="6"/>
      <c r="CG502" s="6"/>
      <c r="CH502" s="6"/>
      <c r="CI502" s="6"/>
      <c r="CJ502" s="6"/>
      <c r="CK502" s="6"/>
      <c r="CL502" s="6"/>
      <c r="CM502" s="6"/>
      <c r="CN502" s="6"/>
      <c r="CO502" s="6"/>
      <c r="CP502" s="6"/>
      <c r="CQ502" s="6"/>
      <c r="CR502" s="6"/>
      <c r="CS502" s="6"/>
      <c r="CT502" s="6"/>
      <c r="CU502" s="6"/>
      <c r="CV502" s="6"/>
      <c r="CW502" s="6"/>
      <c r="CX502" s="6"/>
      <c r="CY502" s="6"/>
      <c r="CZ502" s="6"/>
      <c r="DA502" s="6"/>
      <c r="DB502" s="6"/>
      <c r="DC502" s="6"/>
      <c r="DD502" s="6"/>
      <c r="DE502" s="6"/>
      <c r="DF502" s="6"/>
      <c r="DG502" s="6"/>
      <c r="DH502" s="6"/>
      <c r="DI502" s="6"/>
      <c r="DJ502" s="6"/>
    </row>
    <row r="503" spans="2:114" x14ac:dyDescent="0.2">
      <c r="B503" s="68"/>
      <c r="C503" s="69"/>
      <c r="D503" s="70"/>
      <c r="F503" s="68"/>
      <c r="G503" s="69"/>
      <c r="H503" s="70"/>
      <c r="J503" s="71"/>
      <c r="K503" s="71"/>
      <c r="L503" s="67"/>
      <c r="N503" s="71"/>
      <c r="O503" s="71"/>
      <c r="P503" s="67"/>
      <c r="R503" s="67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6"/>
      <c r="BY503" s="6"/>
      <c r="BZ503" s="6"/>
      <c r="CA503" s="6"/>
      <c r="CB503" s="6"/>
      <c r="CC503" s="6"/>
      <c r="CD503" s="6"/>
      <c r="CE503" s="6"/>
      <c r="CF503" s="6"/>
      <c r="CG503" s="6"/>
      <c r="CH503" s="6"/>
      <c r="CI503" s="6"/>
      <c r="CJ503" s="6"/>
      <c r="CK503" s="6"/>
      <c r="CL503" s="6"/>
      <c r="CM503" s="6"/>
      <c r="CN503" s="6"/>
      <c r="CO503" s="6"/>
      <c r="CP503" s="6"/>
      <c r="CQ503" s="6"/>
      <c r="CR503" s="6"/>
      <c r="CS503" s="6"/>
      <c r="CT503" s="6"/>
      <c r="CU503" s="6"/>
      <c r="CV503" s="6"/>
      <c r="CW503" s="6"/>
      <c r="CX503" s="6"/>
      <c r="CY503" s="6"/>
      <c r="CZ503" s="6"/>
      <c r="DA503" s="6"/>
      <c r="DB503" s="6"/>
      <c r="DC503" s="6"/>
      <c r="DD503" s="6"/>
      <c r="DE503" s="6"/>
      <c r="DF503" s="6"/>
      <c r="DG503" s="6"/>
      <c r="DH503" s="6"/>
      <c r="DI503" s="6"/>
      <c r="DJ503" s="6"/>
    </row>
    <row r="504" spans="2:114" x14ac:dyDescent="0.2">
      <c r="B504" s="68"/>
      <c r="C504" s="69"/>
      <c r="D504" s="70"/>
      <c r="F504" s="68"/>
      <c r="G504" s="69"/>
      <c r="H504" s="70"/>
      <c r="J504" s="71"/>
      <c r="K504" s="71"/>
      <c r="L504" s="67"/>
      <c r="N504" s="71"/>
      <c r="O504" s="71"/>
      <c r="P504" s="67"/>
      <c r="R504" s="67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6"/>
      <c r="BY504" s="6"/>
      <c r="BZ504" s="6"/>
      <c r="CA504" s="6"/>
      <c r="CB504" s="6"/>
      <c r="CC504" s="6"/>
      <c r="CD504" s="6"/>
      <c r="CE504" s="6"/>
      <c r="CF504" s="6"/>
      <c r="CG504" s="6"/>
      <c r="CH504" s="6"/>
      <c r="CI504" s="6"/>
      <c r="CJ504" s="6"/>
      <c r="CK504" s="6"/>
      <c r="CL504" s="6"/>
      <c r="CM504" s="6"/>
      <c r="CN504" s="6"/>
      <c r="CO504" s="6"/>
      <c r="CP504" s="6"/>
      <c r="CQ504" s="6"/>
      <c r="CR504" s="6"/>
      <c r="CS504" s="6"/>
      <c r="CT504" s="6"/>
      <c r="CU504" s="6"/>
      <c r="CV504" s="6"/>
      <c r="CW504" s="6"/>
      <c r="CX504" s="6"/>
      <c r="CY504" s="6"/>
      <c r="CZ504" s="6"/>
      <c r="DA504" s="6"/>
      <c r="DB504" s="6"/>
      <c r="DC504" s="6"/>
      <c r="DD504" s="6"/>
      <c r="DE504" s="6"/>
      <c r="DF504" s="6"/>
      <c r="DG504" s="6"/>
      <c r="DH504" s="6"/>
      <c r="DI504" s="6"/>
      <c r="DJ504" s="6"/>
    </row>
    <row r="505" spans="2:114" x14ac:dyDescent="0.2">
      <c r="B505" s="68"/>
      <c r="C505" s="69"/>
      <c r="D505" s="70"/>
      <c r="F505" s="68"/>
      <c r="G505" s="69"/>
      <c r="H505" s="70"/>
      <c r="J505" s="71"/>
      <c r="K505" s="71"/>
      <c r="L505" s="67"/>
      <c r="N505" s="71"/>
      <c r="O505" s="71"/>
      <c r="P505" s="67"/>
      <c r="R505" s="67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6"/>
      <c r="BY505" s="6"/>
      <c r="BZ505" s="6"/>
      <c r="CA505" s="6"/>
      <c r="CB505" s="6"/>
      <c r="CC505" s="6"/>
      <c r="CD505" s="6"/>
      <c r="CE505" s="6"/>
      <c r="CF505" s="6"/>
      <c r="CG505" s="6"/>
      <c r="CH505" s="6"/>
      <c r="CI505" s="6"/>
      <c r="CJ505" s="6"/>
      <c r="CK505" s="6"/>
      <c r="CL505" s="6"/>
      <c r="CM505" s="6"/>
      <c r="CN505" s="6"/>
      <c r="CO505" s="6"/>
      <c r="CP505" s="6"/>
      <c r="CQ505" s="6"/>
      <c r="CR505" s="6"/>
      <c r="CS505" s="6"/>
      <c r="CT505" s="6"/>
      <c r="CU505" s="6"/>
      <c r="CV505" s="6"/>
      <c r="CW505" s="6"/>
      <c r="CX505" s="6"/>
      <c r="CY505" s="6"/>
      <c r="CZ505" s="6"/>
      <c r="DA505" s="6"/>
      <c r="DB505" s="6"/>
      <c r="DC505" s="6"/>
      <c r="DD505" s="6"/>
      <c r="DE505" s="6"/>
      <c r="DF505" s="6"/>
      <c r="DG505" s="6"/>
      <c r="DH505" s="6"/>
      <c r="DI505" s="6"/>
      <c r="DJ505" s="6"/>
    </row>
    <row r="506" spans="2:114" x14ac:dyDescent="0.2">
      <c r="B506" s="68"/>
      <c r="C506" s="69"/>
      <c r="D506" s="70"/>
      <c r="F506" s="68"/>
      <c r="G506" s="69"/>
      <c r="H506" s="70"/>
      <c r="J506" s="71"/>
      <c r="K506" s="71"/>
      <c r="L506" s="67"/>
      <c r="N506" s="71"/>
      <c r="O506" s="71"/>
      <c r="P506" s="67"/>
      <c r="R506" s="67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6"/>
      <c r="BY506" s="6"/>
      <c r="BZ506" s="6"/>
      <c r="CA506" s="6"/>
      <c r="CB506" s="6"/>
      <c r="CC506" s="6"/>
      <c r="CD506" s="6"/>
      <c r="CE506" s="6"/>
      <c r="CF506" s="6"/>
      <c r="CG506" s="6"/>
      <c r="CH506" s="6"/>
      <c r="CI506" s="6"/>
      <c r="CJ506" s="6"/>
      <c r="CK506" s="6"/>
      <c r="CL506" s="6"/>
      <c r="CM506" s="6"/>
      <c r="CN506" s="6"/>
      <c r="CO506" s="6"/>
      <c r="CP506" s="6"/>
      <c r="CQ506" s="6"/>
      <c r="CR506" s="6"/>
      <c r="CS506" s="6"/>
      <c r="CT506" s="6"/>
      <c r="CU506" s="6"/>
      <c r="CV506" s="6"/>
      <c r="CW506" s="6"/>
      <c r="CX506" s="6"/>
      <c r="CY506" s="6"/>
      <c r="CZ506" s="6"/>
      <c r="DA506" s="6"/>
      <c r="DB506" s="6"/>
      <c r="DC506" s="6"/>
      <c r="DD506" s="6"/>
      <c r="DE506" s="6"/>
      <c r="DF506" s="6"/>
      <c r="DG506" s="6"/>
      <c r="DH506" s="6"/>
      <c r="DI506" s="6"/>
      <c r="DJ506" s="6"/>
    </row>
    <row r="507" spans="2:114" x14ac:dyDescent="0.2">
      <c r="B507" s="68"/>
      <c r="C507" s="69"/>
      <c r="D507" s="70"/>
      <c r="F507" s="68"/>
      <c r="G507" s="69"/>
      <c r="H507" s="70"/>
      <c r="J507" s="71"/>
      <c r="K507" s="71"/>
      <c r="L507" s="67"/>
      <c r="N507" s="71"/>
      <c r="O507" s="71"/>
      <c r="P507" s="67"/>
      <c r="R507" s="67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6"/>
      <c r="BY507" s="6"/>
      <c r="BZ507" s="6"/>
      <c r="CA507" s="6"/>
      <c r="CB507" s="6"/>
      <c r="CC507" s="6"/>
      <c r="CD507" s="6"/>
      <c r="CE507" s="6"/>
      <c r="CF507" s="6"/>
      <c r="CG507" s="6"/>
      <c r="CH507" s="6"/>
      <c r="CI507" s="6"/>
      <c r="CJ507" s="6"/>
      <c r="CK507" s="6"/>
      <c r="CL507" s="6"/>
      <c r="CM507" s="6"/>
      <c r="CN507" s="6"/>
      <c r="CO507" s="6"/>
      <c r="CP507" s="6"/>
      <c r="CQ507" s="6"/>
      <c r="CR507" s="6"/>
      <c r="CS507" s="6"/>
      <c r="CT507" s="6"/>
      <c r="CU507" s="6"/>
      <c r="CV507" s="6"/>
      <c r="CW507" s="6"/>
      <c r="CX507" s="6"/>
      <c r="CY507" s="6"/>
      <c r="CZ507" s="6"/>
      <c r="DA507" s="6"/>
      <c r="DB507" s="6"/>
      <c r="DC507" s="6"/>
      <c r="DD507" s="6"/>
      <c r="DE507" s="6"/>
      <c r="DF507" s="6"/>
      <c r="DG507" s="6"/>
      <c r="DH507" s="6"/>
      <c r="DI507" s="6"/>
      <c r="DJ507" s="6"/>
    </row>
    <row r="508" spans="2:114" x14ac:dyDescent="0.2">
      <c r="B508" s="68"/>
      <c r="C508" s="69"/>
      <c r="D508" s="70"/>
      <c r="F508" s="68"/>
      <c r="G508" s="69"/>
      <c r="H508" s="70"/>
      <c r="J508" s="71"/>
      <c r="K508" s="71"/>
      <c r="L508" s="67"/>
      <c r="N508" s="71"/>
      <c r="O508" s="71"/>
      <c r="P508" s="67"/>
      <c r="R508" s="67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6"/>
      <c r="BY508" s="6"/>
      <c r="BZ508" s="6"/>
      <c r="CA508" s="6"/>
      <c r="CB508" s="6"/>
      <c r="CC508" s="6"/>
      <c r="CD508" s="6"/>
      <c r="CE508" s="6"/>
      <c r="CF508" s="6"/>
      <c r="CG508" s="6"/>
      <c r="CH508" s="6"/>
      <c r="CI508" s="6"/>
      <c r="CJ508" s="6"/>
      <c r="CK508" s="6"/>
      <c r="CL508" s="6"/>
      <c r="CM508" s="6"/>
      <c r="CN508" s="6"/>
      <c r="CO508" s="6"/>
      <c r="CP508" s="6"/>
      <c r="CQ508" s="6"/>
      <c r="CR508" s="6"/>
      <c r="CS508" s="6"/>
      <c r="CT508" s="6"/>
      <c r="CU508" s="6"/>
      <c r="CV508" s="6"/>
      <c r="CW508" s="6"/>
      <c r="CX508" s="6"/>
      <c r="CY508" s="6"/>
      <c r="CZ508" s="6"/>
      <c r="DA508" s="6"/>
      <c r="DB508" s="6"/>
      <c r="DC508" s="6"/>
      <c r="DD508" s="6"/>
      <c r="DE508" s="6"/>
      <c r="DF508" s="6"/>
      <c r="DG508" s="6"/>
      <c r="DH508" s="6"/>
      <c r="DI508" s="6"/>
      <c r="DJ508" s="6"/>
    </row>
    <row r="509" spans="2:114" x14ac:dyDescent="0.2">
      <c r="B509" s="68"/>
      <c r="C509" s="69"/>
      <c r="D509" s="70"/>
      <c r="F509" s="68"/>
      <c r="G509" s="69"/>
      <c r="H509" s="70"/>
      <c r="J509" s="71"/>
      <c r="K509" s="71"/>
      <c r="L509" s="67"/>
      <c r="N509" s="71"/>
      <c r="O509" s="71"/>
      <c r="P509" s="67"/>
      <c r="R509" s="67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6"/>
      <c r="BY509" s="6"/>
      <c r="BZ509" s="6"/>
      <c r="CA509" s="6"/>
      <c r="CB509" s="6"/>
      <c r="CC509" s="6"/>
      <c r="CD509" s="6"/>
      <c r="CE509" s="6"/>
      <c r="CF509" s="6"/>
      <c r="CG509" s="6"/>
      <c r="CH509" s="6"/>
      <c r="CI509" s="6"/>
      <c r="CJ509" s="6"/>
      <c r="CK509" s="6"/>
      <c r="CL509" s="6"/>
      <c r="CM509" s="6"/>
      <c r="CN509" s="6"/>
      <c r="CO509" s="6"/>
      <c r="CP509" s="6"/>
      <c r="CQ509" s="6"/>
      <c r="CR509" s="6"/>
      <c r="CS509" s="6"/>
      <c r="CT509" s="6"/>
      <c r="CU509" s="6"/>
      <c r="CV509" s="6"/>
      <c r="CW509" s="6"/>
      <c r="CX509" s="6"/>
      <c r="CY509" s="6"/>
      <c r="CZ509" s="6"/>
      <c r="DA509" s="6"/>
      <c r="DB509" s="6"/>
      <c r="DC509" s="6"/>
      <c r="DD509" s="6"/>
      <c r="DE509" s="6"/>
      <c r="DF509" s="6"/>
      <c r="DG509" s="6"/>
      <c r="DH509" s="6"/>
      <c r="DI509" s="6"/>
      <c r="DJ509" s="6"/>
    </row>
    <row r="510" spans="2:114" x14ac:dyDescent="0.2">
      <c r="B510" s="68"/>
      <c r="C510" s="69"/>
      <c r="D510" s="70"/>
      <c r="F510" s="68"/>
      <c r="G510" s="69"/>
      <c r="H510" s="70"/>
      <c r="J510" s="71"/>
      <c r="K510" s="71"/>
      <c r="L510" s="67"/>
      <c r="N510" s="71"/>
      <c r="O510" s="71"/>
      <c r="P510" s="67"/>
      <c r="R510" s="67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6"/>
      <c r="BY510" s="6"/>
      <c r="BZ510" s="6"/>
      <c r="CA510" s="6"/>
      <c r="CB510" s="6"/>
      <c r="CC510" s="6"/>
      <c r="CD510" s="6"/>
      <c r="CE510" s="6"/>
      <c r="CF510" s="6"/>
      <c r="CG510" s="6"/>
      <c r="CH510" s="6"/>
      <c r="CI510" s="6"/>
      <c r="CJ510" s="6"/>
      <c r="CK510" s="6"/>
      <c r="CL510" s="6"/>
      <c r="CM510" s="6"/>
      <c r="CN510" s="6"/>
      <c r="CO510" s="6"/>
      <c r="CP510" s="6"/>
      <c r="CQ510" s="6"/>
      <c r="CR510" s="6"/>
      <c r="CS510" s="6"/>
      <c r="CT510" s="6"/>
      <c r="CU510" s="6"/>
      <c r="CV510" s="6"/>
      <c r="CW510" s="6"/>
      <c r="CX510" s="6"/>
      <c r="CY510" s="6"/>
      <c r="CZ510" s="6"/>
      <c r="DA510" s="6"/>
      <c r="DB510" s="6"/>
      <c r="DC510" s="6"/>
      <c r="DD510" s="6"/>
      <c r="DE510" s="6"/>
      <c r="DF510" s="6"/>
      <c r="DG510" s="6"/>
      <c r="DH510" s="6"/>
      <c r="DI510" s="6"/>
      <c r="DJ510" s="6"/>
    </row>
    <row r="511" spans="2:114" x14ac:dyDescent="0.2">
      <c r="B511" s="68"/>
      <c r="C511" s="69"/>
      <c r="D511" s="70"/>
      <c r="F511" s="68"/>
      <c r="G511" s="69"/>
      <c r="H511" s="70"/>
      <c r="J511" s="71"/>
      <c r="K511" s="71"/>
      <c r="L511" s="67"/>
      <c r="N511" s="71"/>
      <c r="O511" s="71"/>
      <c r="P511" s="67"/>
      <c r="R511" s="67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6"/>
      <c r="BY511" s="6"/>
      <c r="BZ511" s="6"/>
      <c r="CA511" s="6"/>
      <c r="CB511" s="6"/>
      <c r="CC511" s="6"/>
      <c r="CD511" s="6"/>
      <c r="CE511" s="6"/>
      <c r="CF511" s="6"/>
      <c r="CG511" s="6"/>
      <c r="CH511" s="6"/>
      <c r="CI511" s="6"/>
      <c r="CJ511" s="6"/>
      <c r="CK511" s="6"/>
      <c r="CL511" s="6"/>
      <c r="CM511" s="6"/>
      <c r="CN511" s="6"/>
      <c r="CO511" s="6"/>
      <c r="CP511" s="6"/>
      <c r="CQ511" s="6"/>
      <c r="CR511" s="6"/>
      <c r="CS511" s="6"/>
      <c r="CT511" s="6"/>
      <c r="CU511" s="6"/>
      <c r="CV511" s="6"/>
      <c r="CW511" s="6"/>
      <c r="CX511" s="6"/>
      <c r="CY511" s="6"/>
      <c r="CZ511" s="6"/>
      <c r="DA511" s="6"/>
      <c r="DB511" s="6"/>
      <c r="DC511" s="6"/>
      <c r="DD511" s="6"/>
      <c r="DE511" s="6"/>
      <c r="DF511" s="6"/>
      <c r="DG511" s="6"/>
      <c r="DH511" s="6"/>
      <c r="DI511" s="6"/>
      <c r="DJ511" s="6"/>
    </row>
    <row r="512" spans="2:114" x14ac:dyDescent="0.2">
      <c r="B512" s="68"/>
      <c r="C512" s="69"/>
      <c r="D512" s="70"/>
      <c r="F512" s="68"/>
      <c r="G512" s="69"/>
      <c r="H512" s="70"/>
      <c r="J512" s="71"/>
      <c r="K512" s="71"/>
      <c r="L512" s="67"/>
      <c r="N512" s="71"/>
      <c r="O512" s="71"/>
      <c r="P512" s="67"/>
      <c r="R512" s="67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6"/>
      <c r="BY512" s="6"/>
      <c r="BZ512" s="6"/>
      <c r="CA512" s="6"/>
      <c r="CB512" s="6"/>
      <c r="CC512" s="6"/>
      <c r="CD512" s="6"/>
      <c r="CE512" s="6"/>
      <c r="CF512" s="6"/>
      <c r="CG512" s="6"/>
      <c r="CH512" s="6"/>
      <c r="CI512" s="6"/>
      <c r="CJ512" s="6"/>
      <c r="CK512" s="6"/>
      <c r="CL512" s="6"/>
      <c r="CM512" s="6"/>
      <c r="CN512" s="6"/>
      <c r="CO512" s="6"/>
      <c r="CP512" s="6"/>
      <c r="CQ512" s="6"/>
      <c r="CR512" s="6"/>
      <c r="CS512" s="6"/>
      <c r="CT512" s="6"/>
      <c r="CU512" s="6"/>
      <c r="CV512" s="6"/>
      <c r="CW512" s="6"/>
      <c r="CX512" s="6"/>
      <c r="CY512" s="6"/>
      <c r="CZ512" s="6"/>
      <c r="DA512" s="6"/>
      <c r="DB512" s="6"/>
      <c r="DC512" s="6"/>
      <c r="DD512" s="6"/>
      <c r="DE512" s="6"/>
      <c r="DF512" s="6"/>
      <c r="DG512" s="6"/>
      <c r="DH512" s="6"/>
      <c r="DI512" s="6"/>
      <c r="DJ512" s="6"/>
    </row>
    <row r="513" spans="2:114" x14ac:dyDescent="0.2">
      <c r="B513" s="68"/>
      <c r="C513" s="69"/>
      <c r="D513" s="70"/>
      <c r="F513" s="68"/>
      <c r="G513" s="69"/>
      <c r="H513" s="70"/>
      <c r="J513" s="71"/>
      <c r="K513" s="71"/>
      <c r="L513" s="67"/>
      <c r="N513" s="71"/>
      <c r="O513" s="71"/>
      <c r="P513" s="67"/>
      <c r="R513" s="67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6"/>
      <c r="BY513" s="6"/>
      <c r="BZ513" s="6"/>
      <c r="CA513" s="6"/>
      <c r="CB513" s="6"/>
      <c r="CC513" s="6"/>
      <c r="CD513" s="6"/>
      <c r="CE513" s="6"/>
      <c r="CF513" s="6"/>
      <c r="CG513" s="6"/>
      <c r="CH513" s="6"/>
      <c r="CI513" s="6"/>
      <c r="CJ513" s="6"/>
      <c r="CK513" s="6"/>
      <c r="CL513" s="6"/>
      <c r="CM513" s="6"/>
      <c r="CN513" s="6"/>
      <c r="CO513" s="6"/>
      <c r="CP513" s="6"/>
      <c r="CQ513" s="6"/>
      <c r="CR513" s="6"/>
      <c r="CS513" s="6"/>
      <c r="CT513" s="6"/>
      <c r="CU513" s="6"/>
      <c r="CV513" s="6"/>
      <c r="CW513" s="6"/>
      <c r="CX513" s="6"/>
      <c r="CY513" s="6"/>
      <c r="CZ513" s="6"/>
      <c r="DA513" s="6"/>
      <c r="DB513" s="6"/>
      <c r="DC513" s="6"/>
      <c r="DD513" s="6"/>
      <c r="DE513" s="6"/>
      <c r="DF513" s="6"/>
      <c r="DG513" s="6"/>
      <c r="DH513" s="6"/>
      <c r="DI513" s="6"/>
      <c r="DJ513" s="6"/>
    </row>
    <row r="514" spans="2:114" x14ac:dyDescent="0.2">
      <c r="B514" s="68"/>
      <c r="C514" s="69"/>
      <c r="D514" s="70"/>
      <c r="F514" s="68"/>
      <c r="G514" s="69"/>
      <c r="H514" s="70"/>
      <c r="J514" s="71"/>
      <c r="K514" s="71"/>
      <c r="L514" s="67"/>
      <c r="N514" s="71"/>
      <c r="O514" s="71"/>
      <c r="P514" s="67"/>
      <c r="R514" s="67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6"/>
      <c r="BY514" s="6"/>
      <c r="BZ514" s="6"/>
      <c r="CA514" s="6"/>
      <c r="CB514" s="6"/>
      <c r="CC514" s="6"/>
      <c r="CD514" s="6"/>
      <c r="CE514" s="6"/>
      <c r="CF514" s="6"/>
      <c r="CG514" s="6"/>
      <c r="CH514" s="6"/>
      <c r="CI514" s="6"/>
      <c r="CJ514" s="6"/>
      <c r="CK514" s="6"/>
      <c r="CL514" s="6"/>
      <c r="CM514" s="6"/>
      <c r="CN514" s="6"/>
      <c r="CO514" s="6"/>
      <c r="CP514" s="6"/>
      <c r="CQ514" s="6"/>
      <c r="CR514" s="6"/>
      <c r="CS514" s="6"/>
      <c r="CT514" s="6"/>
      <c r="CU514" s="6"/>
      <c r="CV514" s="6"/>
      <c r="CW514" s="6"/>
      <c r="CX514" s="6"/>
      <c r="CY514" s="6"/>
      <c r="CZ514" s="6"/>
      <c r="DA514" s="6"/>
      <c r="DB514" s="6"/>
      <c r="DC514" s="6"/>
      <c r="DD514" s="6"/>
      <c r="DE514" s="6"/>
      <c r="DF514" s="6"/>
      <c r="DG514" s="6"/>
      <c r="DH514" s="6"/>
      <c r="DI514" s="6"/>
      <c r="DJ514" s="6"/>
    </row>
    <row r="515" spans="2:114" x14ac:dyDescent="0.2">
      <c r="B515" s="68"/>
      <c r="C515" s="69"/>
      <c r="D515" s="70"/>
      <c r="F515" s="68"/>
      <c r="G515" s="69"/>
      <c r="H515" s="70"/>
      <c r="J515" s="71"/>
      <c r="K515" s="71"/>
      <c r="L515" s="67"/>
      <c r="N515" s="71"/>
      <c r="O515" s="71"/>
      <c r="P515" s="67"/>
      <c r="R515" s="67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6"/>
      <c r="BY515" s="6"/>
      <c r="BZ515" s="6"/>
      <c r="CA515" s="6"/>
      <c r="CB515" s="6"/>
      <c r="CC515" s="6"/>
      <c r="CD515" s="6"/>
      <c r="CE515" s="6"/>
      <c r="CF515" s="6"/>
      <c r="CG515" s="6"/>
      <c r="CH515" s="6"/>
      <c r="CI515" s="6"/>
      <c r="CJ515" s="6"/>
      <c r="CK515" s="6"/>
      <c r="CL515" s="6"/>
      <c r="CM515" s="6"/>
      <c r="CN515" s="6"/>
      <c r="CO515" s="6"/>
      <c r="CP515" s="6"/>
      <c r="CQ515" s="6"/>
      <c r="CR515" s="6"/>
      <c r="CS515" s="6"/>
      <c r="CT515" s="6"/>
      <c r="CU515" s="6"/>
      <c r="CV515" s="6"/>
      <c r="CW515" s="6"/>
      <c r="CX515" s="6"/>
      <c r="CY515" s="6"/>
      <c r="CZ515" s="6"/>
      <c r="DA515" s="6"/>
      <c r="DB515" s="6"/>
      <c r="DC515" s="6"/>
      <c r="DD515" s="6"/>
      <c r="DE515" s="6"/>
      <c r="DF515" s="6"/>
      <c r="DG515" s="6"/>
      <c r="DH515" s="6"/>
      <c r="DI515" s="6"/>
      <c r="DJ515" s="6"/>
    </row>
    <row r="516" spans="2:114" x14ac:dyDescent="0.2">
      <c r="B516" s="68"/>
      <c r="C516" s="69"/>
      <c r="D516" s="70"/>
      <c r="F516" s="68"/>
      <c r="G516" s="69"/>
      <c r="H516" s="70"/>
      <c r="J516" s="71"/>
      <c r="K516" s="71"/>
      <c r="L516" s="67"/>
      <c r="N516" s="71"/>
      <c r="O516" s="71"/>
      <c r="P516" s="67"/>
      <c r="R516" s="67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6"/>
      <c r="BY516" s="6"/>
      <c r="BZ516" s="6"/>
      <c r="CA516" s="6"/>
      <c r="CB516" s="6"/>
      <c r="CC516" s="6"/>
      <c r="CD516" s="6"/>
      <c r="CE516" s="6"/>
      <c r="CF516" s="6"/>
      <c r="CG516" s="6"/>
      <c r="CH516" s="6"/>
      <c r="CI516" s="6"/>
      <c r="CJ516" s="6"/>
      <c r="CK516" s="6"/>
      <c r="CL516" s="6"/>
      <c r="CM516" s="6"/>
      <c r="CN516" s="6"/>
      <c r="CO516" s="6"/>
      <c r="CP516" s="6"/>
      <c r="CQ516" s="6"/>
      <c r="CR516" s="6"/>
      <c r="CS516" s="6"/>
      <c r="CT516" s="6"/>
      <c r="CU516" s="6"/>
      <c r="CV516" s="6"/>
      <c r="CW516" s="6"/>
      <c r="CX516" s="6"/>
      <c r="CY516" s="6"/>
      <c r="CZ516" s="6"/>
      <c r="DA516" s="6"/>
      <c r="DB516" s="6"/>
      <c r="DC516" s="6"/>
      <c r="DD516" s="6"/>
      <c r="DE516" s="6"/>
      <c r="DF516" s="6"/>
      <c r="DG516" s="6"/>
      <c r="DH516" s="6"/>
      <c r="DI516" s="6"/>
      <c r="DJ516" s="6"/>
    </row>
    <row r="517" spans="2:114" x14ac:dyDescent="0.2">
      <c r="B517" s="68"/>
      <c r="C517" s="69"/>
      <c r="D517" s="70"/>
      <c r="F517" s="68"/>
      <c r="G517" s="69"/>
      <c r="H517" s="70"/>
      <c r="J517" s="71"/>
      <c r="K517" s="71"/>
      <c r="L517" s="67"/>
      <c r="N517" s="71"/>
      <c r="O517" s="71"/>
      <c r="P517" s="67"/>
      <c r="R517" s="67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6"/>
      <c r="BY517" s="6"/>
      <c r="BZ517" s="6"/>
      <c r="CA517" s="6"/>
      <c r="CB517" s="6"/>
      <c r="CC517" s="6"/>
      <c r="CD517" s="6"/>
      <c r="CE517" s="6"/>
      <c r="CF517" s="6"/>
      <c r="CG517" s="6"/>
      <c r="CH517" s="6"/>
      <c r="CI517" s="6"/>
      <c r="CJ517" s="6"/>
      <c r="CK517" s="6"/>
      <c r="CL517" s="6"/>
      <c r="CM517" s="6"/>
      <c r="CN517" s="6"/>
      <c r="CO517" s="6"/>
      <c r="CP517" s="6"/>
      <c r="CQ517" s="6"/>
      <c r="CR517" s="6"/>
      <c r="CS517" s="6"/>
      <c r="CT517" s="6"/>
      <c r="CU517" s="6"/>
      <c r="CV517" s="6"/>
      <c r="CW517" s="6"/>
      <c r="CX517" s="6"/>
      <c r="CY517" s="6"/>
      <c r="CZ517" s="6"/>
      <c r="DA517" s="6"/>
      <c r="DB517" s="6"/>
      <c r="DC517" s="6"/>
      <c r="DD517" s="6"/>
      <c r="DE517" s="6"/>
      <c r="DF517" s="6"/>
      <c r="DG517" s="6"/>
      <c r="DH517" s="6"/>
      <c r="DI517" s="6"/>
      <c r="DJ517" s="6"/>
    </row>
    <row r="518" spans="2:114" x14ac:dyDescent="0.2">
      <c r="B518" s="68"/>
      <c r="C518" s="69"/>
      <c r="D518" s="70"/>
      <c r="F518" s="68"/>
      <c r="G518" s="69"/>
      <c r="H518" s="70"/>
      <c r="J518" s="71"/>
      <c r="K518" s="71"/>
      <c r="L518" s="67"/>
      <c r="N518" s="71"/>
      <c r="O518" s="71"/>
      <c r="P518" s="67"/>
      <c r="R518" s="67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6"/>
      <c r="BY518" s="6"/>
      <c r="BZ518" s="6"/>
      <c r="CA518" s="6"/>
      <c r="CB518" s="6"/>
      <c r="CC518" s="6"/>
      <c r="CD518" s="6"/>
      <c r="CE518" s="6"/>
      <c r="CF518" s="6"/>
      <c r="CG518" s="6"/>
      <c r="CH518" s="6"/>
      <c r="CI518" s="6"/>
      <c r="CJ518" s="6"/>
      <c r="CK518" s="6"/>
      <c r="CL518" s="6"/>
      <c r="CM518" s="6"/>
      <c r="CN518" s="6"/>
      <c r="CO518" s="6"/>
      <c r="CP518" s="6"/>
      <c r="CQ518" s="6"/>
      <c r="CR518" s="6"/>
      <c r="CS518" s="6"/>
      <c r="CT518" s="6"/>
      <c r="CU518" s="6"/>
      <c r="CV518" s="6"/>
      <c r="CW518" s="6"/>
      <c r="CX518" s="6"/>
      <c r="CY518" s="6"/>
      <c r="CZ518" s="6"/>
      <c r="DA518" s="6"/>
      <c r="DB518" s="6"/>
      <c r="DC518" s="6"/>
      <c r="DD518" s="6"/>
      <c r="DE518" s="6"/>
      <c r="DF518" s="6"/>
      <c r="DG518" s="6"/>
      <c r="DH518" s="6"/>
      <c r="DI518" s="6"/>
      <c r="DJ518" s="6"/>
    </row>
    <row r="519" spans="2:114" x14ac:dyDescent="0.2">
      <c r="B519" s="68"/>
      <c r="C519" s="69"/>
      <c r="D519" s="70"/>
      <c r="F519" s="68"/>
      <c r="G519" s="69"/>
      <c r="H519" s="70"/>
      <c r="J519" s="71"/>
      <c r="K519" s="71"/>
      <c r="L519" s="67"/>
      <c r="N519" s="71"/>
      <c r="O519" s="71"/>
      <c r="P519" s="67"/>
      <c r="R519" s="67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6"/>
      <c r="BY519" s="6"/>
      <c r="BZ519" s="6"/>
      <c r="CA519" s="6"/>
      <c r="CB519" s="6"/>
      <c r="CC519" s="6"/>
      <c r="CD519" s="6"/>
      <c r="CE519" s="6"/>
      <c r="CF519" s="6"/>
      <c r="CG519" s="6"/>
      <c r="CH519" s="6"/>
      <c r="CI519" s="6"/>
      <c r="CJ519" s="6"/>
      <c r="CK519" s="6"/>
      <c r="CL519" s="6"/>
      <c r="CM519" s="6"/>
      <c r="CN519" s="6"/>
      <c r="CO519" s="6"/>
      <c r="CP519" s="6"/>
      <c r="CQ519" s="6"/>
      <c r="CR519" s="6"/>
      <c r="CS519" s="6"/>
      <c r="CT519" s="6"/>
      <c r="CU519" s="6"/>
      <c r="CV519" s="6"/>
      <c r="CW519" s="6"/>
      <c r="CX519" s="6"/>
      <c r="CY519" s="6"/>
      <c r="CZ519" s="6"/>
      <c r="DA519" s="6"/>
      <c r="DB519" s="6"/>
      <c r="DC519" s="6"/>
      <c r="DD519" s="6"/>
      <c r="DE519" s="6"/>
      <c r="DF519" s="6"/>
      <c r="DG519" s="6"/>
      <c r="DH519" s="6"/>
      <c r="DI519" s="6"/>
      <c r="DJ519" s="6"/>
    </row>
    <row r="520" spans="2:114" x14ac:dyDescent="0.2">
      <c r="B520" s="68"/>
      <c r="C520" s="69"/>
      <c r="D520" s="70"/>
      <c r="F520" s="68"/>
      <c r="G520" s="69"/>
      <c r="H520" s="70"/>
      <c r="J520" s="71"/>
      <c r="K520" s="71"/>
      <c r="L520" s="67"/>
      <c r="N520" s="71"/>
      <c r="O520" s="71"/>
      <c r="P520" s="67"/>
      <c r="R520" s="67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6"/>
      <c r="BY520" s="6"/>
      <c r="BZ520" s="6"/>
      <c r="CA520" s="6"/>
      <c r="CB520" s="6"/>
      <c r="CC520" s="6"/>
      <c r="CD520" s="6"/>
      <c r="CE520" s="6"/>
      <c r="CF520" s="6"/>
      <c r="CG520" s="6"/>
      <c r="CH520" s="6"/>
      <c r="CI520" s="6"/>
      <c r="CJ520" s="6"/>
      <c r="CK520" s="6"/>
      <c r="CL520" s="6"/>
      <c r="CM520" s="6"/>
      <c r="CN520" s="6"/>
      <c r="CO520" s="6"/>
      <c r="CP520" s="6"/>
      <c r="CQ520" s="6"/>
      <c r="CR520" s="6"/>
      <c r="CS520" s="6"/>
      <c r="CT520" s="6"/>
      <c r="CU520" s="6"/>
      <c r="CV520" s="6"/>
      <c r="CW520" s="6"/>
      <c r="CX520" s="6"/>
      <c r="CY520" s="6"/>
      <c r="CZ520" s="6"/>
      <c r="DA520" s="6"/>
      <c r="DB520" s="6"/>
      <c r="DC520" s="6"/>
      <c r="DD520" s="6"/>
      <c r="DE520" s="6"/>
      <c r="DF520" s="6"/>
      <c r="DG520" s="6"/>
      <c r="DH520" s="6"/>
      <c r="DI520" s="6"/>
      <c r="DJ520" s="6"/>
    </row>
    <row r="521" spans="2:114" x14ac:dyDescent="0.2">
      <c r="B521" s="68"/>
      <c r="C521" s="69"/>
      <c r="D521" s="70"/>
      <c r="F521" s="68"/>
      <c r="G521" s="69"/>
      <c r="H521" s="70"/>
      <c r="J521" s="71"/>
      <c r="K521" s="71"/>
      <c r="L521" s="67"/>
      <c r="N521" s="71"/>
      <c r="O521" s="71"/>
      <c r="P521" s="67"/>
      <c r="R521" s="67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6"/>
      <c r="BY521" s="6"/>
      <c r="BZ521" s="6"/>
      <c r="CA521" s="6"/>
      <c r="CB521" s="6"/>
      <c r="CC521" s="6"/>
      <c r="CD521" s="6"/>
      <c r="CE521" s="6"/>
      <c r="CF521" s="6"/>
      <c r="CG521" s="6"/>
      <c r="CH521" s="6"/>
      <c r="CI521" s="6"/>
      <c r="CJ521" s="6"/>
      <c r="CK521" s="6"/>
      <c r="CL521" s="6"/>
      <c r="CM521" s="6"/>
      <c r="CN521" s="6"/>
      <c r="CO521" s="6"/>
      <c r="CP521" s="6"/>
      <c r="CQ521" s="6"/>
      <c r="CR521" s="6"/>
      <c r="CS521" s="6"/>
      <c r="CT521" s="6"/>
      <c r="CU521" s="6"/>
      <c r="CV521" s="6"/>
      <c r="CW521" s="6"/>
      <c r="CX521" s="6"/>
      <c r="CY521" s="6"/>
      <c r="CZ521" s="6"/>
      <c r="DA521" s="6"/>
      <c r="DB521" s="6"/>
      <c r="DC521" s="6"/>
      <c r="DD521" s="6"/>
      <c r="DE521" s="6"/>
      <c r="DF521" s="6"/>
      <c r="DG521" s="6"/>
      <c r="DH521" s="6"/>
      <c r="DI521" s="6"/>
      <c r="DJ521" s="6"/>
    </row>
    <row r="522" spans="2:114" x14ac:dyDescent="0.2">
      <c r="B522" s="68"/>
      <c r="C522" s="69"/>
      <c r="D522" s="70"/>
      <c r="F522" s="68"/>
      <c r="G522" s="69"/>
      <c r="H522" s="70"/>
      <c r="J522" s="71"/>
      <c r="K522" s="71"/>
      <c r="L522" s="67"/>
      <c r="N522" s="71"/>
      <c r="O522" s="71"/>
      <c r="P522" s="67"/>
      <c r="R522" s="67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6"/>
      <c r="BY522" s="6"/>
      <c r="BZ522" s="6"/>
      <c r="CA522" s="6"/>
      <c r="CB522" s="6"/>
      <c r="CC522" s="6"/>
      <c r="CD522" s="6"/>
      <c r="CE522" s="6"/>
      <c r="CF522" s="6"/>
      <c r="CG522" s="6"/>
      <c r="CH522" s="6"/>
      <c r="CI522" s="6"/>
      <c r="CJ522" s="6"/>
      <c r="CK522" s="6"/>
      <c r="CL522" s="6"/>
      <c r="CM522" s="6"/>
      <c r="CN522" s="6"/>
      <c r="CO522" s="6"/>
      <c r="CP522" s="6"/>
      <c r="CQ522" s="6"/>
      <c r="CR522" s="6"/>
      <c r="CS522" s="6"/>
      <c r="CT522" s="6"/>
      <c r="CU522" s="6"/>
      <c r="CV522" s="6"/>
      <c r="CW522" s="6"/>
      <c r="CX522" s="6"/>
      <c r="CY522" s="6"/>
      <c r="CZ522" s="6"/>
      <c r="DA522" s="6"/>
      <c r="DB522" s="6"/>
      <c r="DC522" s="6"/>
      <c r="DD522" s="6"/>
      <c r="DE522" s="6"/>
      <c r="DF522" s="6"/>
      <c r="DG522" s="6"/>
      <c r="DH522" s="6"/>
      <c r="DI522" s="6"/>
      <c r="DJ522" s="6"/>
    </row>
    <row r="523" spans="2:114" x14ac:dyDescent="0.2">
      <c r="B523" s="68"/>
      <c r="C523" s="69"/>
      <c r="D523" s="70"/>
      <c r="F523" s="68"/>
      <c r="G523" s="69"/>
      <c r="H523" s="70"/>
      <c r="J523" s="71"/>
      <c r="K523" s="71"/>
      <c r="L523" s="67"/>
      <c r="N523" s="71"/>
      <c r="O523" s="71"/>
      <c r="P523" s="67"/>
      <c r="R523" s="67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6"/>
      <c r="BY523" s="6"/>
      <c r="BZ523" s="6"/>
      <c r="CA523" s="6"/>
      <c r="CB523" s="6"/>
      <c r="CC523" s="6"/>
      <c r="CD523" s="6"/>
      <c r="CE523" s="6"/>
      <c r="CF523" s="6"/>
      <c r="CG523" s="6"/>
      <c r="CH523" s="6"/>
      <c r="CI523" s="6"/>
      <c r="CJ523" s="6"/>
      <c r="CK523" s="6"/>
      <c r="CL523" s="6"/>
      <c r="CM523" s="6"/>
      <c r="CN523" s="6"/>
      <c r="CO523" s="6"/>
      <c r="CP523" s="6"/>
      <c r="CQ523" s="6"/>
      <c r="CR523" s="6"/>
      <c r="CS523" s="6"/>
      <c r="CT523" s="6"/>
      <c r="CU523" s="6"/>
      <c r="CV523" s="6"/>
      <c r="CW523" s="6"/>
      <c r="CX523" s="6"/>
      <c r="CY523" s="6"/>
      <c r="CZ523" s="6"/>
      <c r="DA523" s="6"/>
      <c r="DB523" s="6"/>
      <c r="DC523" s="6"/>
      <c r="DD523" s="6"/>
      <c r="DE523" s="6"/>
      <c r="DF523" s="6"/>
      <c r="DG523" s="6"/>
      <c r="DH523" s="6"/>
      <c r="DI523" s="6"/>
      <c r="DJ523" s="6"/>
    </row>
    <row r="524" spans="2:114" x14ac:dyDescent="0.2">
      <c r="B524" s="68"/>
      <c r="C524" s="69"/>
      <c r="D524" s="70"/>
      <c r="F524" s="68"/>
      <c r="G524" s="69"/>
      <c r="H524" s="70"/>
      <c r="J524" s="71"/>
      <c r="K524" s="71"/>
      <c r="L524" s="67"/>
      <c r="N524" s="71"/>
      <c r="O524" s="71"/>
      <c r="P524" s="67"/>
      <c r="R524" s="67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6"/>
      <c r="BY524" s="6"/>
      <c r="BZ524" s="6"/>
      <c r="CA524" s="6"/>
      <c r="CB524" s="6"/>
      <c r="CC524" s="6"/>
      <c r="CD524" s="6"/>
      <c r="CE524" s="6"/>
      <c r="CF524" s="6"/>
      <c r="CG524" s="6"/>
      <c r="CH524" s="6"/>
      <c r="CI524" s="6"/>
      <c r="CJ524" s="6"/>
      <c r="CK524" s="6"/>
      <c r="CL524" s="6"/>
      <c r="CM524" s="6"/>
      <c r="CN524" s="6"/>
      <c r="CO524" s="6"/>
      <c r="CP524" s="6"/>
      <c r="CQ524" s="6"/>
      <c r="CR524" s="6"/>
      <c r="CS524" s="6"/>
      <c r="CT524" s="6"/>
      <c r="CU524" s="6"/>
      <c r="CV524" s="6"/>
      <c r="CW524" s="6"/>
      <c r="CX524" s="6"/>
      <c r="CY524" s="6"/>
      <c r="CZ524" s="6"/>
      <c r="DA524" s="6"/>
      <c r="DB524" s="6"/>
      <c r="DC524" s="6"/>
      <c r="DD524" s="6"/>
      <c r="DE524" s="6"/>
      <c r="DF524" s="6"/>
      <c r="DG524" s="6"/>
      <c r="DH524" s="6"/>
      <c r="DI524" s="6"/>
      <c r="DJ524" s="6"/>
    </row>
    <row r="525" spans="2:114" x14ac:dyDescent="0.2">
      <c r="B525" s="68"/>
      <c r="C525" s="69"/>
      <c r="D525" s="70"/>
      <c r="F525" s="68"/>
      <c r="G525" s="69"/>
      <c r="H525" s="70"/>
      <c r="J525" s="71"/>
      <c r="K525" s="71"/>
      <c r="L525" s="67"/>
      <c r="N525" s="71"/>
      <c r="O525" s="71"/>
      <c r="P525" s="67"/>
      <c r="R525" s="67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6"/>
      <c r="BY525" s="6"/>
      <c r="BZ525" s="6"/>
      <c r="CA525" s="6"/>
      <c r="CB525" s="6"/>
      <c r="CC525" s="6"/>
      <c r="CD525" s="6"/>
      <c r="CE525" s="6"/>
      <c r="CF525" s="6"/>
      <c r="CG525" s="6"/>
      <c r="CH525" s="6"/>
      <c r="CI525" s="6"/>
      <c r="CJ525" s="6"/>
      <c r="CK525" s="6"/>
      <c r="CL525" s="6"/>
      <c r="CM525" s="6"/>
      <c r="CN525" s="6"/>
      <c r="CO525" s="6"/>
      <c r="CP525" s="6"/>
      <c r="CQ525" s="6"/>
      <c r="CR525" s="6"/>
      <c r="CS525" s="6"/>
      <c r="CT525" s="6"/>
      <c r="CU525" s="6"/>
      <c r="CV525" s="6"/>
      <c r="CW525" s="6"/>
      <c r="CX525" s="6"/>
      <c r="CY525" s="6"/>
      <c r="CZ525" s="6"/>
      <c r="DA525" s="6"/>
      <c r="DB525" s="6"/>
      <c r="DC525" s="6"/>
      <c r="DD525" s="6"/>
      <c r="DE525" s="6"/>
      <c r="DF525" s="6"/>
      <c r="DG525" s="6"/>
      <c r="DH525" s="6"/>
      <c r="DI525" s="6"/>
      <c r="DJ525" s="6"/>
    </row>
    <row r="526" spans="2:114" x14ac:dyDescent="0.2">
      <c r="B526" s="68"/>
      <c r="C526" s="69"/>
      <c r="D526" s="70"/>
      <c r="F526" s="68"/>
      <c r="G526" s="69"/>
      <c r="H526" s="70"/>
      <c r="J526" s="71"/>
      <c r="K526" s="71"/>
      <c r="L526" s="67"/>
      <c r="N526" s="71"/>
      <c r="O526" s="71"/>
      <c r="P526" s="67"/>
      <c r="R526" s="67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6"/>
      <c r="BY526" s="6"/>
      <c r="BZ526" s="6"/>
      <c r="CA526" s="6"/>
      <c r="CB526" s="6"/>
      <c r="CC526" s="6"/>
      <c r="CD526" s="6"/>
      <c r="CE526" s="6"/>
      <c r="CF526" s="6"/>
      <c r="CG526" s="6"/>
      <c r="CH526" s="6"/>
      <c r="CI526" s="6"/>
      <c r="CJ526" s="6"/>
      <c r="CK526" s="6"/>
      <c r="CL526" s="6"/>
      <c r="CM526" s="6"/>
      <c r="CN526" s="6"/>
      <c r="CO526" s="6"/>
      <c r="CP526" s="6"/>
      <c r="CQ526" s="6"/>
      <c r="CR526" s="6"/>
      <c r="CS526" s="6"/>
      <c r="CT526" s="6"/>
      <c r="CU526" s="6"/>
      <c r="CV526" s="6"/>
      <c r="CW526" s="6"/>
      <c r="CX526" s="6"/>
      <c r="CY526" s="6"/>
      <c r="CZ526" s="6"/>
      <c r="DA526" s="6"/>
      <c r="DB526" s="6"/>
      <c r="DC526" s="6"/>
      <c r="DD526" s="6"/>
      <c r="DE526" s="6"/>
      <c r="DF526" s="6"/>
      <c r="DG526" s="6"/>
      <c r="DH526" s="6"/>
      <c r="DI526" s="6"/>
      <c r="DJ526" s="6"/>
    </row>
    <row r="527" spans="2:114" x14ac:dyDescent="0.2">
      <c r="B527" s="68"/>
      <c r="C527" s="69"/>
      <c r="D527" s="70"/>
      <c r="F527" s="68"/>
      <c r="G527" s="69"/>
      <c r="H527" s="70"/>
      <c r="J527" s="71"/>
      <c r="K527" s="71"/>
      <c r="L527" s="67"/>
      <c r="N527" s="71"/>
      <c r="O527" s="71"/>
      <c r="P527" s="67"/>
      <c r="R527" s="67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6"/>
      <c r="BY527" s="6"/>
      <c r="BZ527" s="6"/>
      <c r="CA527" s="6"/>
      <c r="CB527" s="6"/>
      <c r="CC527" s="6"/>
      <c r="CD527" s="6"/>
      <c r="CE527" s="6"/>
      <c r="CF527" s="6"/>
      <c r="CG527" s="6"/>
      <c r="CH527" s="6"/>
      <c r="CI527" s="6"/>
      <c r="CJ527" s="6"/>
      <c r="CK527" s="6"/>
      <c r="CL527" s="6"/>
      <c r="CM527" s="6"/>
      <c r="CN527" s="6"/>
      <c r="CO527" s="6"/>
      <c r="CP527" s="6"/>
      <c r="CQ527" s="6"/>
      <c r="CR527" s="6"/>
      <c r="CS527" s="6"/>
      <c r="CT527" s="6"/>
      <c r="CU527" s="6"/>
      <c r="CV527" s="6"/>
      <c r="CW527" s="6"/>
      <c r="CX527" s="6"/>
      <c r="CY527" s="6"/>
      <c r="CZ527" s="6"/>
      <c r="DA527" s="6"/>
      <c r="DB527" s="6"/>
      <c r="DC527" s="6"/>
      <c r="DD527" s="6"/>
      <c r="DE527" s="6"/>
      <c r="DF527" s="6"/>
      <c r="DG527" s="6"/>
      <c r="DH527" s="6"/>
      <c r="DI527" s="6"/>
      <c r="DJ527" s="6"/>
    </row>
    <row r="528" spans="2:114" x14ac:dyDescent="0.2">
      <c r="B528" s="68"/>
      <c r="C528" s="69"/>
      <c r="D528" s="70"/>
      <c r="F528" s="68"/>
      <c r="G528" s="69"/>
      <c r="H528" s="70"/>
      <c r="J528" s="71"/>
      <c r="K528" s="71"/>
      <c r="L528" s="67"/>
      <c r="N528" s="71"/>
      <c r="O528" s="71"/>
      <c r="P528" s="67"/>
      <c r="R528" s="67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6"/>
      <c r="BY528" s="6"/>
      <c r="BZ528" s="6"/>
      <c r="CA528" s="6"/>
      <c r="CB528" s="6"/>
      <c r="CC528" s="6"/>
      <c r="CD528" s="6"/>
      <c r="CE528" s="6"/>
      <c r="CF528" s="6"/>
      <c r="CG528" s="6"/>
      <c r="CH528" s="6"/>
      <c r="CI528" s="6"/>
      <c r="CJ528" s="6"/>
      <c r="CK528" s="6"/>
      <c r="CL528" s="6"/>
      <c r="CM528" s="6"/>
      <c r="CN528" s="6"/>
      <c r="CO528" s="6"/>
      <c r="CP528" s="6"/>
      <c r="CQ528" s="6"/>
      <c r="CR528" s="6"/>
      <c r="CS528" s="6"/>
      <c r="CT528" s="6"/>
      <c r="CU528" s="6"/>
      <c r="CV528" s="6"/>
      <c r="CW528" s="6"/>
      <c r="CX528" s="6"/>
      <c r="CY528" s="6"/>
      <c r="CZ528" s="6"/>
      <c r="DA528" s="6"/>
      <c r="DB528" s="6"/>
      <c r="DC528" s="6"/>
      <c r="DD528" s="6"/>
      <c r="DE528" s="6"/>
      <c r="DF528" s="6"/>
      <c r="DG528" s="6"/>
      <c r="DH528" s="6"/>
      <c r="DI528" s="6"/>
      <c r="DJ528" s="6"/>
    </row>
    <row r="529" spans="2:114" x14ac:dyDescent="0.2">
      <c r="B529" s="68"/>
      <c r="C529" s="69"/>
      <c r="D529" s="70"/>
      <c r="F529" s="68"/>
      <c r="G529" s="69"/>
      <c r="H529" s="70"/>
      <c r="J529" s="71"/>
      <c r="K529" s="71"/>
      <c r="L529" s="67"/>
      <c r="N529" s="71"/>
      <c r="O529" s="71"/>
      <c r="P529" s="67"/>
      <c r="R529" s="67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6"/>
      <c r="BY529" s="6"/>
      <c r="BZ529" s="6"/>
      <c r="CA529" s="6"/>
      <c r="CB529" s="6"/>
      <c r="CC529" s="6"/>
      <c r="CD529" s="6"/>
      <c r="CE529" s="6"/>
      <c r="CF529" s="6"/>
      <c r="CG529" s="6"/>
      <c r="CH529" s="6"/>
      <c r="CI529" s="6"/>
      <c r="CJ529" s="6"/>
      <c r="CK529" s="6"/>
      <c r="CL529" s="6"/>
      <c r="CM529" s="6"/>
      <c r="CN529" s="6"/>
      <c r="CO529" s="6"/>
      <c r="CP529" s="6"/>
      <c r="CQ529" s="6"/>
      <c r="CR529" s="6"/>
      <c r="CS529" s="6"/>
      <c r="CT529" s="6"/>
      <c r="CU529" s="6"/>
      <c r="CV529" s="6"/>
      <c r="CW529" s="6"/>
      <c r="CX529" s="6"/>
      <c r="CY529" s="6"/>
      <c r="CZ529" s="6"/>
      <c r="DA529" s="6"/>
      <c r="DB529" s="6"/>
      <c r="DC529" s="6"/>
      <c r="DD529" s="6"/>
      <c r="DE529" s="6"/>
      <c r="DF529" s="6"/>
      <c r="DG529" s="6"/>
      <c r="DH529" s="6"/>
      <c r="DI529" s="6"/>
      <c r="DJ529" s="6"/>
    </row>
    <row r="530" spans="2:114" x14ac:dyDescent="0.2">
      <c r="B530" s="68"/>
      <c r="C530" s="69"/>
      <c r="D530" s="70"/>
      <c r="F530" s="68"/>
      <c r="G530" s="69"/>
      <c r="H530" s="70"/>
      <c r="J530" s="71"/>
      <c r="K530" s="71"/>
      <c r="L530" s="67"/>
      <c r="N530" s="71"/>
      <c r="O530" s="71"/>
      <c r="P530" s="67"/>
      <c r="R530" s="67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6"/>
      <c r="BY530" s="6"/>
      <c r="BZ530" s="6"/>
      <c r="CA530" s="6"/>
      <c r="CB530" s="6"/>
      <c r="CC530" s="6"/>
      <c r="CD530" s="6"/>
      <c r="CE530" s="6"/>
      <c r="CF530" s="6"/>
      <c r="CG530" s="6"/>
      <c r="CH530" s="6"/>
      <c r="CI530" s="6"/>
      <c r="CJ530" s="6"/>
      <c r="CK530" s="6"/>
      <c r="CL530" s="6"/>
      <c r="CM530" s="6"/>
      <c r="CN530" s="6"/>
      <c r="CO530" s="6"/>
      <c r="CP530" s="6"/>
      <c r="CQ530" s="6"/>
      <c r="CR530" s="6"/>
      <c r="CS530" s="6"/>
      <c r="CT530" s="6"/>
      <c r="CU530" s="6"/>
      <c r="CV530" s="6"/>
      <c r="CW530" s="6"/>
      <c r="CX530" s="6"/>
      <c r="CY530" s="6"/>
      <c r="CZ530" s="6"/>
      <c r="DA530" s="6"/>
      <c r="DB530" s="6"/>
      <c r="DC530" s="6"/>
      <c r="DD530" s="6"/>
      <c r="DE530" s="6"/>
      <c r="DF530" s="6"/>
      <c r="DG530" s="6"/>
      <c r="DH530" s="6"/>
      <c r="DI530" s="6"/>
      <c r="DJ530" s="6"/>
    </row>
    <row r="531" spans="2:114" x14ac:dyDescent="0.2">
      <c r="B531" s="68"/>
      <c r="C531" s="69"/>
      <c r="D531" s="70"/>
      <c r="F531" s="68"/>
      <c r="G531" s="69"/>
      <c r="H531" s="70"/>
      <c r="J531" s="71"/>
      <c r="K531" s="71"/>
      <c r="L531" s="67"/>
      <c r="N531" s="71"/>
      <c r="O531" s="71"/>
      <c r="P531" s="67"/>
      <c r="R531" s="67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6"/>
      <c r="BY531" s="6"/>
      <c r="BZ531" s="6"/>
      <c r="CA531" s="6"/>
      <c r="CB531" s="6"/>
      <c r="CC531" s="6"/>
      <c r="CD531" s="6"/>
      <c r="CE531" s="6"/>
      <c r="CF531" s="6"/>
      <c r="CG531" s="6"/>
      <c r="CH531" s="6"/>
      <c r="CI531" s="6"/>
      <c r="CJ531" s="6"/>
      <c r="CK531" s="6"/>
      <c r="CL531" s="6"/>
      <c r="CM531" s="6"/>
      <c r="CN531" s="6"/>
      <c r="CO531" s="6"/>
      <c r="CP531" s="6"/>
      <c r="CQ531" s="6"/>
      <c r="CR531" s="6"/>
      <c r="CS531" s="6"/>
      <c r="CT531" s="6"/>
      <c r="CU531" s="6"/>
      <c r="CV531" s="6"/>
      <c r="CW531" s="6"/>
      <c r="CX531" s="6"/>
      <c r="CY531" s="6"/>
      <c r="CZ531" s="6"/>
      <c r="DA531" s="6"/>
      <c r="DB531" s="6"/>
      <c r="DC531" s="6"/>
      <c r="DD531" s="6"/>
      <c r="DE531" s="6"/>
      <c r="DF531" s="6"/>
      <c r="DG531" s="6"/>
      <c r="DH531" s="6"/>
      <c r="DI531" s="6"/>
      <c r="DJ531" s="6"/>
    </row>
    <row r="532" spans="2:114" x14ac:dyDescent="0.2">
      <c r="B532" s="68"/>
      <c r="C532" s="69"/>
      <c r="D532" s="70"/>
      <c r="F532" s="68"/>
      <c r="G532" s="69"/>
      <c r="H532" s="70"/>
      <c r="J532" s="71"/>
      <c r="K532" s="71"/>
      <c r="L532" s="67"/>
      <c r="N532" s="71"/>
      <c r="O532" s="71"/>
      <c r="P532" s="67"/>
      <c r="R532" s="67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6"/>
      <c r="BY532" s="6"/>
      <c r="BZ532" s="6"/>
      <c r="CA532" s="6"/>
      <c r="CB532" s="6"/>
      <c r="CC532" s="6"/>
      <c r="CD532" s="6"/>
      <c r="CE532" s="6"/>
      <c r="CF532" s="6"/>
      <c r="CG532" s="6"/>
      <c r="CH532" s="6"/>
      <c r="CI532" s="6"/>
      <c r="CJ532" s="6"/>
      <c r="CK532" s="6"/>
      <c r="CL532" s="6"/>
      <c r="CM532" s="6"/>
      <c r="CN532" s="6"/>
      <c r="CO532" s="6"/>
      <c r="CP532" s="6"/>
      <c r="CQ532" s="6"/>
      <c r="CR532" s="6"/>
      <c r="CS532" s="6"/>
      <c r="CT532" s="6"/>
      <c r="CU532" s="6"/>
      <c r="CV532" s="6"/>
      <c r="CW532" s="6"/>
      <c r="CX532" s="6"/>
      <c r="CY532" s="6"/>
      <c r="CZ532" s="6"/>
      <c r="DA532" s="6"/>
      <c r="DB532" s="6"/>
      <c r="DC532" s="6"/>
      <c r="DD532" s="6"/>
      <c r="DE532" s="6"/>
      <c r="DF532" s="6"/>
      <c r="DG532" s="6"/>
      <c r="DH532" s="6"/>
      <c r="DI532" s="6"/>
      <c r="DJ532" s="6"/>
    </row>
    <row r="533" spans="2:114" x14ac:dyDescent="0.2">
      <c r="B533" s="68"/>
      <c r="C533" s="69"/>
      <c r="D533" s="70"/>
      <c r="F533" s="68"/>
      <c r="G533" s="69"/>
      <c r="H533" s="70"/>
      <c r="J533" s="71"/>
      <c r="K533" s="71"/>
      <c r="L533" s="67"/>
      <c r="N533" s="71"/>
      <c r="O533" s="71"/>
      <c r="P533" s="67"/>
      <c r="R533" s="67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6"/>
      <c r="BY533" s="6"/>
      <c r="BZ533" s="6"/>
      <c r="CA533" s="6"/>
      <c r="CB533" s="6"/>
      <c r="CC533" s="6"/>
      <c r="CD533" s="6"/>
      <c r="CE533" s="6"/>
      <c r="CF533" s="6"/>
      <c r="CG533" s="6"/>
      <c r="CH533" s="6"/>
      <c r="CI533" s="6"/>
      <c r="CJ533" s="6"/>
      <c r="CK533" s="6"/>
      <c r="CL533" s="6"/>
      <c r="CM533" s="6"/>
      <c r="CN533" s="6"/>
      <c r="CO533" s="6"/>
      <c r="CP533" s="6"/>
      <c r="CQ533" s="6"/>
      <c r="CR533" s="6"/>
      <c r="CS533" s="6"/>
      <c r="CT533" s="6"/>
      <c r="CU533" s="6"/>
      <c r="CV533" s="6"/>
      <c r="CW533" s="6"/>
      <c r="CX533" s="6"/>
      <c r="CY533" s="6"/>
      <c r="CZ533" s="6"/>
      <c r="DA533" s="6"/>
      <c r="DB533" s="6"/>
      <c r="DC533" s="6"/>
      <c r="DD533" s="6"/>
      <c r="DE533" s="6"/>
      <c r="DF533" s="6"/>
      <c r="DG533" s="6"/>
      <c r="DH533" s="6"/>
      <c r="DI533" s="6"/>
      <c r="DJ533" s="6"/>
    </row>
    <row r="534" spans="2:114" x14ac:dyDescent="0.2">
      <c r="B534" s="68"/>
      <c r="C534" s="69"/>
      <c r="D534" s="70"/>
      <c r="F534" s="68"/>
      <c r="G534" s="69"/>
      <c r="H534" s="70"/>
      <c r="J534" s="71"/>
      <c r="K534" s="71"/>
      <c r="L534" s="67"/>
      <c r="N534" s="71"/>
      <c r="O534" s="71"/>
      <c r="P534" s="67"/>
      <c r="R534" s="67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6"/>
      <c r="BY534" s="6"/>
      <c r="BZ534" s="6"/>
      <c r="CA534" s="6"/>
      <c r="CB534" s="6"/>
      <c r="CC534" s="6"/>
      <c r="CD534" s="6"/>
      <c r="CE534" s="6"/>
      <c r="CF534" s="6"/>
      <c r="CG534" s="6"/>
      <c r="CH534" s="6"/>
      <c r="CI534" s="6"/>
      <c r="CJ534" s="6"/>
      <c r="CK534" s="6"/>
      <c r="CL534" s="6"/>
      <c r="CM534" s="6"/>
      <c r="CN534" s="6"/>
      <c r="CO534" s="6"/>
      <c r="CP534" s="6"/>
      <c r="CQ534" s="6"/>
      <c r="CR534" s="6"/>
      <c r="CS534" s="6"/>
      <c r="CT534" s="6"/>
      <c r="CU534" s="6"/>
      <c r="CV534" s="6"/>
      <c r="CW534" s="6"/>
      <c r="CX534" s="6"/>
      <c r="CY534" s="6"/>
      <c r="CZ534" s="6"/>
      <c r="DA534" s="6"/>
      <c r="DB534" s="6"/>
      <c r="DC534" s="6"/>
      <c r="DD534" s="6"/>
      <c r="DE534" s="6"/>
      <c r="DF534" s="6"/>
      <c r="DG534" s="6"/>
      <c r="DH534" s="6"/>
      <c r="DI534" s="6"/>
      <c r="DJ534" s="6"/>
    </row>
    <row r="535" spans="2:114" x14ac:dyDescent="0.2">
      <c r="B535" s="68"/>
      <c r="C535" s="69"/>
      <c r="D535" s="70"/>
      <c r="F535" s="68"/>
      <c r="G535" s="69"/>
      <c r="H535" s="70"/>
      <c r="J535" s="71"/>
      <c r="K535" s="71"/>
      <c r="L535" s="67"/>
      <c r="N535" s="71"/>
      <c r="O535" s="71"/>
      <c r="P535" s="67"/>
      <c r="R535" s="67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6"/>
      <c r="BY535" s="6"/>
      <c r="BZ535" s="6"/>
      <c r="CA535" s="6"/>
      <c r="CB535" s="6"/>
      <c r="CC535" s="6"/>
      <c r="CD535" s="6"/>
      <c r="CE535" s="6"/>
      <c r="CF535" s="6"/>
      <c r="CG535" s="6"/>
      <c r="CH535" s="6"/>
      <c r="CI535" s="6"/>
      <c r="CJ535" s="6"/>
      <c r="CK535" s="6"/>
      <c r="CL535" s="6"/>
      <c r="CM535" s="6"/>
      <c r="CN535" s="6"/>
      <c r="CO535" s="6"/>
      <c r="CP535" s="6"/>
      <c r="CQ535" s="6"/>
      <c r="CR535" s="6"/>
      <c r="CS535" s="6"/>
      <c r="CT535" s="6"/>
      <c r="CU535" s="6"/>
      <c r="CV535" s="6"/>
      <c r="CW535" s="6"/>
      <c r="CX535" s="6"/>
      <c r="CY535" s="6"/>
      <c r="CZ535" s="6"/>
      <c r="DA535" s="6"/>
      <c r="DB535" s="6"/>
      <c r="DC535" s="6"/>
      <c r="DD535" s="6"/>
      <c r="DE535" s="6"/>
      <c r="DF535" s="6"/>
      <c r="DG535" s="6"/>
      <c r="DH535" s="6"/>
      <c r="DI535" s="6"/>
      <c r="DJ535" s="6"/>
    </row>
    <row r="536" spans="2:114" x14ac:dyDescent="0.2">
      <c r="B536" s="68"/>
      <c r="C536" s="69"/>
      <c r="D536" s="70"/>
      <c r="F536" s="68"/>
      <c r="G536" s="69"/>
      <c r="H536" s="70"/>
      <c r="J536" s="71"/>
      <c r="K536" s="71"/>
      <c r="L536" s="67"/>
      <c r="N536" s="71"/>
      <c r="O536" s="71"/>
      <c r="P536" s="67"/>
      <c r="R536" s="67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6"/>
      <c r="BY536" s="6"/>
      <c r="BZ536" s="6"/>
      <c r="CA536" s="6"/>
      <c r="CB536" s="6"/>
      <c r="CC536" s="6"/>
      <c r="CD536" s="6"/>
      <c r="CE536" s="6"/>
      <c r="CF536" s="6"/>
      <c r="CG536" s="6"/>
      <c r="CH536" s="6"/>
      <c r="CI536" s="6"/>
      <c r="CJ536" s="6"/>
      <c r="CK536" s="6"/>
      <c r="CL536" s="6"/>
      <c r="CM536" s="6"/>
      <c r="CN536" s="6"/>
      <c r="CO536" s="6"/>
      <c r="CP536" s="6"/>
      <c r="CQ536" s="6"/>
      <c r="CR536" s="6"/>
      <c r="CS536" s="6"/>
      <c r="CT536" s="6"/>
      <c r="CU536" s="6"/>
      <c r="CV536" s="6"/>
      <c r="CW536" s="6"/>
      <c r="CX536" s="6"/>
      <c r="CY536" s="6"/>
      <c r="CZ536" s="6"/>
      <c r="DA536" s="6"/>
      <c r="DB536" s="6"/>
      <c r="DC536" s="6"/>
      <c r="DD536" s="6"/>
      <c r="DE536" s="6"/>
      <c r="DF536" s="6"/>
      <c r="DG536" s="6"/>
      <c r="DH536" s="6"/>
      <c r="DI536" s="6"/>
      <c r="DJ536" s="6"/>
    </row>
    <row r="537" spans="2:114" x14ac:dyDescent="0.2">
      <c r="B537" s="68"/>
      <c r="C537" s="69"/>
      <c r="D537" s="70"/>
      <c r="F537" s="68"/>
      <c r="G537" s="69"/>
      <c r="H537" s="70"/>
      <c r="J537" s="71"/>
      <c r="K537" s="71"/>
      <c r="L537" s="67"/>
      <c r="N537" s="71"/>
      <c r="O537" s="71"/>
      <c r="P537" s="67"/>
      <c r="R537" s="67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6"/>
      <c r="BY537" s="6"/>
      <c r="BZ537" s="6"/>
      <c r="CA537" s="6"/>
      <c r="CB537" s="6"/>
      <c r="CC537" s="6"/>
      <c r="CD537" s="6"/>
      <c r="CE537" s="6"/>
      <c r="CF537" s="6"/>
      <c r="CG537" s="6"/>
      <c r="CH537" s="6"/>
      <c r="CI537" s="6"/>
      <c r="CJ537" s="6"/>
      <c r="CK537" s="6"/>
      <c r="CL537" s="6"/>
      <c r="CM537" s="6"/>
      <c r="CN537" s="6"/>
      <c r="CO537" s="6"/>
      <c r="CP537" s="6"/>
      <c r="CQ537" s="6"/>
      <c r="CR537" s="6"/>
      <c r="CS537" s="6"/>
      <c r="CT537" s="6"/>
      <c r="CU537" s="6"/>
      <c r="CV537" s="6"/>
      <c r="CW537" s="6"/>
      <c r="CX537" s="6"/>
      <c r="CY537" s="6"/>
      <c r="CZ537" s="6"/>
      <c r="DA537" s="6"/>
      <c r="DB537" s="6"/>
      <c r="DC537" s="6"/>
      <c r="DD537" s="6"/>
      <c r="DE537" s="6"/>
      <c r="DF537" s="6"/>
      <c r="DG537" s="6"/>
      <c r="DH537" s="6"/>
      <c r="DI537" s="6"/>
      <c r="DJ537" s="6"/>
    </row>
    <row r="538" spans="2:114" x14ac:dyDescent="0.2">
      <c r="B538" s="68"/>
      <c r="C538" s="69"/>
      <c r="D538" s="70"/>
      <c r="F538" s="68"/>
      <c r="G538" s="69"/>
      <c r="H538" s="70"/>
      <c r="J538" s="71"/>
      <c r="K538" s="71"/>
      <c r="L538" s="67"/>
      <c r="N538" s="71"/>
      <c r="O538" s="71"/>
      <c r="P538" s="67"/>
      <c r="R538" s="67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6"/>
      <c r="BY538" s="6"/>
      <c r="BZ538" s="6"/>
      <c r="CA538" s="6"/>
      <c r="CB538" s="6"/>
      <c r="CC538" s="6"/>
      <c r="CD538" s="6"/>
      <c r="CE538" s="6"/>
      <c r="CF538" s="6"/>
      <c r="CG538" s="6"/>
      <c r="CH538" s="6"/>
      <c r="CI538" s="6"/>
      <c r="CJ538" s="6"/>
      <c r="CK538" s="6"/>
      <c r="CL538" s="6"/>
      <c r="CM538" s="6"/>
      <c r="CN538" s="6"/>
      <c r="CO538" s="6"/>
      <c r="CP538" s="6"/>
      <c r="CQ538" s="6"/>
      <c r="CR538" s="6"/>
      <c r="CS538" s="6"/>
      <c r="CT538" s="6"/>
      <c r="CU538" s="6"/>
      <c r="CV538" s="6"/>
      <c r="CW538" s="6"/>
      <c r="CX538" s="6"/>
      <c r="CY538" s="6"/>
      <c r="CZ538" s="6"/>
      <c r="DA538" s="6"/>
      <c r="DB538" s="6"/>
      <c r="DC538" s="6"/>
      <c r="DD538" s="6"/>
      <c r="DE538" s="6"/>
      <c r="DF538" s="6"/>
      <c r="DG538" s="6"/>
      <c r="DH538" s="6"/>
      <c r="DI538" s="6"/>
      <c r="DJ538" s="6"/>
    </row>
    <row r="539" spans="2:114" x14ac:dyDescent="0.2">
      <c r="B539" s="68"/>
      <c r="C539" s="69"/>
      <c r="D539" s="70"/>
      <c r="F539" s="68"/>
      <c r="G539" s="69"/>
      <c r="H539" s="70"/>
      <c r="J539" s="71"/>
      <c r="K539" s="71"/>
      <c r="L539" s="67"/>
      <c r="N539" s="71"/>
      <c r="O539" s="71"/>
      <c r="P539" s="67"/>
      <c r="R539" s="67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6"/>
      <c r="BY539" s="6"/>
      <c r="BZ539" s="6"/>
      <c r="CA539" s="6"/>
      <c r="CB539" s="6"/>
      <c r="CC539" s="6"/>
      <c r="CD539" s="6"/>
      <c r="CE539" s="6"/>
      <c r="CF539" s="6"/>
      <c r="CG539" s="6"/>
      <c r="CH539" s="6"/>
      <c r="CI539" s="6"/>
      <c r="CJ539" s="6"/>
      <c r="CK539" s="6"/>
      <c r="CL539" s="6"/>
      <c r="CM539" s="6"/>
      <c r="CN539" s="6"/>
      <c r="CO539" s="6"/>
      <c r="CP539" s="6"/>
      <c r="CQ539" s="6"/>
      <c r="CR539" s="6"/>
      <c r="CS539" s="6"/>
      <c r="CT539" s="6"/>
      <c r="CU539" s="6"/>
      <c r="CV539" s="6"/>
      <c r="CW539" s="6"/>
      <c r="CX539" s="6"/>
      <c r="CY539" s="6"/>
      <c r="CZ539" s="6"/>
      <c r="DA539" s="6"/>
      <c r="DB539" s="6"/>
      <c r="DC539" s="6"/>
      <c r="DD539" s="6"/>
      <c r="DE539" s="6"/>
      <c r="DF539" s="6"/>
      <c r="DG539" s="6"/>
      <c r="DH539" s="6"/>
      <c r="DI539" s="6"/>
      <c r="DJ539" s="6"/>
    </row>
    <row r="540" spans="2:114" x14ac:dyDescent="0.2">
      <c r="B540" s="68"/>
      <c r="C540" s="69"/>
      <c r="D540" s="70"/>
      <c r="F540" s="68"/>
      <c r="G540" s="69"/>
      <c r="H540" s="70"/>
      <c r="J540" s="71"/>
      <c r="K540" s="71"/>
      <c r="L540" s="67"/>
      <c r="N540" s="71"/>
      <c r="O540" s="71"/>
      <c r="P540" s="67"/>
      <c r="R540" s="67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6"/>
      <c r="BY540" s="6"/>
      <c r="BZ540" s="6"/>
      <c r="CA540" s="6"/>
      <c r="CB540" s="6"/>
      <c r="CC540" s="6"/>
      <c r="CD540" s="6"/>
      <c r="CE540" s="6"/>
      <c r="CF540" s="6"/>
      <c r="CG540" s="6"/>
      <c r="CH540" s="6"/>
      <c r="CI540" s="6"/>
      <c r="CJ540" s="6"/>
      <c r="CK540" s="6"/>
      <c r="CL540" s="6"/>
      <c r="CM540" s="6"/>
      <c r="CN540" s="6"/>
      <c r="CO540" s="6"/>
      <c r="CP540" s="6"/>
      <c r="CQ540" s="6"/>
      <c r="CR540" s="6"/>
      <c r="CS540" s="6"/>
      <c r="CT540" s="6"/>
      <c r="CU540" s="6"/>
      <c r="CV540" s="6"/>
      <c r="CW540" s="6"/>
      <c r="CX540" s="6"/>
      <c r="CY540" s="6"/>
      <c r="CZ540" s="6"/>
      <c r="DA540" s="6"/>
      <c r="DB540" s="6"/>
      <c r="DC540" s="6"/>
      <c r="DD540" s="6"/>
      <c r="DE540" s="6"/>
      <c r="DF540" s="6"/>
      <c r="DG540" s="6"/>
      <c r="DH540" s="6"/>
      <c r="DI540" s="6"/>
      <c r="DJ540" s="6"/>
    </row>
    <row r="541" spans="2:114" x14ac:dyDescent="0.2">
      <c r="B541" s="68"/>
      <c r="C541" s="69"/>
      <c r="D541" s="70"/>
      <c r="F541" s="68"/>
      <c r="G541" s="69"/>
      <c r="H541" s="70"/>
      <c r="J541" s="71"/>
      <c r="K541" s="71"/>
      <c r="L541" s="67"/>
      <c r="N541" s="71"/>
      <c r="O541" s="71"/>
      <c r="P541" s="67"/>
      <c r="R541" s="67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6"/>
      <c r="BY541" s="6"/>
      <c r="BZ541" s="6"/>
      <c r="CA541" s="6"/>
      <c r="CB541" s="6"/>
      <c r="CC541" s="6"/>
      <c r="CD541" s="6"/>
      <c r="CE541" s="6"/>
      <c r="CF541" s="6"/>
      <c r="CG541" s="6"/>
      <c r="CH541" s="6"/>
      <c r="CI541" s="6"/>
      <c r="CJ541" s="6"/>
      <c r="CK541" s="6"/>
      <c r="CL541" s="6"/>
      <c r="CM541" s="6"/>
      <c r="CN541" s="6"/>
      <c r="CO541" s="6"/>
      <c r="CP541" s="6"/>
      <c r="CQ541" s="6"/>
      <c r="CR541" s="6"/>
      <c r="CS541" s="6"/>
      <c r="CT541" s="6"/>
      <c r="CU541" s="6"/>
      <c r="CV541" s="6"/>
      <c r="CW541" s="6"/>
      <c r="CX541" s="6"/>
      <c r="CY541" s="6"/>
      <c r="CZ541" s="6"/>
      <c r="DA541" s="6"/>
      <c r="DB541" s="6"/>
      <c r="DC541" s="6"/>
      <c r="DD541" s="6"/>
      <c r="DE541" s="6"/>
      <c r="DF541" s="6"/>
      <c r="DG541" s="6"/>
      <c r="DH541" s="6"/>
      <c r="DI541" s="6"/>
      <c r="DJ541" s="6"/>
    </row>
    <row r="542" spans="2:114" x14ac:dyDescent="0.2">
      <c r="B542" s="68"/>
      <c r="C542" s="69"/>
      <c r="D542" s="70"/>
      <c r="F542" s="68"/>
      <c r="G542" s="69"/>
      <c r="H542" s="70"/>
      <c r="J542" s="71"/>
      <c r="K542" s="71"/>
      <c r="L542" s="67"/>
      <c r="N542" s="71"/>
      <c r="O542" s="71"/>
      <c r="P542" s="67"/>
      <c r="R542" s="67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6"/>
      <c r="BY542" s="6"/>
      <c r="BZ542" s="6"/>
      <c r="CA542" s="6"/>
      <c r="CB542" s="6"/>
      <c r="CC542" s="6"/>
      <c r="CD542" s="6"/>
      <c r="CE542" s="6"/>
      <c r="CF542" s="6"/>
      <c r="CG542" s="6"/>
      <c r="CH542" s="6"/>
      <c r="CI542" s="6"/>
      <c r="CJ542" s="6"/>
      <c r="CK542" s="6"/>
      <c r="CL542" s="6"/>
      <c r="CM542" s="6"/>
      <c r="CN542" s="6"/>
      <c r="CO542" s="6"/>
      <c r="CP542" s="6"/>
      <c r="CQ542" s="6"/>
      <c r="CR542" s="6"/>
      <c r="CS542" s="6"/>
      <c r="CT542" s="6"/>
      <c r="CU542" s="6"/>
      <c r="CV542" s="6"/>
      <c r="CW542" s="6"/>
      <c r="CX542" s="6"/>
      <c r="CY542" s="6"/>
      <c r="CZ542" s="6"/>
      <c r="DA542" s="6"/>
      <c r="DB542" s="6"/>
      <c r="DC542" s="6"/>
      <c r="DD542" s="6"/>
      <c r="DE542" s="6"/>
      <c r="DF542" s="6"/>
      <c r="DG542" s="6"/>
      <c r="DH542" s="6"/>
      <c r="DI542" s="6"/>
      <c r="DJ542" s="6"/>
    </row>
    <row r="543" spans="2:114" x14ac:dyDescent="0.2">
      <c r="B543" s="68"/>
      <c r="C543" s="69"/>
      <c r="D543" s="70"/>
      <c r="F543" s="68"/>
      <c r="G543" s="69"/>
      <c r="H543" s="70"/>
      <c r="J543" s="71"/>
      <c r="K543" s="71"/>
      <c r="L543" s="67"/>
      <c r="N543" s="71"/>
      <c r="O543" s="71"/>
      <c r="P543" s="67"/>
      <c r="R543" s="67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6"/>
      <c r="BY543" s="6"/>
      <c r="BZ543" s="6"/>
      <c r="CA543" s="6"/>
      <c r="CB543" s="6"/>
      <c r="CC543" s="6"/>
      <c r="CD543" s="6"/>
      <c r="CE543" s="6"/>
      <c r="CF543" s="6"/>
      <c r="CG543" s="6"/>
      <c r="CH543" s="6"/>
      <c r="CI543" s="6"/>
      <c r="CJ543" s="6"/>
      <c r="CK543" s="6"/>
      <c r="CL543" s="6"/>
      <c r="CM543" s="6"/>
      <c r="CN543" s="6"/>
      <c r="CO543" s="6"/>
      <c r="CP543" s="6"/>
      <c r="CQ543" s="6"/>
      <c r="CR543" s="6"/>
      <c r="CS543" s="6"/>
      <c r="CT543" s="6"/>
      <c r="CU543" s="6"/>
      <c r="CV543" s="6"/>
      <c r="CW543" s="6"/>
      <c r="CX543" s="6"/>
      <c r="CY543" s="6"/>
      <c r="CZ543" s="6"/>
      <c r="DA543" s="6"/>
      <c r="DB543" s="6"/>
      <c r="DC543" s="6"/>
      <c r="DD543" s="6"/>
      <c r="DE543" s="6"/>
      <c r="DF543" s="6"/>
      <c r="DG543" s="6"/>
      <c r="DH543" s="6"/>
      <c r="DI543" s="6"/>
      <c r="DJ543" s="6"/>
    </row>
    <row r="544" spans="2:114" x14ac:dyDescent="0.2">
      <c r="B544" s="68"/>
      <c r="C544" s="69"/>
      <c r="D544" s="70"/>
      <c r="F544" s="68"/>
      <c r="G544" s="69"/>
      <c r="H544" s="70"/>
      <c r="J544" s="71"/>
      <c r="K544" s="71"/>
      <c r="L544" s="67"/>
      <c r="N544" s="71"/>
      <c r="O544" s="71"/>
      <c r="P544" s="67"/>
      <c r="R544" s="67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6"/>
      <c r="BY544" s="6"/>
      <c r="BZ544" s="6"/>
      <c r="CA544" s="6"/>
      <c r="CB544" s="6"/>
      <c r="CC544" s="6"/>
      <c r="CD544" s="6"/>
      <c r="CE544" s="6"/>
      <c r="CF544" s="6"/>
      <c r="CG544" s="6"/>
      <c r="CH544" s="6"/>
      <c r="CI544" s="6"/>
      <c r="CJ544" s="6"/>
      <c r="CK544" s="6"/>
      <c r="CL544" s="6"/>
      <c r="CM544" s="6"/>
      <c r="CN544" s="6"/>
      <c r="CO544" s="6"/>
      <c r="CP544" s="6"/>
      <c r="CQ544" s="6"/>
      <c r="CR544" s="6"/>
      <c r="CS544" s="6"/>
      <c r="CT544" s="6"/>
      <c r="CU544" s="6"/>
      <c r="CV544" s="6"/>
      <c r="CW544" s="6"/>
      <c r="CX544" s="6"/>
      <c r="CY544" s="6"/>
      <c r="CZ544" s="6"/>
      <c r="DA544" s="6"/>
      <c r="DB544" s="6"/>
      <c r="DC544" s="6"/>
      <c r="DD544" s="6"/>
      <c r="DE544" s="6"/>
      <c r="DF544" s="6"/>
      <c r="DG544" s="6"/>
      <c r="DH544" s="6"/>
      <c r="DI544" s="6"/>
      <c r="DJ544" s="6"/>
    </row>
    <row r="545" spans="2:114" x14ac:dyDescent="0.2">
      <c r="B545" s="68"/>
      <c r="C545" s="69"/>
      <c r="D545" s="70"/>
      <c r="F545" s="68"/>
      <c r="G545" s="69"/>
      <c r="H545" s="70"/>
      <c r="J545" s="71"/>
      <c r="K545" s="71"/>
      <c r="L545" s="67"/>
      <c r="N545" s="71"/>
      <c r="O545" s="71"/>
      <c r="P545" s="67"/>
      <c r="R545" s="67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6"/>
      <c r="BY545" s="6"/>
      <c r="BZ545" s="6"/>
      <c r="CA545" s="6"/>
      <c r="CB545" s="6"/>
      <c r="CC545" s="6"/>
      <c r="CD545" s="6"/>
      <c r="CE545" s="6"/>
      <c r="CF545" s="6"/>
      <c r="CG545" s="6"/>
      <c r="CH545" s="6"/>
      <c r="CI545" s="6"/>
      <c r="CJ545" s="6"/>
      <c r="CK545" s="6"/>
      <c r="CL545" s="6"/>
      <c r="CM545" s="6"/>
      <c r="CN545" s="6"/>
      <c r="CO545" s="6"/>
      <c r="CP545" s="6"/>
      <c r="CQ545" s="6"/>
      <c r="CR545" s="6"/>
      <c r="CS545" s="6"/>
      <c r="CT545" s="6"/>
      <c r="CU545" s="6"/>
      <c r="CV545" s="6"/>
      <c r="CW545" s="6"/>
      <c r="CX545" s="6"/>
      <c r="CY545" s="6"/>
      <c r="CZ545" s="6"/>
      <c r="DA545" s="6"/>
      <c r="DB545" s="6"/>
      <c r="DC545" s="6"/>
      <c r="DD545" s="6"/>
      <c r="DE545" s="6"/>
      <c r="DF545" s="6"/>
      <c r="DG545" s="6"/>
      <c r="DH545" s="6"/>
      <c r="DI545" s="6"/>
      <c r="DJ545" s="6"/>
    </row>
    <row r="546" spans="2:114" x14ac:dyDescent="0.2">
      <c r="B546" s="68"/>
      <c r="C546" s="69"/>
      <c r="D546" s="70"/>
      <c r="F546" s="68"/>
      <c r="G546" s="69"/>
      <c r="H546" s="70"/>
      <c r="J546" s="71"/>
      <c r="K546" s="71"/>
      <c r="L546" s="67"/>
      <c r="N546" s="71"/>
      <c r="O546" s="71"/>
      <c r="P546" s="67"/>
      <c r="R546" s="67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6"/>
      <c r="BY546" s="6"/>
      <c r="BZ546" s="6"/>
      <c r="CA546" s="6"/>
      <c r="CB546" s="6"/>
      <c r="CC546" s="6"/>
      <c r="CD546" s="6"/>
      <c r="CE546" s="6"/>
      <c r="CF546" s="6"/>
      <c r="CG546" s="6"/>
      <c r="CH546" s="6"/>
      <c r="CI546" s="6"/>
      <c r="CJ546" s="6"/>
      <c r="CK546" s="6"/>
      <c r="CL546" s="6"/>
      <c r="CM546" s="6"/>
      <c r="CN546" s="6"/>
      <c r="CO546" s="6"/>
      <c r="CP546" s="6"/>
      <c r="CQ546" s="6"/>
      <c r="CR546" s="6"/>
      <c r="CS546" s="6"/>
      <c r="CT546" s="6"/>
      <c r="CU546" s="6"/>
      <c r="CV546" s="6"/>
      <c r="CW546" s="6"/>
      <c r="CX546" s="6"/>
      <c r="CY546" s="6"/>
      <c r="CZ546" s="6"/>
      <c r="DA546" s="6"/>
      <c r="DB546" s="6"/>
      <c r="DC546" s="6"/>
      <c r="DD546" s="6"/>
      <c r="DE546" s="6"/>
      <c r="DF546" s="6"/>
      <c r="DG546" s="6"/>
      <c r="DH546" s="6"/>
      <c r="DI546" s="6"/>
      <c r="DJ546" s="6"/>
    </row>
    <row r="547" spans="2:114" x14ac:dyDescent="0.2">
      <c r="B547" s="68"/>
      <c r="C547" s="69"/>
      <c r="D547" s="70"/>
      <c r="F547" s="68"/>
      <c r="G547" s="69"/>
      <c r="H547" s="70"/>
      <c r="J547" s="71"/>
      <c r="K547" s="71"/>
      <c r="L547" s="67"/>
      <c r="N547" s="71"/>
      <c r="O547" s="71"/>
      <c r="P547" s="67"/>
      <c r="R547" s="67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6"/>
      <c r="BY547" s="6"/>
      <c r="BZ547" s="6"/>
      <c r="CA547" s="6"/>
      <c r="CB547" s="6"/>
      <c r="CC547" s="6"/>
      <c r="CD547" s="6"/>
      <c r="CE547" s="6"/>
      <c r="CF547" s="6"/>
      <c r="CG547" s="6"/>
      <c r="CH547" s="6"/>
      <c r="CI547" s="6"/>
      <c r="CJ547" s="6"/>
      <c r="CK547" s="6"/>
      <c r="CL547" s="6"/>
      <c r="CM547" s="6"/>
      <c r="CN547" s="6"/>
      <c r="CO547" s="6"/>
      <c r="CP547" s="6"/>
      <c r="CQ547" s="6"/>
      <c r="CR547" s="6"/>
      <c r="CS547" s="6"/>
      <c r="CT547" s="6"/>
      <c r="CU547" s="6"/>
      <c r="CV547" s="6"/>
      <c r="CW547" s="6"/>
      <c r="CX547" s="6"/>
      <c r="CY547" s="6"/>
      <c r="CZ547" s="6"/>
      <c r="DA547" s="6"/>
      <c r="DB547" s="6"/>
      <c r="DC547" s="6"/>
      <c r="DD547" s="6"/>
      <c r="DE547" s="6"/>
      <c r="DF547" s="6"/>
      <c r="DG547" s="6"/>
      <c r="DH547" s="6"/>
      <c r="DI547" s="6"/>
      <c r="DJ547" s="6"/>
    </row>
    <row r="548" spans="2:114" x14ac:dyDescent="0.2">
      <c r="B548" s="68"/>
      <c r="C548" s="69"/>
      <c r="D548" s="70"/>
      <c r="F548" s="68"/>
      <c r="G548" s="69"/>
      <c r="H548" s="70"/>
      <c r="J548" s="71"/>
      <c r="K548" s="71"/>
      <c r="L548" s="67"/>
      <c r="N548" s="71"/>
      <c r="O548" s="71"/>
      <c r="P548" s="67"/>
      <c r="R548" s="67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6"/>
      <c r="BY548" s="6"/>
      <c r="BZ548" s="6"/>
      <c r="CA548" s="6"/>
      <c r="CB548" s="6"/>
      <c r="CC548" s="6"/>
      <c r="CD548" s="6"/>
      <c r="CE548" s="6"/>
      <c r="CF548" s="6"/>
      <c r="CG548" s="6"/>
      <c r="CH548" s="6"/>
      <c r="CI548" s="6"/>
      <c r="CJ548" s="6"/>
      <c r="CK548" s="6"/>
      <c r="CL548" s="6"/>
      <c r="CM548" s="6"/>
      <c r="CN548" s="6"/>
      <c r="CO548" s="6"/>
      <c r="CP548" s="6"/>
      <c r="CQ548" s="6"/>
      <c r="CR548" s="6"/>
      <c r="CS548" s="6"/>
      <c r="CT548" s="6"/>
      <c r="CU548" s="6"/>
      <c r="CV548" s="6"/>
      <c r="CW548" s="6"/>
      <c r="CX548" s="6"/>
      <c r="CY548" s="6"/>
      <c r="CZ548" s="6"/>
      <c r="DA548" s="6"/>
      <c r="DB548" s="6"/>
      <c r="DC548" s="6"/>
      <c r="DD548" s="6"/>
      <c r="DE548" s="6"/>
      <c r="DF548" s="6"/>
      <c r="DG548" s="6"/>
      <c r="DH548" s="6"/>
      <c r="DI548" s="6"/>
      <c r="DJ548" s="6"/>
    </row>
    <row r="549" spans="2:114" x14ac:dyDescent="0.2">
      <c r="B549" s="68"/>
      <c r="C549" s="69"/>
      <c r="D549" s="70"/>
      <c r="F549" s="68"/>
      <c r="G549" s="69"/>
      <c r="H549" s="70"/>
      <c r="J549" s="71"/>
      <c r="K549" s="71"/>
      <c r="L549" s="67"/>
      <c r="N549" s="71"/>
      <c r="O549" s="71"/>
      <c r="P549" s="67"/>
      <c r="R549" s="67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6"/>
      <c r="BY549" s="6"/>
      <c r="BZ549" s="6"/>
      <c r="CA549" s="6"/>
      <c r="CB549" s="6"/>
      <c r="CC549" s="6"/>
      <c r="CD549" s="6"/>
      <c r="CE549" s="6"/>
      <c r="CF549" s="6"/>
      <c r="CG549" s="6"/>
      <c r="CH549" s="6"/>
      <c r="CI549" s="6"/>
      <c r="CJ549" s="6"/>
      <c r="CK549" s="6"/>
      <c r="CL549" s="6"/>
      <c r="CM549" s="6"/>
      <c r="CN549" s="6"/>
      <c r="CO549" s="6"/>
      <c r="CP549" s="6"/>
      <c r="CQ549" s="6"/>
      <c r="CR549" s="6"/>
      <c r="CS549" s="6"/>
      <c r="CT549" s="6"/>
      <c r="CU549" s="6"/>
      <c r="CV549" s="6"/>
      <c r="CW549" s="6"/>
      <c r="CX549" s="6"/>
      <c r="CY549" s="6"/>
      <c r="CZ549" s="6"/>
      <c r="DA549" s="6"/>
      <c r="DB549" s="6"/>
      <c r="DC549" s="6"/>
      <c r="DD549" s="6"/>
      <c r="DE549" s="6"/>
      <c r="DF549" s="6"/>
      <c r="DG549" s="6"/>
      <c r="DH549" s="6"/>
      <c r="DI549" s="6"/>
      <c r="DJ549" s="6"/>
    </row>
    <row r="550" spans="2:114" x14ac:dyDescent="0.2">
      <c r="B550" s="68"/>
      <c r="C550" s="69"/>
      <c r="D550" s="70"/>
      <c r="F550" s="68"/>
      <c r="G550" s="69"/>
      <c r="H550" s="70"/>
      <c r="J550" s="71"/>
      <c r="K550" s="71"/>
      <c r="L550" s="67"/>
      <c r="N550" s="71"/>
      <c r="O550" s="71"/>
      <c r="P550" s="67"/>
      <c r="R550" s="67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6"/>
      <c r="BY550" s="6"/>
      <c r="BZ550" s="6"/>
      <c r="CA550" s="6"/>
      <c r="CB550" s="6"/>
      <c r="CC550" s="6"/>
      <c r="CD550" s="6"/>
      <c r="CE550" s="6"/>
      <c r="CF550" s="6"/>
      <c r="CG550" s="6"/>
      <c r="CH550" s="6"/>
      <c r="CI550" s="6"/>
      <c r="CJ550" s="6"/>
      <c r="CK550" s="6"/>
      <c r="CL550" s="6"/>
      <c r="CM550" s="6"/>
      <c r="CN550" s="6"/>
      <c r="CO550" s="6"/>
      <c r="CP550" s="6"/>
      <c r="CQ550" s="6"/>
      <c r="CR550" s="6"/>
      <c r="CS550" s="6"/>
      <c r="CT550" s="6"/>
      <c r="CU550" s="6"/>
      <c r="CV550" s="6"/>
      <c r="CW550" s="6"/>
      <c r="CX550" s="6"/>
      <c r="CY550" s="6"/>
      <c r="CZ550" s="6"/>
      <c r="DA550" s="6"/>
      <c r="DB550" s="6"/>
      <c r="DC550" s="6"/>
      <c r="DD550" s="6"/>
      <c r="DE550" s="6"/>
      <c r="DF550" s="6"/>
      <c r="DG550" s="6"/>
      <c r="DH550" s="6"/>
      <c r="DI550" s="6"/>
      <c r="DJ550" s="6"/>
    </row>
    <row r="551" spans="2:114" x14ac:dyDescent="0.2">
      <c r="B551" s="68"/>
      <c r="C551" s="69"/>
      <c r="D551" s="70"/>
      <c r="F551" s="68"/>
      <c r="G551" s="69"/>
      <c r="H551" s="70"/>
      <c r="J551" s="71"/>
      <c r="K551" s="71"/>
      <c r="L551" s="67"/>
      <c r="N551" s="71"/>
      <c r="O551" s="71"/>
      <c r="P551" s="67"/>
      <c r="R551" s="67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6"/>
      <c r="BY551" s="6"/>
      <c r="BZ551" s="6"/>
      <c r="CA551" s="6"/>
      <c r="CB551" s="6"/>
      <c r="CC551" s="6"/>
      <c r="CD551" s="6"/>
      <c r="CE551" s="6"/>
      <c r="CF551" s="6"/>
      <c r="CG551" s="6"/>
      <c r="CH551" s="6"/>
      <c r="CI551" s="6"/>
      <c r="CJ551" s="6"/>
      <c r="CK551" s="6"/>
      <c r="CL551" s="6"/>
      <c r="CM551" s="6"/>
      <c r="CN551" s="6"/>
      <c r="CO551" s="6"/>
      <c r="CP551" s="6"/>
      <c r="CQ551" s="6"/>
      <c r="CR551" s="6"/>
      <c r="CS551" s="6"/>
      <c r="CT551" s="6"/>
      <c r="CU551" s="6"/>
      <c r="CV551" s="6"/>
      <c r="CW551" s="6"/>
      <c r="CX551" s="6"/>
      <c r="CY551" s="6"/>
      <c r="CZ551" s="6"/>
      <c r="DA551" s="6"/>
      <c r="DB551" s="6"/>
      <c r="DC551" s="6"/>
      <c r="DD551" s="6"/>
      <c r="DE551" s="6"/>
      <c r="DF551" s="6"/>
      <c r="DG551" s="6"/>
      <c r="DH551" s="6"/>
      <c r="DI551" s="6"/>
      <c r="DJ551" s="6"/>
    </row>
    <row r="552" spans="2:114" x14ac:dyDescent="0.2">
      <c r="B552" s="68"/>
      <c r="C552" s="69"/>
      <c r="D552" s="70"/>
      <c r="F552" s="68"/>
      <c r="G552" s="69"/>
      <c r="H552" s="70"/>
      <c r="J552" s="71"/>
      <c r="K552" s="71"/>
      <c r="L552" s="67"/>
      <c r="N552" s="71"/>
      <c r="O552" s="71"/>
      <c r="P552" s="67"/>
      <c r="R552" s="67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6"/>
      <c r="BY552" s="6"/>
      <c r="BZ552" s="6"/>
      <c r="CA552" s="6"/>
      <c r="CB552" s="6"/>
      <c r="CC552" s="6"/>
      <c r="CD552" s="6"/>
      <c r="CE552" s="6"/>
      <c r="CF552" s="6"/>
      <c r="CG552" s="6"/>
      <c r="CH552" s="6"/>
      <c r="CI552" s="6"/>
      <c r="CJ552" s="6"/>
      <c r="CK552" s="6"/>
      <c r="CL552" s="6"/>
      <c r="CM552" s="6"/>
      <c r="CN552" s="6"/>
      <c r="CO552" s="6"/>
      <c r="CP552" s="6"/>
      <c r="CQ552" s="6"/>
      <c r="CR552" s="6"/>
      <c r="CS552" s="6"/>
      <c r="CT552" s="6"/>
      <c r="CU552" s="6"/>
      <c r="CV552" s="6"/>
      <c r="CW552" s="6"/>
      <c r="CX552" s="6"/>
      <c r="CY552" s="6"/>
      <c r="CZ552" s="6"/>
      <c r="DA552" s="6"/>
      <c r="DB552" s="6"/>
      <c r="DC552" s="6"/>
      <c r="DD552" s="6"/>
      <c r="DE552" s="6"/>
      <c r="DF552" s="6"/>
      <c r="DG552" s="6"/>
      <c r="DH552" s="6"/>
      <c r="DI552" s="6"/>
      <c r="DJ552" s="6"/>
    </row>
    <row r="553" spans="2:114" x14ac:dyDescent="0.2">
      <c r="B553" s="68"/>
      <c r="C553" s="69"/>
      <c r="D553" s="70"/>
      <c r="F553" s="68"/>
      <c r="G553" s="69"/>
      <c r="H553" s="70"/>
      <c r="J553" s="71"/>
      <c r="K553" s="71"/>
      <c r="L553" s="67"/>
      <c r="N553" s="71"/>
      <c r="O553" s="71"/>
      <c r="P553" s="67"/>
      <c r="R553" s="67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6"/>
      <c r="BY553" s="6"/>
      <c r="BZ553" s="6"/>
      <c r="CA553" s="6"/>
      <c r="CB553" s="6"/>
      <c r="CC553" s="6"/>
      <c r="CD553" s="6"/>
      <c r="CE553" s="6"/>
      <c r="CF553" s="6"/>
      <c r="CG553" s="6"/>
      <c r="CH553" s="6"/>
      <c r="CI553" s="6"/>
      <c r="CJ553" s="6"/>
      <c r="CK553" s="6"/>
      <c r="CL553" s="6"/>
      <c r="CM553" s="6"/>
      <c r="CN553" s="6"/>
      <c r="CO553" s="6"/>
      <c r="CP553" s="6"/>
      <c r="CQ553" s="6"/>
      <c r="CR553" s="6"/>
      <c r="CS553" s="6"/>
      <c r="CT553" s="6"/>
      <c r="CU553" s="6"/>
      <c r="CV553" s="6"/>
      <c r="CW553" s="6"/>
      <c r="CX553" s="6"/>
      <c r="CY553" s="6"/>
      <c r="CZ553" s="6"/>
      <c r="DA553" s="6"/>
      <c r="DB553" s="6"/>
      <c r="DC553" s="6"/>
      <c r="DD553" s="6"/>
      <c r="DE553" s="6"/>
      <c r="DF553" s="6"/>
      <c r="DG553" s="6"/>
      <c r="DH553" s="6"/>
      <c r="DI553" s="6"/>
      <c r="DJ553" s="6"/>
    </row>
    <row r="554" spans="2:114" x14ac:dyDescent="0.2">
      <c r="B554" s="68"/>
      <c r="C554" s="69"/>
      <c r="D554" s="70"/>
      <c r="F554" s="68"/>
      <c r="G554" s="69"/>
      <c r="H554" s="70"/>
      <c r="J554" s="71"/>
      <c r="K554" s="71"/>
      <c r="L554" s="67"/>
      <c r="N554" s="71"/>
      <c r="O554" s="71"/>
      <c r="P554" s="67"/>
      <c r="R554" s="67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6"/>
      <c r="BY554" s="6"/>
      <c r="BZ554" s="6"/>
      <c r="CA554" s="6"/>
      <c r="CB554" s="6"/>
      <c r="CC554" s="6"/>
      <c r="CD554" s="6"/>
      <c r="CE554" s="6"/>
      <c r="CF554" s="6"/>
      <c r="CG554" s="6"/>
      <c r="CH554" s="6"/>
      <c r="CI554" s="6"/>
      <c r="CJ554" s="6"/>
      <c r="CK554" s="6"/>
      <c r="CL554" s="6"/>
      <c r="CM554" s="6"/>
      <c r="CN554" s="6"/>
      <c r="CO554" s="6"/>
      <c r="CP554" s="6"/>
      <c r="CQ554" s="6"/>
      <c r="CR554" s="6"/>
      <c r="CS554" s="6"/>
      <c r="CT554" s="6"/>
      <c r="CU554" s="6"/>
      <c r="CV554" s="6"/>
      <c r="CW554" s="6"/>
      <c r="CX554" s="6"/>
      <c r="CY554" s="6"/>
      <c r="CZ554" s="6"/>
      <c r="DA554" s="6"/>
      <c r="DB554" s="6"/>
      <c r="DC554" s="6"/>
      <c r="DD554" s="6"/>
      <c r="DE554" s="6"/>
      <c r="DF554" s="6"/>
      <c r="DG554" s="6"/>
      <c r="DH554" s="6"/>
      <c r="DI554" s="6"/>
      <c r="DJ554" s="6"/>
    </row>
    <row r="555" spans="2:114" x14ac:dyDescent="0.2">
      <c r="B555" s="68"/>
      <c r="C555" s="69"/>
      <c r="D555" s="70"/>
      <c r="F555" s="68"/>
      <c r="G555" s="69"/>
      <c r="H555" s="70"/>
      <c r="J555" s="71"/>
      <c r="K555" s="71"/>
      <c r="L555" s="67"/>
      <c r="N555" s="71"/>
      <c r="O555" s="71"/>
      <c r="P555" s="67"/>
      <c r="R555" s="67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6"/>
      <c r="BY555" s="6"/>
      <c r="BZ555" s="6"/>
      <c r="CA555" s="6"/>
      <c r="CB555" s="6"/>
      <c r="CC555" s="6"/>
      <c r="CD555" s="6"/>
      <c r="CE555" s="6"/>
      <c r="CF555" s="6"/>
      <c r="CG555" s="6"/>
      <c r="CH555" s="6"/>
      <c r="CI555" s="6"/>
      <c r="CJ555" s="6"/>
      <c r="CK555" s="6"/>
      <c r="CL555" s="6"/>
      <c r="CM555" s="6"/>
      <c r="CN555" s="6"/>
      <c r="CO555" s="6"/>
      <c r="CP555" s="6"/>
      <c r="CQ555" s="6"/>
      <c r="CR555" s="6"/>
      <c r="CS555" s="6"/>
      <c r="CT555" s="6"/>
      <c r="CU555" s="6"/>
      <c r="CV555" s="6"/>
      <c r="CW555" s="6"/>
      <c r="CX555" s="6"/>
      <c r="CY555" s="6"/>
      <c r="CZ555" s="6"/>
      <c r="DA555" s="6"/>
      <c r="DB555" s="6"/>
      <c r="DC555" s="6"/>
      <c r="DD555" s="6"/>
      <c r="DE555" s="6"/>
      <c r="DF555" s="6"/>
      <c r="DG555" s="6"/>
      <c r="DH555" s="6"/>
      <c r="DI555" s="6"/>
      <c r="DJ555" s="6"/>
    </row>
    <row r="556" spans="2:114" x14ac:dyDescent="0.2">
      <c r="B556" s="68"/>
      <c r="C556" s="69"/>
      <c r="D556" s="70"/>
      <c r="F556" s="68"/>
      <c r="G556" s="69"/>
      <c r="H556" s="70"/>
      <c r="J556" s="71"/>
      <c r="K556" s="71"/>
      <c r="L556" s="67"/>
      <c r="N556" s="71"/>
      <c r="O556" s="71"/>
      <c r="P556" s="67"/>
      <c r="R556" s="67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6"/>
      <c r="BY556" s="6"/>
      <c r="BZ556" s="6"/>
      <c r="CA556" s="6"/>
      <c r="CB556" s="6"/>
      <c r="CC556" s="6"/>
      <c r="CD556" s="6"/>
      <c r="CE556" s="6"/>
      <c r="CF556" s="6"/>
      <c r="CG556" s="6"/>
      <c r="CH556" s="6"/>
      <c r="CI556" s="6"/>
      <c r="CJ556" s="6"/>
      <c r="CK556" s="6"/>
      <c r="CL556" s="6"/>
      <c r="CM556" s="6"/>
      <c r="CN556" s="6"/>
      <c r="CO556" s="6"/>
      <c r="CP556" s="6"/>
      <c r="CQ556" s="6"/>
      <c r="CR556" s="6"/>
      <c r="CS556" s="6"/>
      <c r="CT556" s="6"/>
      <c r="CU556" s="6"/>
      <c r="CV556" s="6"/>
      <c r="CW556" s="6"/>
      <c r="CX556" s="6"/>
      <c r="CY556" s="6"/>
      <c r="CZ556" s="6"/>
      <c r="DA556" s="6"/>
      <c r="DB556" s="6"/>
      <c r="DC556" s="6"/>
      <c r="DD556" s="6"/>
      <c r="DE556" s="6"/>
      <c r="DF556" s="6"/>
      <c r="DG556" s="6"/>
      <c r="DH556" s="6"/>
      <c r="DI556" s="6"/>
      <c r="DJ556" s="6"/>
    </row>
    <row r="557" spans="2:114" x14ac:dyDescent="0.2">
      <c r="B557" s="68"/>
      <c r="C557" s="69"/>
      <c r="D557" s="70"/>
      <c r="F557" s="68"/>
      <c r="G557" s="69"/>
      <c r="H557" s="70"/>
      <c r="J557" s="71"/>
      <c r="K557" s="71"/>
      <c r="L557" s="67"/>
      <c r="N557" s="71"/>
      <c r="O557" s="71"/>
      <c r="P557" s="67"/>
      <c r="R557" s="67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6"/>
      <c r="BY557" s="6"/>
      <c r="BZ557" s="6"/>
      <c r="CA557" s="6"/>
      <c r="CB557" s="6"/>
      <c r="CC557" s="6"/>
      <c r="CD557" s="6"/>
      <c r="CE557" s="6"/>
      <c r="CF557" s="6"/>
      <c r="CG557" s="6"/>
      <c r="CH557" s="6"/>
      <c r="CI557" s="6"/>
      <c r="CJ557" s="6"/>
      <c r="CK557" s="6"/>
      <c r="CL557" s="6"/>
      <c r="CM557" s="6"/>
      <c r="CN557" s="6"/>
      <c r="CO557" s="6"/>
      <c r="CP557" s="6"/>
      <c r="CQ557" s="6"/>
      <c r="CR557" s="6"/>
      <c r="CS557" s="6"/>
      <c r="CT557" s="6"/>
      <c r="CU557" s="6"/>
      <c r="CV557" s="6"/>
      <c r="CW557" s="6"/>
      <c r="CX557" s="6"/>
      <c r="CY557" s="6"/>
      <c r="CZ557" s="6"/>
      <c r="DA557" s="6"/>
      <c r="DB557" s="6"/>
      <c r="DC557" s="6"/>
      <c r="DD557" s="6"/>
      <c r="DE557" s="6"/>
      <c r="DF557" s="6"/>
      <c r="DG557" s="6"/>
      <c r="DH557" s="6"/>
      <c r="DI557" s="6"/>
      <c r="DJ557" s="6"/>
    </row>
    <row r="558" spans="2:114" x14ac:dyDescent="0.2">
      <c r="B558" s="68"/>
      <c r="C558" s="69"/>
      <c r="D558" s="70"/>
      <c r="F558" s="68"/>
      <c r="G558" s="69"/>
      <c r="H558" s="70"/>
      <c r="J558" s="71"/>
      <c r="K558" s="71"/>
      <c r="L558" s="67"/>
      <c r="N558" s="71"/>
      <c r="O558" s="71"/>
      <c r="P558" s="67"/>
      <c r="R558" s="67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6"/>
      <c r="BY558" s="6"/>
      <c r="BZ558" s="6"/>
      <c r="CA558" s="6"/>
      <c r="CB558" s="6"/>
      <c r="CC558" s="6"/>
      <c r="CD558" s="6"/>
      <c r="CE558" s="6"/>
      <c r="CF558" s="6"/>
      <c r="CG558" s="6"/>
      <c r="CH558" s="6"/>
      <c r="CI558" s="6"/>
      <c r="CJ558" s="6"/>
      <c r="CK558" s="6"/>
      <c r="CL558" s="6"/>
      <c r="CM558" s="6"/>
      <c r="CN558" s="6"/>
      <c r="CO558" s="6"/>
      <c r="CP558" s="6"/>
      <c r="CQ558" s="6"/>
      <c r="CR558" s="6"/>
      <c r="CS558" s="6"/>
      <c r="CT558" s="6"/>
      <c r="CU558" s="6"/>
      <c r="CV558" s="6"/>
      <c r="CW558" s="6"/>
      <c r="CX558" s="6"/>
      <c r="CY558" s="6"/>
      <c r="CZ558" s="6"/>
      <c r="DA558" s="6"/>
      <c r="DB558" s="6"/>
      <c r="DC558" s="6"/>
      <c r="DD558" s="6"/>
      <c r="DE558" s="6"/>
      <c r="DF558" s="6"/>
      <c r="DG558" s="6"/>
      <c r="DH558" s="6"/>
      <c r="DI558" s="6"/>
      <c r="DJ558" s="6"/>
    </row>
    <row r="559" spans="2:114" x14ac:dyDescent="0.2">
      <c r="B559" s="68"/>
      <c r="C559" s="69"/>
      <c r="D559" s="70"/>
      <c r="F559" s="68"/>
      <c r="G559" s="69"/>
      <c r="H559" s="70"/>
      <c r="J559" s="71"/>
      <c r="K559" s="71"/>
      <c r="L559" s="67"/>
      <c r="N559" s="71"/>
      <c r="O559" s="71"/>
      <c r="P559" s="67"/>
      <c r="R559" s="67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6"/>
      <c r="BY559" s="6"/>
      <c r="BZ559" s="6"/>
      <c r="CA559" s="6"/>
      <c r="CB559" s="6"/>
      <c r="CC559" s="6"/>
      <c r="CD559" s="6"/>
      <c r="CE559" s="6"/>
      <c r="CF559" s="6"/>
      <c r="CG559" s="6"/>
      <c r="CH559" s="6"/>
      <c r="CI559" s="6"/>
      <c r="CJ559" s="6"/>
      <c r="CK559" s="6"/>
      <c r="CL559" s="6"/>
      <c r="CM559" s="6"/>
      <c r="CN559" s="6"/>
      <c r="CO559" s="6"/>
      <c r="CP559" s="6"/>
      <c r="CQ559" s="6"/>
      <c r="CR559" s="6"/>
      <c r="CS559" s="6"/>
      <c r="CT559" s="6"/>
      <c r="CU559" s="6"/>
      <c r="CV559" s="6"/>
      <c r="CW559" s="6"/>
      <c r="CX559" s="6"/>
      <c r="CY559" s="6"/>
      <c r="CZ559" s="6"/>
      <c r="DA559" s="6"/>
      <c r="DB559" s="6"/>
      <c r="DC559" s="6"/>
      <c r="DD559" s="6"/>
      <c r="DE559" s="6"/>
      <c r="DF559" s="6"/>
      <c r="DG559" s="6"/>
      <c r="DH559" s="6"/>
      <c r="DI559" s="6"/>
      <c r="DJ559" s="6"/>
    </row>
    <row r="560" spans="2:114" x14ac:dyDescent="0.2">
      <c r="B560" s="68"/>
      <c r="C560" s="69"/>
      <c r="D560" s="70"/>
      <c r="F560" s="68"/>
      <c r="G560" s="69"/>
      <c r="H560" s="70"/>
      <c r="J560" s="71"/>
      <c r="K560" s="71"/>
      <c r="L560" s="67"/>
      <c r="N560" s="71"/>
      <c r="O560" s="71"/>
      <c r="P560" s="67"/>
      <c r="R560" s="67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6"/>
      <c r="BY560" s="6"/>
      <c r="BZ560" s="6"/>
      <c r="CA560" s="6"/>
      <c r="CB560" s="6"/>
      <c r="CC560" s="6"/>
      <c r="CD560" s="6"/>
      <c r="CE560" s="6"/>
      <c r="CF560" s="6"/>
      <c r="CG560" s="6"/>
      <c r="CH560" s="6"/>
      <c r="CI560" s="6"/>
      <c r="CJ560" s="6"/>
      <c r="CK560" s="6"/>
      <c r="CL560" s="6"/>
      <c r="CM560" s="6"/>
      <c r="CN560" s="6"/>
      <c r="CO560" s="6"/>
      <c r="CP560" s="6"/>
      <c r="CQ560" s="6"/>
      <c r="CR560" s="6"/>
      <c r="CS560" s="6"/>
      <c r="CT560" s="6"/>
      <c r="CU560" s="6"/>
      <c r="CV560" s="6"/>
      <c r="CW560" s="6"/>
      <c r="CX560" s="6"/>
      <c r="CY560" s="6"/>
      <c r="CZ560" s="6"/>
      <c r="DA560" s="6"/>
      <c r="DB560" s="6"/>
      <c r="DC560" s="6"/>
      <c r="DD560" s="6"/>
      <c r="DE560" s="6"/>
      <c r="DF560" s="6"/>
      <c r="DG560" s="6"/>
      <c r="DH560" s="6"/>
      <c r="DI560" s="6"/>
      <c r="DJ560" s="6"/>
    </row>
    <row r="561" spans="2:114" x14ac:dyDescent="0.2">
      <c r="B561" s="68"/>
      <c r="C561" s="69"/>
      <c r="D561" s="70"/>
      <c r="F561" s="68"/>
      <c r="G561" s="69"/>
      <c r="H561" s="70"/>
      <c r="J561" s="71"/>
      <c r="K561" s="71"/>
      <c r="L561" s="67"/>
      <c r="N561" s="71"/>
      <c r="O561" s="71"/>
      <c r="P561" s="67"/>
      <c r="R561" s="67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6"/>
      <c r="BY561" s="6"/>
      <c r="BZ561" s="6"/>
      <c r="CA561" s="6"/>
      <c r="CB561" s="6"/>
      <c r="CC561" s="6"/>
      <c r="CD561" s="6"/>
      <c r="CE561" s="6"/>
      <c r="CF561" s="6"/>
      <c r="CG561" s="6"/>
      <c r="CH561" s="6"/>
      <c r="CI561" s="6"/>
      <c r="CJ561" s="6"/>
      <c r="CK561" s="6"/>
      <c r="CL561" s="6"/>
      <c r="CM561" s="6"/>
      <c r="CN561" s="6"/>
      <c r="CO561" s="6"/>
      <c r="CP561" s="6"/>
      <c r="CQ561" s="6"/>
      <c r="CR561" s="6"/>
      <c r="CS561" s="6"/>
      <c r="CT561" s="6"/>
      <c r="CU561" s="6"/>
      <c r="CV561" s="6"/>
      <c r="CW561" s="6"/>
      <c r="CX561" s="6"/>
      <c r="CY561" s="6"/>
      <c r="CZ561" s="6"/>
      <c r="DA561" s="6"/>
      <c r="DB561" s="6"/>
      <c r="DC561" s="6"/>
      <c r="DD561" s="6"/>
      <c r="DE561" s="6"/>
      <c r="DF561" s="6"/>
      <c r="DG561" s="6"/>
      <c r="DH561" s="6"/>
      <c r="DI561" s="6"/>
      <c r="DJ561" s="6"/>
    </row>
    <row r="562" spans="2:114" x14ac:dyDescent="0.2">
      <c r="B562" s="68"/>
      <c r="C562" s="69"/>
      <c r="D562" s="70"/>
      <c r="F562" s="68"/>
      <c r="G562" s="69"/>
      <c r="H562" s="70"/>
      <c r="J562" s="71"/>
      <c r="K562" s="71"/>
      <c r="L562" s="67"/>
      <c r="N562" s="71"/>
      <c r="O562" s="71"/>
      <c r="P562" s="67"/>
      <c r="R562" s="67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6"/>
      <c r="BY562" s="6"/>
      <c r="BZ562" s="6"/>
      <c r="CA562" s="6"/>
      <c r="CB562" s="6"/>
      <c r="CC562" s="6"/>
      <c r="CD562" s="6"/>
      <c r="CE562" s="6"/>
      <c r="CF562" s="6"/>
      <c r="CG562" s="6"/>
      <c r="CH562" s="6"/>
      <c r="CI562" s="6"/>
      <c r="CJ562" s="6"/>
      <c r="CK562" s="6"/>
      <c r="CL562" s="6"/>
      <c r="CM562" s="6"/>
      <c r="CN562" s="6"/>
      <c r="CO562" s="6"/>
      <c r="CP562" s="6"/>
      <c r="CQ562" s="6"/>
      <c r="CR562" s="6"/>
      <c r="CS562" s="6"/>
      <c r="CT562" s="6"/>
      <c r="CU562" s="6"/>
      <c r="CV562" s="6"/>
      <c r="CW562" s="6"/>
      <c r="CX562" s="6"/>
      <c r="CY562" s="6"/>
      <c r="CZ562" s="6"/>
      <c r="DA562" s="6"/>
      <c r="DB562" s="6"/>
      <c r="DC562" s="6"/>
      <c r="DD562" s="6"/>
      <c r="DE562" s="6"/>
      <c r="DF562" s="6"/>
      <c r="DG562" s="6"/>
      <c r="DH562" s="6"/>
      <c r="DI562" s="6"/>
      <c r="DJ562" s="6"/>
    </row>
    <row r="563" spans="2:114" x14ac:dyDescent="0.2">
      <c r="B563" s="68"/>
      <c r="C563" s="69"/>
      <c r="D563" s="70"/>
      <c r="F563" s="68"/>
      <c r="G563" s="69"/>
      <c r="H563" s="70"/>
      <c r="J563" s="71"/>
      <c r="K563" s="71"/>
      <c r="L563" s="67"/>
      <c r="N563" s="71"/>
      <c r="O563" s="71"/>
      <c r="P563" s="67"/>
      <c r="R563" s="67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6"/>
      <c r="BY563" s="6"/>
      <c r="BZ563" s="6"/>
      <c r="CA563" s="6"/>
      <c r="CB563" s="6"/>
      <c r="CC563" s="6"/>
      <c r="CD563" s="6"/>
      <c r="CE563" s="6"/>
      <c r="CF563" s="6"/>
      <c r="CG563" s="6"/>
      <c r="CH563" s="6"/>
      <c r="CI563" s="6"/>
      <c r="CJ563" s="6"/>
      <c r="CK563" s="6"/>
      <c r="CL563" s="6"/>
      <c r="CM563" s="6"/>
      <c r="CN563" s="6"/>
      <c r="CO563" s="6"/>
      <c r="CP563" s="6"/>
      <c r="CQ563" s="6"/>
      <c r="CR563" s="6"/>
      <c r="CS563" s="6"/>
      <c r="CT563" s="6"/>
      <c r="CU563" s="6"/>
      <c r="CV563" s="6"/>
      <c r="CW563" s="6"/>
      <c r="CX563" s="6"/>
      <c r="CY563" s="6"/>
      <c r="CZ563" s="6"/>
      <c r="DA563" s="6"/>
      <c r="DB563" s="6"/>
      <c r="DC563" s="6"/>
      <c r="DD563" s="6"/>
      <c r="DE563" s="6"/>
      <c r="DF563" s="6"/>
      <c r="DG563" s="6"/>
      <c r="DH563" s="6"/>
      <c r="DI563" s="6"/>
      <c r="DJ563" s="6"/>
    </row>
    <row r="564" spans="2:114" x14ac:dyDescent="0.2">
      <c r="B564" s="68"/>
      <c r="C564" s="69"/>
      <c r="D564" s="70"/>
      <c r="F564" s="68"/>
      <c r="G564" s="69"/>
      <c r="H564" s="70"/>
      <c r="J564" s="71"/>
      <c r="K564" s="71"/>
      <c r="L564" s="67"/>
      <c r="N564" s="71"/>
      <c r="O564" s="71"/>
      <c r="P564" s="67"/>
      <c r="R564" s="67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6"/>
      <c r="BY564" s="6"/>
      <c r="BZ564" s="6"/>
      <c r="CA564" s="6"/>
      <c r="CB564" s="6"/>
      <c r="CC564" s="6"/>
      <c r="CD564" s="6"/>
      <c r="CE564" s="6"/>
      <c r="CF564" s="6"/>
      <c r="CG564" s="6"/>
      <c r="CH564" s="6"/>
      <c r="CI564" s="6"/>
      <c r="CJ564" s="6"/>
      <c r="CK564" s="6"/>
      <c r="CL564" s="6"/>
      <c r="CM564" s="6"/>
      <c r="CN564" s="6"/>
      <c r="CO564" s="6"/>
      <c r="CP564" s="6"/>
      <c r="CQ564" s="6"/>
      <c r="CR564" s="6"/>
      <c r="CS564" s="6"/>
      <c r="CT564" s="6"/>
      <c r="CU564" s="6"/>
      <c r="CV564" s="6"/>
      <c r="CW564" s="6"/>
      <c r="CX564" s="6"/>
      <c r="CY564" s="6"/>
      <c r="CZ564" s="6"/>
      <c r="DA564" s="6"/>
      <c r="DB564" s="6"/>
      <c r="DC564" s="6"/>
      <c r="DD564" s="6"/>
      <c r="DE564" s="6"/>
      <c r="DF564" s="6"/>
      <c r="DG564" s="6"/>
      <c r="DH564" s="6"/>
      <c r="DI564" s="6"/>
      <c r="DJ564" s="6"/>
    </row>
    <row r="565" spans="2:114" x14ac:dyDescent="0.2">
      <c r="B565" s="68"/>
      <c r="C565" s="69"/>
      <c r="D565" s="70"/>
      <c r="F565" s="68"/>
      <c r="G565" s="69"/>
      <c r="H565" s="70"/>
      <c r="J565" s="71"/>
      <c r="K565" s="71"/>
      <c r="L565" s="67"/>
      <c r="N565" s="71"/>
      <c r="O565" s="71"/>
      <c r="P565" s="67"/>
      <c r="R565" s="67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6"/>
      <c r="BY565" s="6"/>
      <c r="BZ565" s="6"/>
      <c r="CA565" s="6"/>
      <c r="CB565" s="6"/>
      <c r="CC565" s="6"/>
      <c r="CD565" s="6"/>
      <c r="CE565" s="6"/>
      <c r="CF565" s="6"/>
      <c r="CG565" s="6"/>
      <c r="CH565" s="6"/>
      <c r="CI565" s="6"/>
      <c r="CJ565" s="6"/>
      <c r="CK565" s="6"/>
      <c r="CL565" s="6"/>
      <c r="CM565" s="6"/>
      <c r="CN565" s="6"/>
      <c r="CO565" s="6"/>
      <c r="CP565" s="6"/>
      <c r="CQ565" s="6"/>
      <c r="CR565" s="6"/>
      <c r="CS565" s="6"/>
      <c r="CT565" s="6"/>
      <c r="CU565" s="6"/>
      <c r="CV565" s="6"/>
      <c r="CW565" s="6"/>
      <c r="CX565" s="6"/>
      <c r="CY565" s="6"/>
      <c r="CZ565" s="6"/>
      <c r="DA565" s="6"/>
      <c r="DB565" s="6"/>
      <c r="DC565" s="6"/>
      <c r="DD565" s="6"/>
      <c r="DE565" s="6"/>
      <c r="DF565" s="6"/>
      <c r="DG565" s="6"/>
      <c r="DH565" s="6"/>
      <c r="DI565" s="6"/>
      <c r="DJ565" s="6"/>
    </row>
    <row r="566" spans="2:114" x14ac:dyDescent="0.2">
      <c r="B566" s="68"/>
      <c r="C566" s="69"/>
      <c r="D566" s="70"/>
      <c r="F566" s="68"/>
      <c r="G566" s="69"/>
      <c r="H566" s="70"/>
      <c r="J566" s="71"/>
      <c r="K566" s="71"/>
      <c r="L566" s="67"/>
      <c r="N566" s="71"/>
      <c r="O566" s="71"/>
      <c r="P566" s="67"/>
      <c r="R566" s="67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6"/>
      <c r="BY566" s="6"/>
      <c r="BZ566" s="6"/>
      <c r="CA566" s="6"/>
      <c r="CB566" s="6"/>
      <c r="CC566" s="6"/>
      <c r="CD566" s="6"/>
      <c r="CE566" s="6"/>
      <c r="CF566" s="6"/>
      <c r="CG566" s="6"/>
      <c r="CH566" s="6"/>
      <c r="CI566" s="6"/>
      <c r="CJ566" s="6"/>
      <c r="CK566" s="6"/>
      <c r="CL566" s="6"/>
      <c r="CM566" s="6"/>
      <c r="CN566" s="6"/>
      <c r="CO566" s="6"/>
      <c r="CP566" s="6"/>
      <c r="CQ566" s="6"/>
      <c r="CR566" s="6"/>
      <c r="CS566" s="6"/>
      <c r="CT566" s="6"/>
      <c r="CU566" s="6"/>
      <c r="CV566" s="6"/>
      <c r="CW566" s="6"/>
      <c r="CX566" s="6"/>
      <c r="CY566" s="6"/>
      <c r="CZ566" s="6"/>
      <c r="DA566" s="6"/>
      <c r="DB566" s="6"/>
      <c r="DC566" s="6"/>
      <c r="DD566" s="6"/>
      <c r="DE566" s="6"/>
      <c r="DF566" s="6"/>
      <c r="DG566" s="6"/>
      <c r="DH566" s="6"/>
      <c r="DI566" s="6"/>
      <c r="DJ566" s="6"/>
    </row>
    <row r="567" spans="2:114" x14ac:dyDescent="0.2">
      <c r="B567" s="68"/>
      <c r="C567" s="69"/>
      <c r="D567" s="70"/>
      <c r="F567" s="68"/>
      <c r="G567" s="69"/>
      <c r="H567" s="70"/>
      <c r="J567" s="71"/>
      <c r="K567" s="71"/>
      <c r="L567" s="67"/>
      <c r="N567" s="71"/>
      <c r="O567" s="71"/>
      <c r="P567" s="67"/>
      <c r="R567" s="67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6"/>
      <c r="BY567" s="6"/>
      <c r="BZ567" s="6"/>
      <c r="CA567" s="6"/>
      <c r="CB567" s="6"/>
      <c r="CC567" s="6"/>
      <c r="CD567" s="6"/>
      <c r="CE567" s="6"/>
      <c r="CF567" s="6"/>
      <c r="CG567" s="6"/>
      <c r="CH567" s="6"/>
      <c r="CI567" s="6"/>
      <c r="CJ567" s="6"/>
      <c r="CK567" s="6"/>
      <c r="CL567" s="6"/>
      <c r="CM567" s="6"/>
      <c r="CN567" s="6"/>
      <c r="CO567" s="6"/>
      <c r="CP567" s="6"/>
      <c r="CQ567" s="6"/>
      <c r="CR567" s="6"/>
      <c r="CS567" s="6"/>
      <c r="CT567" s="6"/>
      <c r="CU567" s="6"/>
      <c r="CV567" s="6"/>
      <c r="CW567" s="6"/>
      <c r="CX567" s="6"/>
      <c r="CY567" s="6"/>
      <c r="CZ567" s="6"/>
      <c r="DA567" s="6"/>
      <c r="DB567" s="6"/>
      <c r="DC567" s="6"/>
      <c r="DD567" s="6"/>
      <c r="DE567" s="6"/>
      <c r="DF567" s="6"/>
      <c r="DG567" s="6"/>
      <c r="DH567" s="6"/>
      <c r="DI567" s="6"/>
      <c r="DJ567" s="6"/>
    </row>
    <row r="568" spans="2:114" x14ac:dyDescent="0.2">
      <c r="B568" s="68"/>
      <c r="C568" s="69"/>
      <c r="D568" s="70"/>
      <c r="F568" s="68"/>
      <c r="G568" s="69"/>
      <c r="H568" s="70"/>
      <c r="J568" s="71"/>
      <c r="K568" s="71"/>
      <c r="L568" s="67"/>
      <c r="N568" s="71"/>
      <c r="O568" s="71"/>
      <c r="P568" s="67"/>
      <c r="R568" s="67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6"/>
      <c r="BY568" s="6"/>
      <c r="BZ568" s="6"/>
      <c r="CA568" s="6"/>
      <c r="CB568" s="6"/>
      <c r="CC568" s="6"/>
      <c r="CD568" s="6"/>
      <c r="CE568" s="6"/>
      <c r="CF568" s="6"/>
      <c r="CG568" s="6"/>
      <c r="CH568" s="6"/>
      <c r="CI568" s="6"/>
      <c r="CJ568" s="6"/>
      <c r="CK568" s="6"/>
      <c r="CL568" s="6"/>
      <c r="CM568" s="6"/>
      <c r="CN568" s="6"/>
      <c r="CO568" s="6"/>
      <c r="CP568" s="6"/>
      <c r="CQ568" s="6"/>
      <c r="CR568" s="6"/>
      <c r="CS568" s="6"/>
      <c r="CT568" s="6"/>
      <c r="CU568" s="6"/>
      <c r="CV568" s="6"/>
      <c r="CW568" s="6"/>
      <c r="CX568" s="6"/>
      <c r="CY568" s="6"/>
      <c r="CZ568" s="6"/>
      <c r="DA568" s="6"/>
      <c r="DB568" s="6"/>
      <c r="DC568" s="6"/>
      <c r="DD568" s="6"/>
      <c r="DE568" s="6"/>
      <c r="DF568" s="6"/>
      <c r="DG568" s="6"/>
      <c r="DH568" s="6"/>
      <c r="DI568" s="6"/>
      <c r="DJ568" s="6"/>
    </row>
    <row r="569" spans="2:114" x14ac:dyDescent="0.2">
      <c r="B569" s="68"/>
      <c r="C569" s="69"/>
      <c r="D569" s="70"/>
      <c r="F569" s="68"/>
      <c r="G569" s="69"/>
      <c r="H569" s="70"/>
      <c r="J569" s="71"/>
      <c r="K569" s="71"/>
      <c r="L569" s="67"/>
      <c r="N569" s="71"/>
      <c r="O569" s="71"/>
      <c r="P569" s="67"/>
      <c r="R569" s="67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6"/>
      <c r="BY569" s="6"/>
      <c r="BZ569" s="6"/>
      <c r="CA569" s="6"/>
      <c r="CB569" s="6"/>
      <c r="CC569" s="6"/>
      <c r="CD569" s="6"/>
      <c r="CE569" s="6"/>
      <c r="CF569" s="6"/>
      <c r="CG569" s="6"/>
      <c r="CH569" s="6"/>
      <c r="CI569" s="6"/>
      <c r="CJ569" s="6"/>
      <c r="CK569" s="6"/>
      <c r="CL569" s="6"/>
      <c r="CM569" s="6"/>
      <c r="CN569" s="6"/>
      <c r="CO569" s="6"/>
      <c r="CP569" s="6"/>
      <c r="CQ569" s="6"/>
      <c r="CR569" s="6"/>
      <c r="CS569" s="6"/>
      <c r="CT569" s="6"/>
      <c r="CU569" s="6"/>
      <c r="CV569" s="6"/>
      <c r="CW569" s="6"/>
      <c r="CX569" s="6"/>
      <c r="CY569" s="6"/>
      <c r="CZ569" s="6"/>
      <c r="DA569" s="6"/>
      <c r="DB569" s="6"/>
      <c r="DC569" s="6"/>
      <c r="DD569" s="6"/>
      <c r="DE569" s="6"/>
      <c r="DF569" s="6"/>
      <c r="DG569" s="6"/>
      <c r="DH569" s="6"/>
      <c r="DI569" s="6"/>
      <c r="DJ569" s="6"/>
    </row>
    <row r="570" spans="2:114" x14ac:dyDescent="0.2">
      <c r="B570" s="68"/>
      <c r="C570" s="69"/>
      <c r="D570" s="70"/>
      <c r="F570" s="68"/>
      <c r="G570" s="69"/>
      <c r="H570" s="70"/>
      <c r="J570" s="71"/>
      <c r="K570" s="71"/>
      <c r="L570" s="67"/>
      <c r="N570" s="71"/>
      <c r="O570" s="71"/>
      <c r="P570" s="67"/>
      <c r="R570" s="67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6"/>
      <c r="BY570" s="6"/>
      <c r="BZ570" s="6"/>
      <c r="CA570" s="6"/>
      <c r="CB570" s="6"/>
      <c r="CC570" s="6"/>
      <c r="CD570" s="6"/>
      <c r="CE570" s="6"/>
      <c r="CF570" s="6"/>
      <c r="CG570" s="6"/>
      <c r="CH570" s="6"/>
      <c r="CI570" s="6"/>
      <c r="CJ570" s="6"/>
      <c r="CK570" s="6"/>
      <c r="CL570" s="6"/>
      <c r="CM570" s="6"/>
      <c r="CN570" s="6"/>
      <c r="CO570" s="6"/>
      <c r="CP570" s="6"/>
      <c r="CQ570" s="6"/>
      <c r="CR570" s="6"/>
      <c r="CS570" s="6"/>
      <c r="CT570" s="6"/>
      <c r="CU570" s="6"/>
      <c r="CV570" s="6"/>
      <c r="CW570" s="6"/>
      <c r="CX570" s="6"/>
      <c r="CY570" s="6"/>
      <c r="CZ570" s="6"/>
      <c r="DA570" s="6"/>
      <c r="DB570" s="6"/>
      <c r="DC570" s="6"/>
      <c r="DD570" s="6"/>
      <c r="DE570" s="6"/>
      <c r="DF570" s="6"/>
      <c r="DG570" s="6"/>
      <c r="DH570" s="6"/>
      <c r="DI570" s="6"/>
      <c r="DJ570" s="6"/>
    </row>
    <row r="571" spans="2:114" x14ac:dyDescent="0.2">
      <c r="B571" s="68"/>
      <c r="C571" s="69"/>
      <c r="D571" s="70"/>
      <c r="F571" s="68"/>
      <c r="G571" s="69"/>
      <c r="H571" s="70"/>
      <c r="J571" s="71"/>
      <c r="K571" s="71"/>
      <c r="L571" s="67"/>
      <c r="N571" s="71"/>
      <c r="O571" s="71"/>
      <c r="P571" s="67"/>
      <c r="R571" s="67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6"/>
      <c r="BY571" s="6"/>
      <c r="BZ571" s="6"/>
      <c r="CA571" s="6"/>
      <c r="CB571" s="6"/>
      <c r="CC571" s="6"/>
      <c r="CD571" s="6"/>
      <c r="CE571" s="6"/>
      <c r="CF571" s="6"/>
      <c r="CG571" s="6"/>
      <c r="CH571" s="6"/>
      <c r="CI571" s="6"/>
      <c r="CJ571" s="6"/>
      <c r="CK571" s="6"/>
      <c r="CL571" s="6"/>
      <c r="CM571" s="6"/>
      <c r="CN571" s="6"/>
      <c r="CO571" s="6"/>
      <c r="CP571" s="6"/>
      <c r="CQ571" s="6"/>
      <c r="CR571" s="6"/>
      <c r="CS571" s="6"/>
      <c r="CT571" s="6"/>
      <c r="CU571" s="6"/>
      <c r="CV571" s="6"/>
      <c r="CW571" s="6"/>
      <c r="CX571" s="6"/>
      <c r="CY571" s="6"/>
      <c r="CZ571" s="6"/>
      <c r="DA571" s="6"/>
      <c r="DB571" s="6"/>
      <c r="DC571" s="6"/>
      <c r="DD571" s="6"/>
      <c r="DE571" s="6"/>
      <c r="DF571" s="6"/>
      <c r="DG571" s="6"/>
      <c r="DH571" s="6"/>
      <c r="DI571" s="6"/>
      <c r="DJ571" s="6"/>
    </row>
    <row r="572" spans="2:114" x14ac:dyDescent="0.2">
      <c r="B572" s="68"/>
      <c r="C572" s="69"/>
      <c r="D572" s="70"/>
      <c r="F572" s="68"/>
      <c r="G572" s="69"/>
      <c r="H572" s="70"/>
      <c r="J572" s="71"/>
      <c r="K572" s="71"/>
      <c r="L572" s="67"/>
      <c r="N572" s="71"/>
      <c r="O572" s="71"/>
      <c r="P572" s="67"/>
      <c r="R572" s="67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6"/>
      <c r="BY572" s="6"/>
      <c r="BZ572" s="6"/>
      <c r="CA572" s="6"/>
      <c r="CB572" s="6"/>
      <c r="CC572" s="6"/>
      <c r="CD572" s="6"/>
      <c r="CE572" s="6"/>
      <c r="CF572" s="6"/>
      <c r="CG572" s="6"/>
      <c r="CH572" s="6"/>
      <c r="CI572" s="6"/>
      <c r="CJ572" s="6"/>
      <c r="CK572" s="6"/>
      <c r="CL572" s="6"/>
      <c r="CM572" s="6"/>
      <c r="CN572" s="6"/>
      <c r="CO572" s="6"/>
      <c r="CP572" s="6"/>
      <c r="CQ572" s="6"/>
      <c r="CR572" s="6"/>
      <c r="CS572" s="6"/>
      <c r="CT572" s="6"/>
      <c r="CU572" s="6"/>
      <c r="CV572" s="6"/>
      <c r="CW572" s="6"/>
      <c r="CX572" s="6"/>
      <c r="CY572" s="6"/>
      <c r="CZ572" s="6"/>
      <c r="DA572" s="6"/>
      <c r="DB572" s="6"/>
      <c r="DC572" s="6"/>
      <c r="DD572" s="6"/>
      <c r="DE572" s="6"/>
      <c r="DF572" s="6"/>
      <c r="DG572" s="6"/>
      <c r="DH572" s="6"/>
      <c r="DI572" s="6"/>
      <c r="DJ572" s="6"/>
    </row>
    <row r="573" spans="2:114" x14ac:dyDescent="0.2">
      <c r="B573" s="68"/>
      <c r="C573" s="69"/>
      <c r="D573" s="70"/>
      <c r="F573" s="68"/>
      <c r="G573" s="69"/>
      <c r="H573" s="70"/>
      <c r="J573" s="71"/>
      <c r="K573" s="71"/>
      <c r="L573" s="67"/>
      <c r="N573" s="71"/>
      <c r="O573" s="71"/>
      <c r="P573" s="67"/>
      <c r="R573" s="67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6"/>
      <c r="BY573" s="6"/>
      <c r="BZ573" s="6"/>
      <c r="CA573" s="6"/>
      <c r="CB573" s="6"/>
      <c r="CC573" s="6"/>
      <c r="CD573" s="6"/>
      <c r="CE573" s="6"/>
      <c r="CF573" s="6"/>
      <c r="CG573" s="6"/>
      <c r="CH573" s="6"/>
      <c r="CI573" s="6"/>
      <c r="CJ573" s="6"/>
      <c r="CK573" s="6"/>
      <c r="CL573" s="6"/>
      <c r="CM573" s="6"/>
      <c r="CN573" s="6"/>
      <c r="CO573" s="6"/>
      <c r="CP573" s="6"/>
      <c r="CQ573" s="6"/>
      <c r="CR573" s="6"/>
      <c r="CS573" s="6"/>
      <c r="CT573" s="6"/>
      <c r="CU573" s="6"/>
      <c r="CV573" s="6"/>
      <c r="CW573" s="6"/>
      <c r="CX573" s="6"/>
      <c r="CY573" s="6"/>
      <c r="CZ573" s="6"/>
      <c r="DA573" s="6"/>
      <c r="DB573" s="6"/>
      <c r="DC573" s="6"/>
      <c r="DD573" s="6"/>
      <c r="DE573" s="6"/>
      <c r="DF573" s="6"/>
      <c r="DG573" s="6"/>
      <c r="DH573" s="6"/>
      <c r="DI573" s="6"/>
      <c r="DJ573" s="6"/>
    </row>
    <row r="574" spans="2:114" x14ac:dyDescent="0.2">
      <c r="B574" s="68"/>
      <c r="C574" s="69"/>
      <c r="D574" s="70"/>
      <c r="F574" s="68"/>
      <c r="G574" s="69"/>
      <c r="H574" s="70"/>
      <c r="J574" s="71"/>
      <c r="K574" s="71"/>
      <c r="L574" s="67"/>
      <c r="N574" s="71"/>
      <c r="O574" s="71"/>
      <c r="P574" s="67"/>
      <c r="R574" s="67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6"/>
      <c r="BY574" s="6"/>
      <c r="BZ574" s="6"/>
      <c r="CA574" s="6"/>
      <c r="CB574" s="6"/>
      <c r="CC574" s="6"/>
      <c r="CD574" s="6"/>
      <c r="CE574" s="6"/>
      <c r="CF574" s="6"/>
      <c r="CG574" s="6"/>
      <c r="CH574" s="6"/>
      <c r="CI574" s="6"/>
      <c r="CJ574" s="6"/>
      <c r="CK574" s="6"/>
      <c r="CL574" s="6"/>
      <c r="CM574" s="6"/>
      <c r="CN574" s="6"/>
      <c r="CO574" s="6"/>
      <c r="CP574" s="6"/>
      <c r="CQ574" s="6"/>
      <c r="CR574" s="6"/>
      <c r="CS574" s="6"/>
      <c r="CT574" s="6"/>
      <c r="CU574" s="6"/>
      <c r="CV574" s="6"/>
      <c r="CW574" s="6"/>
      <c r="CX574" s="6"/>
      <c r="CY574" s="6"/>
      <c r="CZ574" s="6"/>
      <c r="DA574" s="6"/>
      <c r="DB574" s="6"/>
      <c r="DC574" s="6"/>
      <c r="DD574" s="6"/>
      <c r="DE574" s="6"/>
      <c r="DF574" s="6"/>
      <c r="DG574" s="6"/>
      <c r="DH574" s="6"/>
      <c r="DI574" s="6"/>
      <c r="DJ574" s="6"/>
    </row>
    <row r="575" spans="2:114" x14ac:dyDescent="0.2">
      <c r="B575" s="68"/>
      <c r="C575" s="69"/>
      <c r="D575" s="70"/>
      <c r="F575" s="68"/>
      <c r="G575" s="69"/>
      <c r="H575" s="70"/>
      <c r="J575" s="71"/>
      <c r="K575" s="71"/>
      <c r="L575" s="67"/>
      <c r="N575" s="71"/>
      <c r="O575" s="71"/>
      <c r="P575" s="67"/>
      <c r="R575" s="67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6"/>
      <c r="BY575" s="6"/>
      <c r="BZ575" s="6"/>
      <c r="CA575" s="6"/>
      <c r="CB575" s="6"/>
      <c r="CC575" s="6"/>
      <c r="CD575" s="6"/>
      <c r="CE575" s="6"/>
      <c r="CF575" s="6"/>
      <c r="CG575" s="6"/>
      <c r="CH575" s="6"/>
      <c r="CI575" s="6"/>
      <c r="CJ575" s="6"/>
      <c r="CK575" s="6"/>
      <c r="CL575" s="6"/>
      <c r="CM575" s="6"/>
      <c r="CN575" s="6"/>
      <c r="CO575" s="6"/>
      <c r="CP575" s="6"/>
      <c r="CQ575" s="6"/>
      <c r="CR575" s="6"/>
      <c r="CS575" s="6"/>
      <c r="CT575" s="6"/>
      <c r="CU575" s="6"/>
      <c r="CV575" s="6"/>
      <c r="CW575" s="6"/>
      <c r="CX575" s="6"/>
      <c r="CY575" s="6"/>
      <c r="CZ575" s="6"/>
      <c r="DA575" s="6"/>
      <c r="DB575" s="6"/>
      <c r="DC575" s="6"/>
      <c r="DD575" s="6"/>
      <c r="DE575" s="6"/>
      <c r="DF575" s="6"/>
      <c r="DG575" s="6"/>
      <c r="DH575" s="6"/>
      <c r="DI575" s="6"/>
      <c r="DJ575" s="6"/>
    </row>
    <row r="576" spans="2:114" x14ac:dyDescent="0.2">
      <c r="B576" s="68"/>
      <c r="C576" s="69"/>
      <c r="D576" s="70"/>
      <c r="F576" s="68"/>
      <c r="G576" s="69"/>
      <c r="H576" s="70"/>
      <c r="J576" s="71"/>
      <c r="K576" s="71"/>
      <c r="L576" s="67"/>
      <c r="N576" s="71"/>
      <c r="O576" s="71"/>
      <c r="P576" s="67"/>
      <c r="R576" s="67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6"/>
      <c r="BY576" s="6"/>
      <c r="BZ576" s="6"/>
      <c r="CA576" s="6"/>
      <c r="CB576" s="6"/>
      <c r="CC576" s="6"/>
      <c r="CD576" s="6"/>
      <c r="CE576" s="6"/>
      <c r="CF576" s="6"/>
      <c r="CG576" s="6"/>
      <c r="CH576" s="6"/>
      <c r="CI576" s="6"/>
      <c r="CJ576" s="6"/>
      <c r="CK576" s="6"/>
      <c r="CL576" s="6"/>
      <c r="CM576" s="6"/>
      <c r="CN576" s="6"/>
      <c r="CO576" s="6"/>
      <c r="CP576" s="6"/>
      <c r="CQ576" s="6"/>
      <c r="CR576" s="6"/>
      <c r="CS576" s="6"/>
      <c r="CT576" s="6"/>
      <c r="CU576" s="6"/>
      <c r="CV576" s="6"/>
      <c r="CW576" s="6"/>
      <c r="CX576" s="6"/>
      <c r="CY576" s="6"/>
      <c r="CZ576" s="6"/>
      <c r="DA576" s="6"/>
      <c r="DB576" s="6"/>
      <c r="DC576" s="6"/>
      <c r="DD576" s="6"/>
      <c r="DE576" s="6"/>
      <c r="DF576" s="6"/>
      <c r="DG576" s="6"/>
      <c r="DH576" s="6"/>
      <c r="DI576" s="6"/>
      <c r="DJ576" s="6"/>
    </row>
    <row r="577" spans="2:114" x14ac:dyDescent="0.2">
      <c r="B577" s="68"/>
      <c r="C577" s="69"/>
      <c r="D577" s="70"/>
      <c r="F577" s="68"/>
      <c r="G577" s="69"/>
      <c r="H577" s="70"/>
      <c r="J577" s="71"/>
      <c r="K577" s="71"/>
      <c r="L577" s="67"/>
      <c r="N577" s="71"/>
      <c r="O577" s="71"/>
      <c r="P577" s="67"/>
      <c r="R577" s="67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6"/>
      <c r="BY577" s="6"/>
      <c r="BZ577" s="6"/>
      <c r="CA577" s="6"/>
      <c r="CB577" s="6"/>
      <c r="CC577" s="6"/>
      <c r="CD577" s="6"/>
      <c r="CE577" s="6"/>
      <c r="CF577" s="6"/>
      <c r="CG577" s="6"/>
      <c r="CH577" s="6"/>
      <c r="CI577" s="6"/>
      <c r="CJ577" s="6"/>
      <c r="CK577" s="6"/>
      <c r="CL577" s="6"/>
      <c r="CM577" s="6"/>
      <c r="CN577" s="6"/>
      <c r="CO577" s="6"/>
      <c r="CP577" s="6"/>
      <c r="CQ577" s="6"/>
      <c r="CR577" s="6"/>
      <c r="CS577" s="6"/>
      <c r="CT577" s="6"/>
      <c r="CU577" s="6"/>
      <c r="CV577" s="6"/>
      <c r="CW577" s="6"/>
      <c r="CX577" s="6"/>
      <c r="CY577" s="6"/>
      <c r="CZ577" s="6"/>
      <c r="DA577" s="6"/>
      <c r="DB577" s="6"/>
      <c r="DC577" s="6"/>
      <c r="DD577" s="6"/>
      <c r="DE577" s="6"/>
      <c r="DF577" s="6"/>
      <c r="DG577" s="6"/>
      <c r="DH577" s="6"/>
      <c r="DI577" s="6"/>
      <c r="DJ577" s="6"/>
    </row>
    <row r="578" spans="2:114" x14ac:dyDescent="0.2">
      <c r="B578" s="68"/>
      <c r="C578" s="69"/>
      <c r="D578" s="70"/>
      <c r="F578" s="68"/>
      <c r="G578" s="69"/>
      <c r="H578" s="70"/>
      <c r="J578" s="71"/>
      <c r="K578" s="71"/>
      <c r="L578" s="67"/>
      <c r="N578" s="71"/>
      <c r="O578" s="71"/>
      <c r="P578" s="67"/>
      <c r="R578" s="67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6"/>
      <c r="BY578" s="6"/>
      <c r="BZ578" s="6"/>
      <c r="CA578" s="6"/>
      <c r="CB578" s="6"/>
      <c r="CC578" s="6"/>
      <c r="CD578" s="6"/>
      <c r="CE578" s="6"/>
      <c r="CF578" s="6"/>
      <c r="CG578" s="6"/>
      <c r="CH578" s="6"/>
      <c r="CI578" s="6"/>
      <c r="CJ578" s="6"/>
      <c r="CK578" s="6"/>
      <c r="CL578" s="6"/>
      <c r="CM578" s="6"/>
      <c r="CN578" s="6"/>
      <c r="CO578" s="6"/>
      <c r="CP578" s="6"/>
      <c r="CQ578" s="6"/>
      <c r="CR578" s="6"/>
      <c r="CS578" s="6"/>
      <c r="CT578" s="6"/>
      <c r="CU578" s="6"/>
      <c r="CV578" s="6"/>
      <c r="CW578" s="6"/>
      <c r="CX578" s="6"/>
      <c r="CY578" s="6"/>
      <c r="CZ578" s="6"/>
      <c r="DA578" s="6"/>
      <c r="DB578" s="6"/>
      <c r="DC578" s="6"/>
      <c r="DD578" s="6"/>
      <c r="DE578" s="6"/>
      <c r="DF578" s="6"/>
      <c r="DG578" s="6"/>
      <c r="DH578" s="6"/>
      <c r="DI578" s="6"/>
      <c r="DJ578" s="6"/>
    </row>
    <row r="579" spans="2:114" x14ac:dyDescent="0.2">
      <c r="B579" s="68"/>
      <c r="C579" s="69"/>
      <c r="D579" s="70"/>
      <c r="F579" s="68"/>
      <c r="G579" s="69"/>
      <c r="H579" s="70"/>
      <c r="J579" s="71"/>
      <c r="K579" s="71"/>
      <c r="L579" s="67"/>
      <c r="N579" s="71"/>
      <c r="O579" s="71"/>
      <c r="P579" s="67"/>
      <c r="R579" s="67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6"/>
      <c r="BY579" s="6"/>
      <c r="BZ579" s="6"/>
      <c r="CA579" s="6"/>
      <c r="CB579" s="6"/>
      <c r="CC579" s="6"/>
      <c r="CD579" s="6"/>
      <c r="CE579" s="6"/>
      <c r="CF579" s="6"/>
      <c r="CG579" s="6"/>
      <c r="CH579" s="6"/>
      <c r="CI579" s="6"/>
      <c r="CJ579" s="6"/>
      <c r="CK579" s="6"/>
      <c r="CL579" s="6"/>
      <c r="CM579" s="6"/>
      <c r="CN579" s="6"/>
      <c r="CO579" s="6"/>
      <c r="CP579" s="6"/>
      <c r="CQ579" s="6"/>
      <c r="CR579" s="6"/>
      <c r="CS579" s="6"/>
      <c r="CT579" s="6"/>
      <c r="CU579" s="6"/>
      <c r="CV579" s="6"/>
      <c r="CW579" s="6"/>
      <c r="CX579" s="6"/>
      <c r="CY579" s="6"/>
      <c r="CZ579" s="6"/>
      <c r="DA579" s="6"/>
      <c r="DB579" s="6"/>
      <c r="DC579" s="6"/>
      <c r="DD579" s="6"/>
      <c r="DE579" s="6"/>
      <c r="DF579" s="6"/>
      <c r="DG579" s="6"/>
      <c r="DH579" s="6"/>
      <c r="DI579" s="6"/>
      <c r="DJ579" s="6"/>
    </row>
    <row r="580" spans="2:114" x14ac:dyDescent="0.2">
      <c r="B580" s="68"/>
      <c r="C580" s="69"/>
      <c r="D580" s="70"/>
      <c r="F580" s="68"/>
      <c r="G580" s="69"/>
      <c r="H580" s="70"/>
      <c r="J580" s="71"/>
      <c r="K580" s="71"/>
      <c r="L580" s="67"/>
      <c r="N580" s="71"/>
      <c r="O580" s="71"/>
      <c r="P580" s="67"/>
      <c r="R580" s="67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6"/>
      <c r="BY580" s="6"/>
      <c r="BZ580" s="6"/>
      <c r="CA580" s="6"/>
      <c r="CB580" s="6"/>
      <c r="CC580" s="6"/>
      <c r="CD580" s="6"/>
      <c r="CE580" s="6"/>
      <c r="CF580" s="6"/>
      <c r="CG580" s="6"/>
      <c r="CH580" s="6"/>
      <c r="CI580" s="6"/>
      <c r="CJ580" s="6"/>
      <c r="CK580" s="6"/>
      <c r="CL580" s="6"/>
      <c r="CM580" s="6"/>
      <c r="CN580" s="6"/>
      <c r="CO580" s="6"/>
      <c r="CP580" s="6"/>
      <c r="CQ580" s="6"/>
      <c r="CR580" s="6"/>
      <c r="CS580" s="6"/>
      <c r="CT580" s="6"/>
      <c r="CU580" s="6"/>
      <c r="CV580" s="6"/>
      <c r="CW580" s="6"/>
      <c r="CX580" s="6"/>
      <c r="CY580" s="6"/>
      <c r="CZ580" s="6"/>
      <c r="DA580" s="6"/>
      <c r="DB580" s="6"/>
      <c r="DC580" s="6"/>
      <c r="DD580" s="6"/>
      <c r="DE580" s="6"/>
      <c r="DF580" s="6"/>
      <c r="DG580" s="6"/>
      <c r="DH580" s="6"/>
      <c r="DI580" s="6"/>
      <c r="DJ580" s="6"/>
    </row>
    <row r="581" spans="2:114" x14ac:dyDescent="0.2">
      <c r="B581" s="68"/>
      <c r="C581" s="69"/>
      <c r="D581" s="70"/>
      <c r="F581" s="68"/>
      <c r="G581" s="69"/>
      <c r="H581" s="70"/>
      <c r="J581" s="71"/>
      <c r="K581" s="71"/>
      <c r="L581" s="67"/>
      <c r="N581" s="71"/>
      <c r="O581" s="71"/>
      <c r="P581" s="67"/>
      <c r="R581" s="67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6"/>
      <c r="BY581" s="6"/>
      <c r="BZ581" s="6"/>
      <c r="CA581" s="6"/>
      <c r="CB581" s="6"/>
      <c r="CC581" s="6"/>
      <c r="CD581" s="6"/>
      <c r="CE581" s="6"/>
      <c r="CF581" s="6"/>
      <c r="CG581" s="6"/>
      <c r="CH581" s="6"/>
      <c r="CI581" s="6"/>
      <c r="CJ581" s="6"/>
      <c r="CK581" s="6"/>
      <c r="CL581" s="6"/>
      <c r="CM581" s="6"/>
      <c r="CN581" s="6"/>
      <c r="CO581" s="6"/>
      <c r="CP581" s="6"/>
      <c r="CQ581" s="6"/>
      <c r="CR581" s="6"/>
      <c r="CS581" s="6"/>
      <c r="CT581" s="6"/>
      <c r="CU581" s="6"/>
      <c r="CV581" s="6"/>
      <c r="CW581" s="6"/>
      <c r="CX581" s="6"/>
      <c r="CY581" s="6"/>
      <c r="CZ581" s="6"/>
      <c r="DA581" s="6"/>
      <c r="DB581" s="6"/>
      <c r="DC581" s="6"/>
      <c r="DD581" s="6"/>
      <c r="DE581" s="6"/>
      <c r="DF581" s="6"/>
      <c r="DG581" s="6"/>
      <c r="DH581" s="6"/>
      <c r="DI581" s="6"/>
      <c r="DJ581" s="6"/>
    </row>
    <row r="582" spans="2:114" x14ac:dyDescent="0.2">
      <c r="B582" s="68"/>
      <c r="C582" s="69"/>
      <c r="D582" s="70"/>
      <c r="F582" s="68"/>
      <c r="G582" s="69"/>
      <c r="H582" s="70"/>
      <c r="J582" s="71"/>
      <c r="K582" s="71"/>
      <c r="L582" s="67"/>
      <c r="N582" s="71"/>
      <c r="O582" s="71"/>
      <c r="P582" s="67"/>
      <c r="R582" s="67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6"/>
      <c r="BY582" s="6"/>
      <c r="BZ582" s="6"/>
      <c r="CA582" s="6"/>
      <c r="CB582" s="6"/>
      <c r="CC582" s="6"/>
      <c r="CD582" s="6"/>
      <c r="CE582" s="6"/>
      <c r="CF582" s="6"/>
      <c r="CG582" s="6"/>
      <c r="CH582" s="6"/>
      <c r="CI582" s="6"/>
      <c r="CJ582" s="6"/>
      <c r="CK582" s="6"/>
      <c r="CL582" s="6"/>
      <c r="CM582" s="6"/>
      <c r="CN582" s="6"/>
      <c r="CO582" s="6"/>
      <c r="CP582" s="6"/>
      <c r="CQ582" s="6"/>
      <c r="CR582" s="6"/>
      <c r="CS582" s="6"/>
      <c r="CT582" s="6"/>
      <c r="CU582" s="6"/>
      <c r="CV582" s="6"/>
      <c r="CW582" s="6"/>
      <c r="CX582" s="6"/>
      <c r="CY582" s="6"/>
      <c r="CZ582" s="6"/>
      <c r="DA582" s="6"/>
      <c r="DB582" s="6"/>
      <c r="DC582" s="6"/>
      <c r="DD582" s="6"/>
      <c r="DE582" s="6"/>
      <c r="DF582" s="6"/>
      <c r="DG582" s="6"/>
      <c r="DH582" s="6"/>
      <c r="DI582" s="6"/>
      <c r="DJ582" s="6"/>
    </row>
    <row r="583" spans="2:114" x14ac:dyDescent="0.2">
      <c r="B583" s="68"/>
      <c r="C583" s="69"/>
      <c r="D583" s="70"/>
      <c r="F583" s="68"/>
      <c r="G583" s="69"/>
      <c r="H583" s="70"/>
      <c r="J583" s="71"/>
      <c r="K583" s="71"/>
      <c r="L583" s="67"/>
      <c r="N583" s="71"/>
      <c r="O583" s="71"/>
      <c r="P583" s="67"/>
      <c r="R583" s="67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6"/>
      <c r="BY583" s="6"/>
      <c r="BZ583" s="6"/>
      <c r="CA583" s="6"/>
      <c r="CB583" s="6"/>
      <c r="CC583" s="6"/>
      <c r="CD583" s="6"/>
      <c r="CE583" s="6"/>
      <c r="CF583" s="6"/>
      <c r="CG583" s="6"/>
      <c r="CH583" s="6"/>
      <c r="CI583" s="6"/>
      <c r="CJ583" s="6"/>
      <c r="CK583" s="6"/>
      <c r="CL583" s="6"/>
      <c r="CM583" s="6"/>
      <c r="CN583" s="6"/>
      <c r="CO583" s="6"/>
      <c r="CP583" s="6"/>
      <c r="CQ583" s="6"/>
      <c r="CR583" s="6"/>
      <c r="CS583" s="6"/>
      <c r="CT583" s="6"/>
      <c r="CU583" s="6"/>
      <c r="CV583" s="6"/>
      <c r="CW583" s="6"/>
      <c r="CX583" s="6"/>
      <c r="CY583" s="6"/>
      <c r="CZ583" s="6"/>
      <c r="DA583" s="6"/>
      <c r="DB583" s="6"/>
      <c r="DC583" s="6"/>
      <c r="DD583" s="6"/>
      <c r="DE583" s="6"/>
      <c r="DF583" s="6"/>
      <c r="DG583" s="6"/>
      <c r="DH583" s="6"/>
      <c r="DI583" s="6"/>
      <c r="DJ583" s="6"/>
    </row>
    <row r="584" spans="2:114" x14ac:dyDescent="0.2">
      <c r="B584" s="68"/>
      <c r="C584" s="69"/>
      <c r="D584" s="70"/>
      <c r="F584" s="68"/>
      <c r="G584" s="69"/>
      <c r="H584" s="70"/>
      <c r="J584" s="71"/>
      <c r="K584" s="71"/>
      <c r="L584" s="67"/>
      <c r="N584" s="71"/>
      <c r="O584" s="71"/>
      <c r="P584" s="67"/>
      <c r="R584" s="67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6"/>
      <c r="BY584" s="6"/>
      <c r="BZ584" s="6"/>
      <c r="CA584" s="6"/>
      <c r="CB584" s="6"/>
      <c r="CC584" s="6"/>
      <c r="CD584" s="6"/>
      <c r="CE584" s="6"/>
      <c r="CF584" s="6"/>
      <c r="CG584" s="6"/>
      <c r="CH584" s="6"/>
      <c r="CI584" s="6"/>
      <c r="CJ584" s="6"/>
      <c r="CK584" s="6"/>
      <c r="CL584" s="6"/>
      <c r="CM584" s="6"/>
      <c r="CN584" s="6"/>
      <c r="CO584" s="6"/>
      <c r="CP584" s="6"/>
      <c r="CQ584" s="6"/>
      <c r="CR584" s="6"/>
      <c r="CS584" s="6"/>
      <c r="CT584" s="6"/>
      <c r="CU584" s="6"/>
      <c r="CV584" s="6"/>
      <c r="CW584" s="6"/>
      <c r="CX584" s="6"/>
      <c r="CY584" s="6"/>
      <c r="CZ584" s="6"/>
      <c r="DA584" s="6"/>
      <c r="DB584" s="6"/>
      <c r="DC584" s="6"/>
      <c r="DD584" s="6"/>
      <c r="DE584" s="6"/>
      <c r="DF584" s="6"/>
      <c r="DG584" s="6"/>
      <c r="DH584" s="6"/>
      <c r="DI584" s="6"/>
      <c r="DJ584" s="6"/>
    </row>
    <row r="585" spans="2:114" x14ac:dyDescent="0.2">
      <c r="B585" s="68"/>
      <c r="C585" s="69"/>
      <c r="D585" s="70"/>
      <c r="F585" s="68"/>
      <c r="G585" s="69"/>
      <c r="H585" s="70"/>
      <c r="J585" s="71"/>
      <c r="K585" s="71"/>
      <c r="L585" s="67"/>
      <c r="N585" s="71"/>
      <c r="O585" s="71"/>
      <c r="P585" s="67"/>
      <c r="R585" s="67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6"/>
      <c r="BY585" s="6"/>
      <c r="BZ585" s="6"/>
      <c r="CA585" s="6"/>
      <c r="CB585" s="6"/>
      <c r="CC585" s="6"/>
      <c r="CD585" s="6"/>
      <c r="CE585" s="6"/>
      <c r="CF585" s="6"/>
      <c r="CG585" s="6"/>
      <c r="CH585" s="6"/>
      <c r="CI585" s="6"/>
      <c r="CJ585" s="6"/>
      <c r="CK585" s="6"/>
      <c r="CL585" s="6"/>
      <c r="CM585" s="6"/>
      <c r="CN585" s="6"/>
      <c r="CO585" s="6"/>
      <c r="CP585" s="6"/>
      <c r="CQ585" s="6"/>
      <c r="CR585" s="6"/>
      <c r="CS585" s="6"/>
      <c r="CT585" s="6"/>
      <c r="CU585" s="6"/>
      <c r="CV585" s="6"/>
      <c r="CW585" s="6"/>
      <c r="CX585" s="6"/>
      <c r="CY585" s="6"/>
      <c r="CZ585" s="6"/>
      <c r="DA585" s="6"/>
      <c r="DB585" s="6"/>
      <c r="DC585" s="6"/>
      <c r="DD585" s="6"/>
      <c r="DE585" s="6"/>
      <c r="DF585" s="6"/>
      <c r="DG585" s="6"/>
      <c r="DH585" s="6"/>
      <c r="DI585" s="6"/>
      <c r="DJ585" s="6"/>
    </row>
    <row r="586" spans="2:114" x14ac:dyDescent="0.2">
      <c r="B586" s="68"/>
      <c r="C586" s="69"/>
      <c r="D586" s="70"/>
      <c r="F586" s="68"/>
      <c r="G586" s="69"/>
      <c r="H586" s="70"/>
      <c r="J586" s="71"/>
      <c r="K586" s="71"/>
      <c r="L586" s="67"/>
      <c r="N586" s="71"/>
      <c r="O586" s="71"/>
      <c r="P586" s="67"/>
      <c r="R586" s="67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6"/>
      <c r="BY586" s="6"/>
      <c r="BZ586" s="6"/>
      <c r="CA586" s="6"/>
      <c r="CB586" s="6"/>
      <c r="CC586" s="6"/>
      <c r="CD586" s="6"/>
      <c r="CE586" s="6"/>
      <c r="CF586" s="6"/>
      <c r="CG586" s="6"/>
      <c r="CH586" s="6"/>
      <c r="CI586" s="6"/>
      <c r="CJ586" s="6"/>
      <c r="CK586" s="6"/>
      <c r="CL586" s="6"/>
      <c r="CM586" s="6"/>
      <c r="CN586" s="6"/>
      <c r="CO586" s="6"/>
      <c r="CP586" s="6"/>
      <c r="CQ586" s="6"/>
      <c r="CR586" s="6"/>
      <c r="CS586" s="6"/>
      <c r="CT586" s="6"/>
      <c r="CU586" s="6"/>
      <c r="CV586" s="6"/>
      <c r="CW586" s="6"/>
      <c r="CX586" s="6"/>
      <c r="CY586" s="6"/>
      <c r="CZ586" s="6"/>
      <c r="DA586" s="6"/>
      <c r="DB586" s="6"/>
      <c r="DC586" s="6"/>
      <c r="DD586" s="6"/>
      <c r="DE586" s="6"/>
      <c r="DF586" s="6"/>
      <c r="DG586" s="6"/>
      <c r="DH586" s="6"/>
      <c r="DI586" s="6"/>
      <c r="DJ586" s="6"/>
    </row>
    <row r="587" spans="2:114" x14ac:dyDescent="0.2">
      <c r="B587" s="68"/>
      <c r="C587" s="69"/>
      <c r="D587" s="70"/>
      <c r="F587" s="68"/>
      <c r="G587" s="69"/>
      <c r="H587" s="70"/>
      <c r="J587" s="71"/>
      <c r="K587" s="71"/>
      <c r="L587" s="67"/>
      <c r="N587" s="71"/>
      <c r="O587" s="71"/>
      <c r="P587" s="67"/>
      <c r="R587" s="67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6"/>
      <c r="BY587" s="6"/>
      <c r="BZ587" s="6"/>
      <c r="CA587" s="6"/>
      <c r="CB587" s="6"/>
      <c r="CC587" s="6"/>
      <c r="CD587" s="6"/>
      <c r="CE587" s="6"/>
      <c r="CF587" s="6"/>
      <c r="CG587" s="6"/>
      <c r="CH587" s="6"/>
      <c r="CI587" s="6"/>
      <c r="CJ587" s="6"/>
      <c r="CK587" s="6"/>
      <c r="CL587" s="6"/>
      <c r="CM587" s="6"/>
      <c r="CN587" s="6"/>
      <c r="CO587" s="6"/>
      <c r="CP587" s="6"/>
      <c r="CQ587" s="6"/>
      <c r="CR587" s="6"/>
      <c r="CS587" s="6"/>
      <c r="CT587" s="6"/>
      <c r="CU587" s="6"/>
      <c r="CV587" s="6"/>
      <c r="CW587" s="6"/>
      <c r="CX587" s="6"/>
      <c r="CY587" s="6"/>
      <c r="CZ587" s="6"/>
      <c r="DA587" s="6"/>
      <c r="DB587" s="6"/>
      <c r="DC587" s="6"/>
      <c r="DD587" s="6"/>
      <c r="DE587" s="6"/>
      <c r="DF587" s="6"/>
      <c r="DG587" s="6"/>
      <c r="DH587" s="6"/>
      <c r="DI587" s="6"/>
      <c r="DJ587" s="6"/>
    </row>
    <row r="588" spans="2:114" x14ac:dyDescent="0.2">
      <c r="B588" s="68"/>
      <c r="C588" s="69"/>
      <c r="D588" s="70"/>
      <c r="F588" s="68"/>
      <c r="G588" s="69"/>
      <c r="H588" s="70"/>
      <c r="J588" s="71"/>
      <c r="K588" s="71"/>
      <c r="L588" s="67"/>
      <c r="N588" s="71"/>
      <c r="O588" s="71"/>
      <c r="P588" s="67"/>
      <c r="R588" s="67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6"/>
      <c r="BY588" s="6"/>
      <c r="BZ588" s="6"/>
      <c r="CA588" s="6"/>
      <c r="CB588" s="6"/>
      <c r="CC588" s="6"/>
      <c r="CD588" s="6"/>
      <c r="CE588" s="6"/>
      <c r="CF588" s="6"/>
      <c r="CG588" s="6"/>
      <c r="CH588" s="6"/>
      <c r="CI588" s="6"/>
      <c r="CJ588" s="6"/>
      <c r="CK588" s="6"/>
      <c r="CL588" s="6"/>
      <c r="CM588" s="6"/>
      <c r="CN588" s="6"/>
      <c r="CO588" s="6"/>
      <c r="CP588" s="6"/>
      <c r="CQ588" s="6"/>
      <c r="CR588" s="6"/>
      <c r="CS588" s="6"/>
      <c r="CT588" s="6"/>
      <c r="CU588" s="6"/>
      <c r="CV588" s="6"/>
      <c r="CW588" s="6"/>
      <c r="CX588" s="6"/>
      <c r="CY588" s="6"/>
      <c r="CZ588" s="6"/>
      <c r="DA588" s="6"/>
      <c r="DB588" s="6"/>
      <c r="DC588" s="6"/>
      <c r="DD588" s="6"/>
      <c r="DE588" s="6"/>
      <c r="DF588" s="6"/>
      <c r="DG588" s="6"/>
      <c r="DH588" s="6"/>
      <c r="DI588" s="6"/>
      <c r="DJ588" s="6"/>
    </row>
    <row r="589" spans="2:114" x14ac:dyDescent="0.2">
      <c r="B589" s="68"/>
      <c r="C589" s="69"/>
      <c r="D589" s="70"/>
      <c r="F589" s="68"/>
      <c r="G589" s="69"/>
      <c r="H589" s="70"/>
      <c r="J589" s="71"/>
      <c r="K589" s="71"/>
      <c r="L589" s="67"/>
      <c r="N589" s="71"/>
      <c r="O589" s="71"/>
      <c r="P589" s="67"/>
      <c r="R589" s="67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6"/>
      <c r="BY589" s="6"/>
      <c r="BZ589" s="6"/>
      <c r="CA589" s="6"/>
      <c r="CB589" s="6"/>
      <c r="CC589" s="6"/>
      <c r="CD589" s="6"/>
      <c r="CE589" s="6"/>
      <c r="CF589" s="6"/>
      <c r="CG589" s="6"/>
      <c r="CH589" s="6"/>
      <c r="CI589" s="6"/>
      <c r="CJ589" s="6"/>
      <c r="CK589" s="6"/>
      <c r="CL589" s="6"/>
      <c r="CM589" s="6"/>
      <c r="CN589" s="6"/>
      <c r="CO589" s="6"/>
      <c r="CP589" s="6"/>
      <c r="CQ589" s="6"/>
      <c r="CR589" s="6"/>
      <c r="CS589" s="6"/>
      <c r="CT589" s="6"/>
      <c r="CU589" s="6"/>
      <c r="CV589" s="6"/>
      <c r="CW589" s="6"/>
      <c r="CX589" s="6"/>
      <c r="CY589" s="6"/>
      <c r="CZ589" s="6"/>
      <c r="DA589" s="6"/>
      <c r="DB589" s="6"/>
      <c r="DC589" s="6"/>
      <c r="DD589" s="6"/>
      <c r="DE589" s="6"/>
      <c r="DF589" s="6"/>
      <c r="DG589" s="6"/>
      <c r="DH589" s="6"/>
      <c r="DI589" s="6"/>
      <c r="DJ589" s="6"/>
    </row>
    <row r="590" spans="2:114" x14ac:dyDescent="0.2">
      <c r="B590" s="68"/>
      <c r="C590" s="69"/>
      <c r="D590" s="70"/>
      <c r="F590" s="68"/>
      <c r="G590" s="69"/>
      <c r="H590" s="70"/>
      <c r="J590" s="71"/>
      <c r="K590" s="71"/>
      <c r="L590" s="67"/>
      <c r="N590" s="71"/>
      <c r="O590" s="71"/>
      <c r="P590" s="67"/>
      <c r="R590" s="67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6"/>
      <c r="BY590" s="6"/>
      <c r="BZ590" s="6"/>
      <c r="CA590" s="6"/>
      <c r="CB590" s="6"/>
      <c r="CC590" s="6"/>
      <c r="CD590" s="6"/>
      <c r="CE590" s="6"/>
      <c r="CF590" s="6"/>
      <c r="CG590" s="6"/>
      <c r="CH590" s="6"/>
      <c r="CI590" s="6"/>
      <c r="CJ590" s="6"/>
      <c r="CK590" s="6"/>
      <c r="CL590" s="6"/>
      <c r="CM590" s="6"/>
      <c r="CN590" s="6"/>
      <c r="CO590" s="6"/>
      <c r="CP590" s="6"/>
      <c r="CQ590" s="6"/>
      <c r="CR590" s="6"/>
      <c r="CS590" s="6"/>
      <c r="CT590" s="6"/>
      <c r="CU590" s="6"/>
      <c r="CV590" s="6"/>
      <c r="CW590" s="6"/>
      <c r="CX590" s="6"/>
      <c r="CY590" s="6"/>
      <c r="CZ590" s="6"/>
      <c r="DA590" s="6"/>
      <c r="DB590" s="6"/>
      <c r="DC590" s="6"/>
      <c r="DD590" s="6"/>
      <c r="DE590" s="6"/>
      <c r="DF590" s="6"/>
      <c r="DG590" s="6"/>
      <c r="DH590" s="6"/>
      <c r="DI590" s="6"/>
      <c r="DJ590" s="6"/>
    </row>
    <row r="591" spans="2:114" x14ac:dyDescent="0.2">
      <c r="B591" s="68"/>
      <c r="C591" s="69"/>
      <c r="D591" s="70"/>
      <c r="F591" s="68"/>
      <c r="G591" s="69"/>
      <c r="H591" s="70"/>
      <c r="J591" s="71"/>
      <c r="K591" s="71"/>
      <c r="L591" s="67"/>
      <c r="N591" s="71"/>
      <c r="O591" s="71"/>
      <c r="P591" s="67"/>
      <c r="R591" s="67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6"/>
      <c r="BY591" s="6"/>
      <c r="BZ591" s="6"/>
      <c r="CA591" s="6"/>
      <c r="CB591" s="6"/>
      <c r="CC591" s="6"/>
      <c r="CD591" s="6"/>
      <c r="CE591" s="6"/>
      <c r="CF591" s="6"/>
      <c r="CG591" s="6"/>
      <c r="CH591" s="6"/>
      <c r="CI591" s="6"/>
      <c r="CJ591" s="6"/>
      <c r="CK591" s="6"/>
      <c r="CL591" s="6"/>
      <c r="CM591" s="6"/>
      <c r="CN591" s="6"/>
      <c r="CO591" s="6"/>
      <c r="CP591" s="6"/>
      <c r="CQ591" s="6"/>
      <c r="CR591" s="6"/>
      <c r="CS591" s="6"/>
      <c r="CT591" s="6"/>
      <c r="CU591" s="6"/>
      <c r="CV591" s="6"/>
      <c r="CW591" s="6"/>
      <c r="CX591" s="6"/>
      <c r="CY591" s="6"/>
      <c r="CZ591" s="6"/>
      <c r="DA591" s="6"/>
      <c r="DB591" s="6"/>
      <c r="DC591" s="6"/>
      <c r="DD591" s="6"/>
      <c r="DE591" s="6"/>
      <c r="DF591" s="6"/>
      <c r="DG591" s="6"/>
      <c r="DH591" s="6"/>
      <c r="DI591" s="6"/>
      <c r="DJ591" s="6"/>
    </row>
    <row r="592" spans="2:114" x14ac:dyDescent="0.2">
      <c r="B592" s="68"/>
      <c r="C592" s="69"/>
      <c r="D592" s="70"/>
      <c r="F592" s="68"/>
      <c r="G592" s="69"/>
      <c r="H592" s="70"/>
      <c r="J592" s="71"/>
      <c r="K592" s="71"/>
      <c r="L592" s="67"/>
      <c r="N592" s="71"/>
      <c r="O592" s="71"/>
      <c r="P592" s="67"/>
      <c r="R592" s="67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6"/>
      <c r="BY592" s="6"/>
      <c r="BZ592" s="6"/>
      <c r="CA592" s="6"/>
      <c r="CB592" s="6"/>
      <c r="CC592" s="6"/>
    </row>
    <row r="593" spans="2:81" x14ac:dyDescent="0.2">
      <c r="B593" s="68"/>
      <c r="C593" s="69"/>
      <c r="D593" s="70"/>
      <c r="F593" s="68"/>
      <c r="G593" s="69"/>
      <c r="H593" s="70"/>
      <c r="J593" s="71"/>
      <c r="K593" s="71"/>
      <c r="L593" s="67"/>
      <c r="N593" s="71"/>
      <c r="O593" s="71"/>
      <c r="P593" s="67"/>
      <c r="R593" s="67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6"/>
      <c r="BY593" s="6"/>
      <c r="BZ593" s="6"/>
      <c r="CA593" s="6"/>
      <c r="CB593" s="6"/>
      <c r="CC593" s="6"/>
    </row>
    <row r="594" spans="2:81" x14ac:dyDescent="0.2">
      <c r="B594" s="68"/>
      <c r="C594" s="69"/>
      <c r="D594" s="70"/>
      <c r="F594" s="68"/>
      <c r="G594" s="69"/>
      <c r="H594" s="70"/>
      <c r="J594" s="71"/>
      <c r="K594" s="71"/>
      <c r="L594" s="67"/>
      <c r="N594" s="71"/>
      <c r="O594" s="71"/>
      <c r="P594" s="67"/>
      <c r="R594" s="67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6"/>
      <c r="BY594" s="6"/>
      <c r="BZ594" s="6"/>
      <c r="CA594" s="6"/>
      <c r="CB594" s="6"/>
      <c r="CC594" s="6"/>
    </row>
    <row r="595" spans="2:81" x14ac:dyDescent="0.2">
      <c r="B595" s="68"/>
      <c r="C595" s="69"/>
      <c r="D595" s="70"/>
      <c r="F595" s="68"/>
      <c r="G595" s="69"/>
      <c r="H595" s="70"/>
      <c r="J595" s="71"/>
      <c r="K595" s="71"/>
      <c r="L595" s="67"/>
      <c r="N595" s="71"/>
      <c r="O595" s="71"/>
      <c r="P595" s="67"/>
      <c r="R595" s="67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6"/>
      <c r="BY595" s="6"/>
      <c r="BZ595" s="6"/>
      <c r="CA595" s="6"/>
      <c r="CB595" s="6"/>
      <c r="CC595" s="6"/>
    </row>
    <row r="596" spans="2:81" x14ac:dyDescent="0.2">
      <c r="B596" s="68"/>
      <c r="C596" s="69"/>
      <c r="D596" s="70"/>
      <c r="F596" s="68"/>
      <c r="G596" s="69"/>
      <c r="H596" s="70"/>
      <c r="J596" s="71"/>
      <c r="K596" s="71"/>
      <c r="L596" s="67"/>
      <c r="N596" s="71"/>
      <c r="O596" s="71"/>
      <c r="P596" s="67"/>
      <c r="R596" s="67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6"/>
      <c r="BY596" s="6"/>
      <c r="BZ596" s="6"/>
      <c r="CA596" s="6"/>
      <c r="CB596" s="6"/>
      <c r="CC596" s="6"/>
    </row>
    <row r="597" spans="2:81" x14ac:dyDescent="0.2">
      <c r="B597" s="68"/>
      <c r="C597" s="69"/>
      <c r="D597" s="70"/>
      <c r="F597" s="68"/>
      <c r="G597" s="69"/>
      <c r="H597" s="70"/>
      <c r="J597" s="71"/>
      <c r="K597" s="71"/>
      <c r="L597" s="67"/>
      <c r="N597" s="71"/>
      <c r="O597" s="71"/>
      <c r="P597" s="67"/>
      <c r="R597" s="67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6"/>
      <c r="BY597" s="6"/>
      <c r="BZ597" s="6"/>
      <c r="CA597" s="6"/>
      <c r="CB597" s="6"/>
      <c r="CC597" s="6"/>
    </row>
    <row r="598" spans="2:81" x14ac:dyDescent="0.2">
      <c r="B598" s="68"/>
      <c r="C598" s="69"/>
      <c r="D598" s="70"/>
      <c r="F598" s="68"/>
      <c r="G598" s="69"/>
      <c r="H598" s="70"/>
      <c r="J598" s="71"/>
      <c r="K598" s="71"/>
      <c r="L598" s="67"/>
      <c r="N598" s="71"/>
      <c r="O598" s="71"/>
      <c r="P598" s="67"/>
      <c r="R598" s="67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6"/>
      <c r="BY598" s="6"/>
      <c r="BZ598" s="6"/>
      <c r="CA598" s="6"/>
      <c r="CB598" s="6"/>
      <c r="CC598" s="6"/>
    </row>
    <row r="599" spans="2:81" x14ac:dyDescent="0.2">
      <c r="B599" s="68"/>
      <c r="C599" s="69"/>
      <c r="D599" s="70"/>
      <c r="F599" s="68"/>
      <c r="G599" s="69"/>
      <c r="H599" s="70"/>
      <c r="J599" s="71"/>
      <c r="K599" s="71"/>
      <c r="L599" s="67"/>
      <c r="N599" s="71"/>
      <c r="O599" s="71"/>
      <c r="P599" s="67"/>
      <c r="R599" s="67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6"/>
      <c r="BY599" s="6"/>
      <c r="BZ599" s="6"/>
      <c r="CA599" s="6"/>
      <c r="CB599" s="6"/>
      <c r="CC599" s="6"/>
    </row>
    <row r="600" spans="2:81" x14ac:dyDescent="0.2">
      <c r="B600" s="68"/>
      <c r="C600" s="69"/>
      <c r="D600" s="70"/>
      <c r="F600" s="68"/>
      <c r="G600" s="69"/>
      <c r="H600" s="70"/>
      <c r="J600" s="71"/>
      <c r="K600" s="71"/>
      <c r="L600" s="67"/>
      <c r="N600" s="71"/>
      <c r="O600" s="71"/>
      <c r="P600" s="67"/>
      <c r="R600" s="67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6"/>
      <c r="BY600" s="6"/>
      <c r="BZ600" s="6"/>
      <c r="CA600" s="6"/>
      <c r="CB600" s="6"/>
      <c r="CC600" s="6"/>
    </row>
    <row r="601" spans="2:81" x14ac:dyDescent="0.2">
      <c r="B601" s="68"/>
      <c r="C601" s="69"/>
      <c r="D601" s="70"/>
      <c r="F601" s="68"/>
      <c r="G601" s="69"/>
      <c r="H601" s="70"/>
      <c r="J601" s="71"/>
      <c r="K601" s="71"/>
      <c r="L601" s="67"/>
      <c r="N601" s="71"/>
      <c r="O601" s="71"/>
      <c r="P601" s="67"/>
      <c r="R601" s="67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6"/>
      <c r="BY601" s="6"/>
      <c r="BZ601" s="6"/>
      <c r="CA601" s="6"/>
      <c r="CB601" s="6"/>
      <c r="CC601" s="6"/>
    </row>
    <row r="602" spans="2:81" x14ac:dyDescent="0.2">
      <c r="B602" s="68"/>
      <c r="C602" s="69"/>
      <c r="D602" s="70"/>
      <c r="F602" s="68"/>
      <c r="G602" s="69"/>
      <c r="H602" s="70"/>
      <c r="J602" s="71"/>
      <c r="K602" s="71"/>
      <c r="L602" s="67"/>
      <c r="N602" s="71"/>
      <c r="O602" s="71"/>
      <c r="P602" s="67"/>
      <c r="R602" s="67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6"/>
      <c r="BY602" s="6"/>
      <c r="BZ602" s="6"/>
      <c r="CA602" s="6"/>
      <c r="CB602" s="6"/>
      <c r="CC602" s="6"/>
    </row>
    <row r="603" spans="2:81" x14ac:dyDescent="0.2">
      <c r="B603" s="68"/>
      <c r="C603" s="69"/>
      <c r="D603" s="70"/>
      <c r="F603" s="68"/>
      <c r="G603" s="69"/>
      <c r="H603" s="70"/>
      <c r="J603" s="71"/>
      <c r="K603" s="71"/>
      <c r="L603" s="67"/>
      <c r="N603" s="71"/>
      <c r="O603" s="71"/>
      <c r="P603" s="67"/>
      <c r="R603" s="67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6"/>
      <c r="BY603" s="6"/>
      <c r="BZ603" s="6"/>
      <c r="CA603" s="6"/>
      <c r="CB603" s="6"/>
      <c r="CC603" s="6"/>
    </row>
    <row r="604" spans="2:81" x14ac:dyDescent="0.2">
      <c r="B604" s="68"/>
      <c r="C604" s="69"/>
      <c r="D604" s="70"/>
      <c r="F604" s="68"/>
      <c r="G604" s="69"/>
      <c r="H604" s="70"/>
      <c r="J604" s="71"/>
      <c r="K604" s="71"/>
      <c r="L604" s="67"/>
      <c r="N604" s="71"/>
      <c r="O604" s="71"/>
      <c r="P604" s="67"/>
      <c r="R604" s="67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6"/>
      <c r="BY604" s="6"/>
      <c r="BZ604" s="6"/>
      <c r="CA604" s="6"/>
      <c r="CB604" s="6"/>
      <c r="CC604" s="6"/>
    </row>
    <row r="605" spans="2:81" x14ac:dyDescent="0.2">
      <c r="B605" s="68"/>
      <c r="C605" s="69"/>
      <c r="D605" s="70"/>
      <c r="F605" s="68"/>
      <c r="G605" s="69"/>
      <c r="H605" s="70"/>
      <c r="J605" s="71"/>
      <c r="K605" s="71"/>
      <c r="L605" s="67"/>
      <c r="N605" s="71"/>
      <c r="O605" s="71"/>
      <c r="P605" s="67"/>
      <c r="R605" s="67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6"/>
      <c r="BY605" s="6"/>
      <c r="BZ605" s="6"/>
      <c r="CA605" s="6"/>
      <c r="CB605" s="6"/>
      <c r="CC605" s="6"/>
    </row>
    <row r="606" spans="2:81" x14ac:dyDescent="0.2">
      <c r="B606" s="68"/>
      <c r="C606" s="69"/>
      <c r="D606" s="70"/>
      <c r="F606" s="68"/>
      <c r="G606" s="69"/>
      <c r="H606" s="70"/>
      <c r="J606" s="71"/>
      <c r="K606" s="71"/>
      <c r="L606" s="67"/>
      <c r="N606" s="71"/>
      <c r="O606" s="71"/>
      <c r="P606" s="67"/>
      <c r="R606" s="67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6"/>
      <c r="BY606" s="6"/>
      <c r="BZ606" s="6"/>
      <c r="CA606" s="6"/>
      <c r="CB606" s="6"/>
      <c r="CC606" s="6"/>
    </row>
    <row r="607" spans="2:81" x14ac:dyDescent="0.2">
      <c r="B607" s="68"/>
      <c r="C607" s="69"/>
      <c r="D607" s="70"/>
      <c r="F607" s="68"/>
      <c r="G607" s="69"/>
      <c r="H607" s="70"/>
      <c r="J607" s="71"/>
      <c r="K607" s="71"/>
      <c r="L607" s="67"/>
      <c r="N607" s="71"/>
      <c r="O607" s="71"/>
      <c r="P607" s="67"/>
      <c r="R607" s="67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6"/>
      <c r="BY607" s="6"/>
      <c r="BZ607" s="6"/>
      <c r="CA607" s="6"/>
      <c r="CB607" s="6"/>
      <c r="CC607" s="6"/>
    </row>
    <row r="608" spans="2:81" x14ac:dyDescent="0.2">
      <c r="B608" s="68"/>
      <c r="C608" s="69"/>
      <c r="D608" s="70"/>
      <c r="F608" s="68"/>
      <c r="G608" s="69"/>
      <c r="H608" s="70"/>
      <c r="J608" s="71"/>
      <c r="K608" s="71"/>
      <c r="L608" s="67"/>
      <c r="N608" s="71"/>
      <c r="O608" s="71"/>
      <c r="P608" s="67"/>
      <c r="R608" s="67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6"/>
      <c r="BY608" s="6"/>
      <c r="BZ608" s="6"/>
      <c r="CA608" s="6"/>
      <c r="CB608" s="6"/>
      <c r="CC608" s="6"/>
    </row>
    <row r="609" spans="2:81" x14ac:dyDescent="0.2">
      <c r="B609" s="68"/>
      <c r="C609" s="69"/>
      <c r="D609" s="70"/>
      <c r="F609" s="68"/>
      <c r="G609" s="69"/>
      <c r="H609" s="70"/>
      <c r="J609" s="71"/>
      <c r="K609" s="71"/>
      <c r="L609" s="67"/>
      <c r="N609" s="71"/>
      <c r="O609" s="71"/>
      <c r="P609" s="67"/>
      <c r="R609" s="67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6"/>
      <c r="BY609" s="6"/>
      <c r="BZ609" s="6"/>
      <c r="CA609" s="6"/>
      <c r="CB609" s="6"/>
      <c r="CC609" s="6"/>
    </row>
    <row r="610" spans="2:81" x14ac:dyDescent="0.2">
      <c r="B610" s="68"/>
      <c r="C610" s="69"/>
      <c r="D610" s="70"/>
      <c r="F610" s="68"/>
      <c r="G610" s="69"/>
      <c r="H610" s="70"/>
      <c r="J610" s="71"/>
      <c r="K610" s="71"/>
      <c r="L610" s="67"/>
      <c r="N610" s="71"/>
      <c r="O610" s="71"/>
      <c r="P610" s="67"/>
      <c r="R610" s="67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6"/>
      <c r="BY610" s="6"/>
      <c r="BZ610" s="6"/>
      <c r="CA610" s="6"/>
      <c r="CB610" s="6"/>
      <c r="CC610" s="6"/>
    </row>
    <row r="611" spans="2:81" x14ac:dyDescent="0.2">
      <c r="B611" s="68"/>
      <c r="C611" s="69"/>
      <c r="D611" s="70"/>
      <c r="F611" s="68"/>
      <c r="G611" s="69"/>
      <c r="H611" s="70"/>
      <c r="J611" s="71"/>
      <c r="K611" s="71"/>
      <c r="L611" s="67"/>
      <c r="N611" s="71"/>
      <c r="O611" s="71"/>
      <c r="P611" s="67"/>
      <c r="R611" s="67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6"/>
      <c r="BY611" s="6"/>
      <c r="BZ611" s="6"/>
      <c r="CA611" s="6"/>
      <c r="CB611" s="6"/>
      <c r="CC611" s="6"/>
    </row>
    <row r="612" spans="2:81" x14ac:dyDescent="0.2">
      <c r="B612" s="68"/>
      <c r="C612" s="69"/>
      <c r="D612" s="70"/>
      <c r="F612" s="68"/>
      <c r="G612" s="69"/>
      <c r="H612" s="70"/>
      <c r="J612" s="71"/>
      <c r="K612" s="71"/>
      <c r="L612" s="67"/>
      <c r="N612" s="71"/>
      <c r="O612" s="71"/>
      <c r="P612" s="67"/>
      <c r="R612" s="67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6"/>
      <c r="BY612" s="6"/>
      <c r="BZ612" s="6"/>
      <c r="CA612" s="6"/>
      <c r="CB612" s="6"/>
      <c r="CC612" s="6"/>
    </row>
    <row r="613" spans="2:81" x14ac:dyDescent="0.2">
      <c r="B613" s="68"/>
      <c r="C613" s="69"/>
      <c r="D613" s="70"/>
      <c r="F613" s="68"/>
      <c r="G613" s="69"/>
      <c r="H613" s="70"/>
      <c r="J613" s="71"/>
      <c r="K613" s="71"/>
      <c r="L613" s="67"/>
      <c r="N613" s="71"/>
      <c r="O613" s="71"/>
      <c r="P613" s="67"/>
      <c r="R613" s="67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6"/>
      <c r="BY613" s="6"/>
      <c r="BZ613" s="6"/>
      <c r="CA613" s="6"/>
      <c r="CB613" s="6"/>
      <c r="CC613" s="6"/>
    </row>
    <row r="614" spans="2:81" x14ac:dyDescent="0.2">
      <c r="B614" s="68"/>
      <c r="C614" s="69"/>
      <c r="D614" s="70"/>
      <c r="F614" s="68"/>
      <c r="G614" s="69"/>
      <c r="H614" s="70"/>
      <c r="J614" s="71"/>
      <c r="K614" s="71"/>
      <c r="L614" s="67"/>
      <c r="N614" s="71"/>
      <c r="O614" s="71"/>
      <c r="P614" s="67"/>
      <c r="R614" s="67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6"/>
      <c r="BY614" s="6"/>
      <c r="BZ614" s="6"/>
      <c r="CA614" s="6"/>
      <c r="CB614" s="6"/>
      <c r="CC614" s="6"/>
    </row>
    <row r="615" spans="2:81" x14ac:dyDescent="0.2">
      <c r="B615" s="68"/>
      <c r="C615" s="69"/>
      <c r="D615" s="70"/>
      <c r="F615" s="68"/>
      <c r="G615" s="69"/>
      <c r="H615" s="70"/>
      <c r="J615" s="71"/>
      <c r="K615" s="71"/>
      <c r="L615" s="67"/>
      <c r="N615" s="71"/>
      <c r="O615" s="71"/>
      <c r="P615" s="67"/>
      <c r="R615" s="67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6"/>
      <c r="BY615" s="6"/>
      <c r="BZ615" s="6"/>
      <c r="CA615" s="6"/>
      <c r="CB615" s="6"/>
      <c r="CC615" s="6"/>
    </row>
    <row r="616" spans="2:81" x14ac:dyDescent="0.2">
      <c r="B616" s="68"/>
      <c r="C616" s="69"/>
      <c r="D616" s="70"/>
      <c r="F616" s="68"/>
      <c r="G616" s="69"/>
      <c r="H616" s="70"/>
      <c r="J616" s="71"/>
      <c r="K616" s="71"/>
      <c r="L616" s="67"/>
      <c r="N616" s="71"/>
      <c r="O616" s="71"/>
      <c r="P616" s="67"/>
      <c r="R616" s="67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6"/>
      <c r="BY616" s="6"/>
      <c r="BZ616" s="6"/>
      <c r="CA616" s="6"/>
      <c r="CB616" s="6"/>
      <c r="CC616" s="6"/>
    </row>
    <row r="617" spans="2:81" x14ac:dyDescent="0.2">
      <c r="B617" s="68"/>
      <c r="C617" s="69"/>
      <c r="D617" s="70"/>
      <c r="F617" s="68"/>
      <c r="G617" s="69"/>
      <c r="H617" s="70"/>
      <c r="J617" s="71"/>
      <c r="K617" s="71"/>
      <c r="L617" s="67"/>
      <c r="N617" s="71"/>
      <c r="O617" s="71"/>
      <c r="P617" s="67"/>
      <c r="R617" s="67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6"/>
      <c r="BY617" s="6"/>
      <c r="BZ617" s="6"/>
      <c r="CA617" s="6"/>
      <c r="CB617" s="6"/>
      <c r="CC617" s="6"/>
    </row>
    <row r="618" spans="2:81" x14ac:dyDescent="0.2">
      <c r="B618" s="68"/>
      <c r="C618" s="69"/>
      <c r="D618" s="70"/>
      <c r="F618" s="68"/>
      <c r="G618" s="69"/>
      <c r="H618" s="70"/>
      <c r="J618" s="71"/>
      <c r="K618" s="71"/>
      <c r="L618" s="67"/>
      <c r="N618" s="71"/>
      <c r="O618" s="71"/>
      <c r="P618" s="67"/>
      <c r="R618" s="67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6"/>
      <c r="BY618" s="6"/>
      <c r="BZ618" s="6"/>
      <c r="CA618" s="6"/>
      <c r="CB618" s="6"/>
      <c r="CC618" s="6"/>
    </row>
    <row r="619" spans="2:81" x14ac:dyDescent="0.2">
      <c r="B619" s="68"/>
      <c r="C619" s="69"/>
      <c r="D619" s="70"/>
      <c r="F619" s="68"/>
      <c r="G619" s="69"/>
      <c r="H619" s="70"/>
      <c r="J619" s="71"/>
      <c r="K619" s="71"/>
      <c r="L619" s="67"/>
      <c r="N619" s="71"/>
      <c r="O619" s="71"/>
      <c r="P619" s="67"/>
      <c r="R619" s="67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6"/>
      <c r="BY619" s="6"/>
      <c r="BZ619" s="6"/>
      <c r="CA619" s="6"/>
      <c r="CB619" s="6"/>
      <c r="CC619" s="6"/>
    </row>
    <row r="620" spans="2:81" x14ac:dyDescent="0.2">
      <c r="B620" s="68"/>
      <c r="C620" s="69"/>
      <c r="D620" s="70"/>
      <c r="F620" s="68"/>
      <c r="G620" s="69"/>
      <c r="H620" s="70"/>
      <c r="J620" s="71"/>
      <c r="K620" s="71"/>
      <c r="L620" s="67"/>
      <c r="N620" s="71"/>
      <c r="O620" s="71"/>
      <c r="P620" s="67"/>
      <c r="R620" s="67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6"/>
      <c r="BY620" s="6"/>
      <c r="BZ620" s="6"/>
      <c r="CA620" s="6"/>
      <c r="CB620" s="6"/>
      <c r="CC620" s="6"/>
    </row>
    <row r="621" spans="2:81" x14ac:dyDescent="0.2">
      <c r="B621" s="68"/>
      <c r="C621" s="69"/>
      <c r="D621" s="70"/>
      <c r="F621" s="68"/>
      <c r="G621" s="69"/>
      <c r="H621" s="70"/>
      <c r="J621" s="71"/>
      <c r="K621" s="71"/>
      <c r="L621" s="67"/>
      <c r="N621" s="71"/>
      <c r="O621" s="71"/>
      <c r="P621" s="67"/>
      <c r="R621" s="67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6"/>
      <c r="BY621" s="6"/>
      <c r="BZ621" s="6"/>
      <c r="CA621" s="6"/>
      <c r="CB621" s="6"/>
      <c r="CC621" s="6"/>
    </row>
    <row r="622" spans="2:81" x14ac:dyDescent="0.2">
      <c r="B622" s="68"/>
      <c r="C622" s="69"/>
      <c r="D622" s="70"/>
      <c r="F622" s="68"/>
      <c r="G622" s="69"/>
      <c r="H622" s="70"/>
      <c r="J622" s="71"/>
      <c r="K622" s="71"/>
      <c r="L622" s="67"/>
      <c r="N622" s="71"/>
      <c r="O622" s="71"/>
      <c r="P622" s="67"/>
      <c r="R622" s="67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6"/>
      <c r="BY622" s="6"/>
      <c r="BZ622" s="6"/>
      <c r="CA622" s="6"/>
      <c r="CB622" s="6"/>
      <c r="CC622" s="6"/>
    </row>
    <row r="623" spans="2:81" x14ac:dyDescent="0.2">
      <c r="B623" s="68"/>
      <c r="C623" s="69"/>
      <c r="D623" s="70"/>
      <c r="F623" s="68"/>
      <c r="G623" s="69"/>
      <c r="H623" s="70"/>
      <c r="J623" s="71"/>
      <c r="K623" s="71"/>
      <c r="L623" s="67"/>
      <c r="N623" s="71"/>
      <c r="O623" s="71"/>
      <c r="P623" s="67"/>
      <c r="R623" s="67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6"/>
      <c r="BY623" s="6"/>
      <c r="BZ623" s="6"/>
      <c r="CA623" s="6"/>
      <c r="CB623" s="6"/>
      <c r="CC623" s="6"/>
    </row>
    <row r="624" spans="2:81" x14ac:dyDescent="0.2">
      <c r="B624" s="68"/>
      <c r="C624" s="69"/>
      <c r="D624" s="70"/>
      <c r="F624" s="68"/>
      <c r="G624" s="69"/>
      <c r="H624" s="70"/>
      <c r="J624" s="71"/>
      <c r="K624" s="71"/>
      <c r="L624" s="67"/>
      <c r="N624" s="71"/>
      <c r="O624" s="71"/>
      <c r="P624" s="67"/>
      <c r="R624" s="67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6"/>
      <c r="BY624" s="6"/>
      <c r="BZ624" s="6"/>
      <c r="CA624" s="6"/>
      <c r="CB624" s="6"/>
      <c r="CC624" s="6"/>
    </row>
    <row r="625" spans="2:81" x14ac:dyDescent="0.2">
      <c r="B625" s="68"/>
      <c r="C625" s="69"/>
      <c r="D625" s="70"/>
      <c r="F625" s="68"/>
      <c r="G625" s="69"/>
      <c r="H625" s="70"/>
      <c r="J625" s="71"/>
      <c r="K625" s="71"/>
      <c r="L625" s="67"/>
      <c r="N625" s="71"/>
      <c r="O625" s="71"/>
      <c r="P625" s="67"/>
      <c r="R625" s="67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6"/>
      <c r="BY625" s="6"/>
      <c r="BZ625" s="6"/>
      <c r="CA625" s="6"/>
      <c r="CB625" s="6"/>
      <c r="CC625" s="6"/>
    </row>
    <row r="626" spans="2:81" x14ac:dyDescent="0.2">
      <c r="B626" s="68"/>
      <c r="C626" s="69"/>
      <c r="D626" s="70"/>
      <c r="F626" s="68"/>
      <c r="G626" s="69"/>
      <c r="H626" s="70"/>
      <c r="J626" s="71"/>
      <c r="K626" s="71"/>
      <c r="L626" s="67"/>
      <c r="N626" s="71"/>
      <c r="O626" s="71"/>
      <c r="P626" s="67"/>
      <c r="R626" s="67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6"/>
      <c r="BY626" s="6"/>
      <c r="BZ626" s="6"/>
      <c r="CA626" s="6"/>
      <c r="CB626" s="6"/>
      <c r="CC626" s="6"/>
    </row>
    <row r="627" spans="2:81" x14ac:dyDescent="0.2">
      <c r="B627" s="68"/>
      <c r="C627" s="69"/>
      <c r="D627" s="70"/>
      <c r="F627" s="68"/>
      <c r="G627" s="69"/>
      <c r="H627" s="70"/>
      <c r="J627" s="71"/>
      <c r="K627" s="71"/>
      <c r="L627" s="67"/>
      <c r="N627" s="71"/>
      <c r="O627" s="71"/>
      <c r="P627" s="67"/>
      <c r="R627" s="67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6"/>
      <c r="BY627" s="6"/>
      <c r="BZ627" s="6"/>
      <c r="CA627" s="6"/>
      <c r="CB627" s="6"/>
      <c r="CC627" s="6"/>
    </row>
    <row r="628" spans="2:81" x14ac:dyDescent="0.2">
      <c r="B628" s="68"/>
      <c r="C628" s="69"/>
      <c r="D628" s="70"/>
      <c r="F628" s="68"/>
      <c r="G628" s="69"/>
      <c r="H628" s="70"/>
      <c r="J628" s="71"/>
      <c r="K628" s="71"/>
      <c r="L628" s="67"/>
      <c r="N628" s="71"/>
      <c r="O628" s="71"/>
      <c r="P628" s="67"/>
      <c r="R628" s="67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6"/>
      <c r="BY628" s="6"/>
      <c r="BZ628" s="6"/>
      <c r="CA628" s="6"/>
      <c r="CB628" s="6"/>
      <c r="CC628" s="6"/>
    </row>
    <row r="629" spans="2:81" x14ac:dyDescent="0.2">
      <c r="B629" s="68"/>
      <c r="C629" s="69"/>
      <c r="D629" s="70"/>
      <c r="F629" s="68"/>
      <c r="G629" s="69"/>
      <c r="H629" s="70"/>
      <c r="J629" s="71"/>
      <c r="K629" s="71"/>
      <c r="L629" s="67"/>
      <c r="N629" s="71"/>
      <c r="O629" s="71"/>
      <c r="P629" s="67"/>
      <c r="R629" s="67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6"/>
      <c r="BY629" s="6"/>
      <c r="BZ629" s="6"/>
      <c r="CA629" s="6"/>
      <c r="CB629" s="6"/>
      <c r="CC629" s="6"/>
    </row>
    <row r="630" spans="2:81" x14ac:dyDescent="0.2">
      <c r="B630" s="68"/>
      <c r="C630" s="69"/>
      <c r="D630" s="70"/>
      <c r="F630" s="68"/>
      <c r="G630" s="69"/>
      <c r="H630" s="70"/>
      <c r="J630" s="71"/>
      <c r="K630" s="71"/>
      <c r="L630" s="67"/>
      <c r="N630" s="71"/>
      <c r="O630" s="71"/>
      <c r="P630" s="67"/>
      <c r="R630" s="67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6"/>
      <c r="BY630" s="6"/>
      <c r="BZ630" s="6"/>
      <c r="CA630" s="6"/>
      <c r="CB630" s="6"/>
      <c r="CC630" s="6"/>
    </row>
    <row r="631" spans="2:81" x14ac:dyDescent="0.2">
      <c r="B631" s="68"/>
      <c r="C631" s="69"/>
      <c r="D631" s="70"/>
      <c r="F631" s="68"/>
      <c r="G631" s="69"/>
      <c r="H631" s="70"/>
      <c r="J631" s="71"/>
      <c r="K631" s="71"/>
      <c r="L631" s="67"/>
      <c r="N631" s="71"/>
      <c r="O631" s="71"/>
      <c r="P631" s="67"/>
      <c r="R631" s="67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6"/>
      <c r="BY631" s="6"/>
      <c r="BZ631" s="6"/>
      <c r="CA631" s="6"/>
      <c r="CB631" s="6"/>
      <c r="CC631" s="6"/>
    </row>
    <row r="632" spans="2:81" x14ac:dyDescent="0.2">
      <c r="B632" s="68"/>
      <c r="C632" s="69"/>
      <c r="D632" s="70"/>
      <c r="F632" s="68"/>
      <c r="G632" s="69"/>
      <c r="H632" s="70"/>
      <c r="J632" s="71"/>
      <c r="K632" s="71"/>
      <c r="L632" s="67"/>
      <c r="N632" s="71"/>
      <c r="O632" s="71"/>
      <c r="P632" s="67"/>
      <c r="R632" s="67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6"/>
      <c r="BY632" s="6"/>
      <c r="BZ632" s="6"/>
      <c r="CA632" s="6"/>
      <c r="CB632" s="6"/>
      <c r="CC632" s="6"/>
    </row>
    <row r="633" spans="2:81" x14ac:dyDescent="0.2">
      <c r="B633" s="68"/>
      <c r="C633" s="69"/>
      <c r="D633" s="70"/>
      <c r="F633" s="68"/>
      <c r="G633" s="69"/>
      <c r="H633" s="70"/>
      <c r="J633" s="71"/>
      <c r="K633" s="71"/>
      <c r="L633" s="67"/>
      <c r="N633" s="71"/>
      <c r="O633" s="71"/>
      <c r="P633" s="67"/>
      <c r="R633" s="67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6"/>
      <c r="BY633" s="6"/>
      <c r="BZ633" s="6"/>
      <c r="CA633" s="6"/>
      <c r="CB633" s="6"/>
      <c r="CC633" s="6"/>
    </row>
    <row r="634" spans="2:81" x14ac:dyDescent="0.2">
      <c r="B634" s="68"/>
      <c r="C634" s="69"/>
      <c r="D634" s="70"/>
      <c r="F634" s="68"/>
      <c r="G634" s="69"/>
      <c r="H634" s="70"/>
      <c r="J634" s="71"/>
      <c r="K634" s="71"/>
      <c r="L634" s="67"/>
      <c r="N634" s="71"/>
      <c r="O634" s="71"/>
      <c r="P634" s="67"/>
      <c r="R634" s="67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6"/>
      <c r="BY634" s="6"/>
      <c r="BZ634" s="6"/>
      <c r="CA634" s="6"/>
      <c r="CB634" s="6"/>
      <c r="CC634" s="6"/>
    </row>
    <row r="635" spans="2:81" x14ac:dyDescent="0.2">
      <c r="B635" s="68"/>
      <c r="C635" s="69"/>
      <c r="D635" s="70"/>
      <c r="F635" s="68"/>
      <c r="G635" s="69"/>
      <c r="H635" s="70"/>
      <c r="J635" s="71"/>
      <c r="K635" s="71"/>
      <c r="L635" s="67"/>
      <c r="N635" s="71"/>
      <c r="O635" s="71"/>
      <c r="P635" s="67"/>
      <c r="R635" s="67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6"/>
      <c r="BY635" s="6"/>
      <c r="BZ635" s="6"/>
      <c r="CA635" s="6"/>
      <c r="CB635" s="6"/>
      <c r="CC635" s="6"/>
    </row>
    <row r="636" spans="2:81" x14ac:dyDescent="0.2">
      <c r="B636" s="68"/>
      <c r="C636" s="69"/>
      <c r="D636" s="70"/>
      <c r="F636" s="68"/>
      <c r="G636" s="69"/>
      <c r="H636" s="70"/>
      <c r="J636" s="71"/>
      <c r="K636" s="71"/>
      <c r="L636" s="67"/>
      <c r="N636" s="71"/>
      <c r="O636" s="71"/>
      <c r="P636" s="67"/>
      <c r="R636" s="67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6"/>
      <c r="BY636" s="6"/>
      <c r="BZ636" s="6"/>
      <c r="CA636" s="6"/>
      <c r="CB636" s="6"/>
      <c r="CC636" s="6"/>
    </row>
    <row r="637" spans="2:81" x14ac:dyDescent="0.2">
      <c r="B637" s="68"/>
      <c r="C637" s="69"/>
      <c r="D637" s="70"/>
      <c r="F637" s="68"/>
      <c r="G637" s="69"/>
      <c r="H637" s="70"/>
      <c r="J637" s="71"/>
      <c r="K637" s="71"/>
      <c r="L637" s="67"/>
      <c r="N637" s="71"/>
      <c r="O637" s="71"/>
      <c r="P637" s="67"/>
      <c r="R637" s="67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6"/>
      <c r="BY637" s="6"/>
      <c r="BZ637" s="6"/>
      <c r="CA637" s="6"/>
      <c r="CB637" s="6"/>
      <c r="CC637" s="6"/>
    </row>
    <row r="638" spans="2:81" x14ac:dyDescent="0.2">
      <c r="B638" s="68"/>
      <c r="C638" s="69"/>
      <c r="D638" s="70"/>
      <c r="F638" s="68"/>
      <c r="G638" s="69"/>
      <c r="H638" s="70"/>
      <c r="J638" s="71"/>
      <c r="K638" s="71"/>
      <c r="L638" s="67"/>
      <c r="N638" s="71"/>
      <c r="O638" s="71"/>
      <c r="P638" s="67"/>
      <c r="R638" s="67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6"/>
      <c r="BY638" s="6"/>
      <c r="BZ638" s="6"/>
      <c r="CA638" s="6"/>
      <c r="CB638" s="6"/>
      <c r="CC638" s="6"/>
    </row>
    <row r="639" spans="2:81" x14ac:dyDescent="0.2">
      <c r="B639" s="68"/>
      <c r="C639" s="69"/>
      <c r="D639" s="70"/>
      <c r="F639" s="68"/>
      <c r="G639" s="69"/>
      <c r="H639" s="70"/>
      <c r="J639" s="71"/>
      <c r="K639" s="71"/>
      <c r="L639" s="67"/>
      <c r="N639" s="71"/>
      <c r="O639" s="71"/>
      <c r="P639" s="67"/>
      <c r="R639" s="67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6"/>
      <c r="BY639" s="6"/>
      <c r="BZ639" s="6"/>
      <c r="CA639" s="6"/>
      <c r="CB639" s="6"/>
      <c r="CC639" s="6"/>
    </row>
    <row r="640" spans="2:81" x14ac:dyDescent="0.2">
      <c r="B640" s="68"/>
      <c r="C640" s="69"/>
      <c r="D640" s="70"/>
      <c r="F640" s="68"/>
      <c r="G640" s="69"/>
      <c r="H640" s="70"/>
      <c r="J640" s="71"/>
      <c r="K640" s="71"/>
      <c r="L640" s="67"/>
      <c r="N640" s="71"/>
      <c r="O640" s="71"/>
      <c r="P640" s="67"/>
      <c r="R640" s="67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6"/>
      <c r="BY640" s="6"/>
      <c r="BZ640" s="6"/>
      <c r="CA640" s="6"/>
      <c r="CB640" s="6"/>
      <c r="CC640" s="6"/>
    </row>
    <row r="641" spans="2:81" x14ac:dyDescent="0.2">
      <c r="B641" s="68"/>
      <c r="C641" s="69"/>
      <c r="D641" s="70"/>
      <c r="F641" s="68"/>
      <c r="G641" s="69"/>
      <c r="H641" s="70"/>
      <c r="J641" s="71"/>
      <c r="K641" s="71"/>
      <c r="L641" s="67"/>
      <c r="N641" s="71"/>
      <c r="O641" s="71"/>
      <c r="P641" s="67"/>
      <c r="R641" s="67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6"/>
      <c r="BY641" s="6"/>
      <c r="BZ641" s="6"/>
      <c r="CA641" s="6"/>
      <c r="CB641" s="6"/>
      <c r="CC641" s="6"/>
    </row>
    <row r="642" spans="2:81" x14ac:dyDescent="0.2">
      <c r="B642" s="68"/>
      <c r="C642" s="69"/>
      <c r="D642" s="70"/>
      <c r="F642" s="68"/>
      <c r="G642" s="69"/>
      <c r="H642" s="70"/>
      <c r="J642" s="71"/>
      <c r="K642" s="71"/>
      <c r="L642" s="67"/>
      <c r="N642" s="71"/>
      <c r="O642" s="71"/>
      <c r="P642" s="67"/>
      <c r="R642" s="67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6"/>
      <c r="BY642" s="6"/>
      <c r="BZ642" s="6"/>
      <c r="CA642" s="6"/>
      <c r="CB642" s="6"/>
      <c r="CC642" s="6"/>
    </row>
    <row r="643" spans="2:81" x14ac:dyDescent="0.2">
      <c r="B643" s="68"/>
      <c r="C643" s="69"/>
      <c r="D643" s="70"/>
      <c r="F643" s="68"/>
      <c r="G643" s="69"/>
      <c r="H643" s="70"/>
      <c r="J643" s="71"/>
      <c r="K643" s="71"/>
      <c r="L643" s="67"/>
      <c r="N643" s="71"/>
      <c r="O643" s="71"/>
      <c r="P643" s="67"/>
      <c r="R643" s="67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6"/>
      <c r="BY643" s="6"/>
      <c r="BZ643" s="6"/>
      <c r="CA643" s="6"/>
      <c r="CB643" s="6"/>
      <c r="CC643" s="6"/>
    </row>
    <row r="644" spans="2:81" x14ac:dyDescent="0.2">
      <c r="B644" s="68"/>
      <c r="C644" s="69"/>
      <c r="D644" s="70"/>
      <c r="F644" s="68"/>
      <c r="G644" s="69"/>
      <c r="H644" s="70"/>
      <c r="J644" s="71"/>
      <c r="K644" s="71"/>
      <c r="L644" s="67"/>
      <c r="N644" s="71"/>
      <c r="O644" s="71"/>
      <c r="P644" s="67"/>
      <c r="R644" s="67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6"/>
      <c r="BY644" s="6"/>
      <c r="BZ644" s="6"/>
      <c r="CA644" s="6"/>
      <c r="CB644" s="6"/>
      <c r="CC644" s="6"/>
    </row>
    <row r="645" spans="2:81" x14ac:dyDescent="0.2">
      <c r="B645" s="68"/>
      <c r="C645" s="69"/>
      <c r="D645" s="70"/>
      <c r="F645" s="68"/>
      <c r="G645" s="69"/>
      <c r="H645" s="70"/>
      <c r="J645" s="71"/>
      <c r="K645" s="71"/>
      <c r="L645" s="67"/>
      <c r="N645" s="71"/>
      <c r="O645" s="71"/>
      <c r="P645" s="67"/>
      <c r="R645" s="67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6"/>
      <c r="BY645" s="6"/>
      <c r="BZ645" s="6"/>
      <c r="CA645" s="6"/>
      <c r="CB645" s="6"/>
      <c r="CC645" s="6"/>
    </row>
    <row r="646" spans="2:81" x14ac:dyDescent="0.2">
      <c r="B646" s="68"/>
      <c r="C646" s="69"/>
      <c r="D646" s="70"/>
      <c r="F646" s="68"/>
      <c r="G646" s="69"/>
      <c r="H646" s="70"/>
      <c r="J646" s="71"/>
      <c r="K646" s="71"/>
      <c r="L646" s="67"/>
      <c r="N646" s="71"/>
      <c r="O646" s="71"/>
      <c r="P646" s="67"/>
      <c r="R646" s="67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6"/>
      <c r="BY646" s="6"/>
      <c r="BZ646" s="6"/>
      <c r="CA646" s="6"/>
      <c r="CB646" s="6"/>
      <c r="CC646" s="6"/>
    </row>
    <row r="647" spans="2:81" x14ac:dyDescent="0.2">
      <c r="B647" s="68"/>
      <c r="C647" s="69"/>
      <c r="D647" s="70"/>
      <c r="F647" s="68"/>
      <c r="G647" s="69"/>
      <c r="H647" s="70"/>
      <c r="J647" s="71"/>
      <c r="K647" s="71"/>
      <c r="L647" s="67"/>
      <c r="N647" s="71"/>
      <c r="O647" s="71"/>
      <c r="P647" s="67"/>
      <c r="R647" s="67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6"/>
      <c r="BY647" s="6"/>
      <c r="BZ647" s="6"/>
      <c r="CA647" s="6"/>
      <c r="CB647" s="6"/>
      <c r="CC647" s="6"/>
    </row>
    <row r="648" spans="2:81" x14ac:dyDescent="0.2">
      <c r="B648" s="68"/>
      <c r="C648" s="69"/>
      <c r="D648" s="70"/>
      <c r="F648" s="68"/>
      <c r="G648" s="69"/>
      <c r="H648" s="70"/>
      <c r="J648" s="71"/>
      <c r="K648" s="71"/>
      <c r="L648" s="67"/>
      <c r="N648" s="71"/>
      <c r="O648" s="71"/>
      <c r="P648" s="67"/>
      <c r="R648" s="67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6"/>
      <c r="BY648" s="6"/>
      <c r="BZ648" s="6"/>
      <c r="CA648" s="6"/>
      <c r="CB648" s="6"/>
      <c r="CC648" s="6"/>
    </row>
    <row r="649" spans="2:81" x14ac:dyDescent="0.2">
      <c r="B649" s="68"/>
      <c r="C649" s="69"/>
      <c r="D649" s="70"/>
      <c r="F649" s="68"/>
      <c r="G649" s="69"/>
      <c r="H649" s="70"/>
      <c r="J649" s="71"/>
      <c r="K649" s="71"/>
      <c r="L649" s="67"/>
      <c r="N649" s="71"/>
      <c r="O649" s="71"/>
      <c r="P649" s="67"/>
      <c r="R649" s="67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6"/>
      <c r="BY649" s="6"/>
      <c r="BZ649" s="6"/>
      <c r="CA649" s="6"/>
      <c r="CB649" s="6"/>
      <c r="CC649" s="6"/>
    </row>
    <row r="650" spans="2:81" x14ac:dyDescent="0.2">
      <c r="B650" s="68"/>
      <c r="C650" s="69"/>
      <c r="D650" s="70"/>
      <c r="F650" s="68"/>
      <c r="G650" s="69"/>
      <c r="H650" s="70"/>
      <c r="J650" s="71"/>
      <c r="K650" s="71"/>
      <c r="L650" s="67"/>
      <c r="N650" s="71"/>
      <c r="O650" s="71"/>
      <c r="P650" s="67"/>
      <c r="R650" s="67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6"/>
      <c r="BY650" s="6"/>
      <c r="BZ650" s="6"/>
      <c r="CA650" s="6"/>
      <c r="CB650" s="6"/>
      <c r="CC650" s="6"/>
    </row>
    <row r="651" spans="2:81" x14ac:dyDescent="0.2">
      <c r="B651" s="68"/>
      <c r="C651" s="69"/>
      <c r="D651" s="70"/>
      <c r="F651" s="68"/>
      <c r="G651" s="69"/>
      <c r="H651" s="70"/>
      <c r="J651" s="71"/>
      <c r="K651" s="71"/>
      <c r="L651" s="67"/>
      <c r="N651" s="71"/>
      <c r="O651" s="71"/>
      <c r="P651" s="67"/>
      <c r="R651" s="67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6"/>
      <c r="BY651" s="6"/>
      <c r="BZ651" s="6"/>
      <c r="CA651" s="6"/>
      <c r="CB651" s="6"/>
      <c r="CC651" s="6"/>
    </row>
    <row r="652" spans="2:81" x14ac:dyDescent="0.2">
      <c r="B652" s="68"/>
      <c r="C652" s="69"/>
      <c r="D652" s="70"/>
      <c r="F652" s="68"/>
      <c r="G652" s="69"/>
      <c r="H652" s="70"/>
      <c r="J652" s="71"/>
      <c r="K652" s="71"/>
      <c r="L652" s="67"/>
      <c r="N652" s="71"/>
      <c r="O652" s="71"/>
      <c r="P652" s="67"/>
      <c r="R652" s="67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6"/>
      <c r="BY652" s="6"/>
      <c r="BZ652" s="6"/>
      <c r="CA652" s="6"/>
      <c r="CB652" s="6"/>
      <c r="CC652" s="6"/>
    </row>
    <row r="653" spans="2:81" x14ac:dyDescent="0.2">
      <c r="B653" s="68"/>
      <c r="C653" s="69"/>
      <c r="D653" s="70"/>
      <c r="F653" s="68"/>
      <c r="G653" s="69"/>
      <c r="H653" s="70"/>
      <c r="J653" s="71"/>
      <c r="K653" s="71"/>
      <c r="L653" s="67"/>
      <c r="N653" s="71"/>
      <c r="O653" s="71"/>
      <c r="P653" s="67"/>
      <c r="R653" s="67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6"/>
      <c r="BY653" s="6"/>
      <c r="BZ653" s="6"/>
      <c r="CA653" s="6"/>
      <c r="CB653" s="6"/>
      <c r="CC653" s="6"/>
    </row>
    <row r="654" spans="2:81" x14ac:dyDescent="0.2">
      <c r="B654" s="68"/>
      <c r="C654" s="69"/>
      <c r="D654" s="70"/>
      <c r="F654" s="68"/>
      <c r="G654" s="69"/>
      <c r="H654" s="70"/>
      <c r="J654" s="71"/>
      <c r="K654" s="71"/>
      <c r="L654" s="67"/>
      <c r="N654" s="71"/>
      <c r="O654" s="71"/>
      <c r="P654" s="67"/>
      <c r="R654" s="67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6"/>
      <c r="BY654" s="6"/>
      <c r="BZ654" s="6"/>
      <c r="CA654" s="6"/>
      <c r="CB654" s="6"/>
      <c r="CC654" s="6"/>
    </row>
    <row r="655" spans="2:81" x14ac:dyDescent="0.2">
      <c r="B655" s="68"/>
      <c r="C655" s="69"/>
      <c r="D655" s="70"/>
      <c r="F655" s="68"/>
      <c r="G655" s="69"/>
      <c r="H655" s="70"/>
      <c r="J655" s="71"/>
      <c r="K655" s="71"/>
      <c r="L655" s="67"/>
      <c r="N655" s="71"/>
      <c r="O655" s="71"/>
      <c r="P655" s="67"/>
      <c r="R655" s="67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6"/>
      <c r="BY655" s="6"/>
      <c r="BZ655" s="6"/>
      <c r="CA655" s="6"/>
      <c r="CB655" s="6"/>
      <c r="CC655" s="6"/>
    </row>
    <row r="656" spans="2:81" x14ac:dyDescent="0.2">
      <c r="B656" s="68"/>
      <c r="C656" s="69"/>
      <c r="D656" s="70"/>
      <c r="F656" s="68"/>
      <c r="G656" s="69"/>
      <c r="H656" s="70"/>
      <c r="J656" s="71"/>
      <c r="K656" s="71"/>
      <c r="L656" s="67"/>
      <c r="N656" s="71"/>
      <c r="O656" s="71"/>
      <c r="P656" s="67"/>
      <c r="R656" s="67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6"/>
      <c r="BY656" s="6"/>
      <c r="BZ656" s="6"/>
      <c r="CA656" s="6"/>
      <c r="CB656" s="6"/>
      <c r="CC656" s="6"/>
    </row>
    <row r="657" spans="2:81" x14ac:dyDescent="0.2">
      <c r="B657" s="68"/>
      <c r="C657" s="69"/>
      <c r="D657" s="70"/>
      <c r="F657" s="68"/>
      <c r="G657" s="69"/>
      <c r="H657" s="70"/>
      <c r="J657" s="71"/>
      <c r="K657" s="71"/>
      <c r="L657" s="67"/>
      <c r="N657" s="71"/>
      <c r="O657" s="71"/>
      <c r="P657" s="67"/>
      <c r="R657" s="67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6"/>
      <c r="BY657" s="6"/>
      <c r="BZ657" s="6"/>
      <c r="CA657" s="6"/>
      <c r="CB657" s="6"/>
      <c r="CC657" s="6"/>
    </row>
    <row r="658" spans="2:81" x14ac:dyDescent="0.2">
      <c r="B658" s="68"/>
      <c r="C658" s="69"/>
      <c r="D658" s="70"/>
      <c r="F658" s="68"/>
      <c r="G658" s="69"/>
      <c r="H658" s="70"/>
      <c r="J658" s="71"/>
      <c r="K658" s="71"/>
      <c r="L658" s="67"/>
      <c r="N658" s="71"/>
      <c r="O658" s="71"/>
      <c r="P658" s="67"/>
      <c r="R658" s="67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6"/>
      <c r="BY658" s="6"/>
      <c r="BZ658" s="6"/>
      <c r="CA658" s="6"/>
      <c r="CB658" s="6"/>
      <c r="CC658" s="6"/>
    </row>
    <row r="659" spans="2:81" x14ac:dyDescent="0.2">
      <c r="B659" s="68"/>
      <c r="C659" s="69"/>
      <c r="D659" s="70"/>
      <c r="F659" s="68"/>
      <c r="G659" s="69"/>
      <c r="H659" s="70"/>
      <c r="J659" s="71"/>
      <c r="K659" s="71"/>
      <c r="L659" s="67"/>
      <c r="N659" s="71"/>
      <c r="O659" s="71"/>
      <c r="P659" s="67"/>
      <c r="R659" s="67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6"/>
      <c r="BY659" s="6"/>
      <c r="BZ659" s="6"/>
      <c r="CA659" s="6"/>
      <c r="CB659" s="6"/>
      <c r="CC659" s="6"/>
    </row>
    <row r="660" spans="2:81" x14ac:dyDescent="0.2">
      <c r="B660" s="68"/>
      <c r="C660" s="69"/>
      <c r="D660" s="70"/>
      <c r="F660" s="68"/>
      <c r="G660" s="69"/>
      <c r="H660" s="70"/>
      <c r="J660" s="71"/>
      <c r="K660" s="71"/>
      <c r="L660" s="67"/>
      <c r="N660" s="71"/>
      <c r="O660" s="71"/>
      <c r="P660" s="67"/>
      <c r="R660" s="67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6"/>
      <c r="BY660" s="6"/>
      <c r="BZ660" s="6"/>
      <c r="CA660" s="6"/>
      <c r="CB660" s="6"/>
      <c r="CC660" s="6"/>
    </row>
    <row r="661" spans="2:81" x14ac:dyDescent="0.2">
      <c r="B661" s="68"/>
      <c r="C661" s="69"/>
      <c r="D661" s="70"/>
      <c r="F661" s="68"/>
      <c r="G661" s="69"/>
      <c r="H661" s="70"/>
      <c r="J661" s="71"/>
      <c r="K661" s="71"/>
      <c r="L661" s="67"/>
      <c r="N661" s="71"/>
      <c r="O661" s="71"/>
      <c r="P661" s="67"/>
      <c r="R661" s="67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6"/>
      <c r="BY661" s="6"/>
      <c r="BZ661" s="6"/>
      <c r="CA661" s="6"/>
      <c r="CB661" s="6"/>
      <c r="CC661" s="6"/>
    </row>
    <row r="662" spans="2:81" x14ac:dyDescent="0.2">
      <c r="B662" s="68"/>
      <c r="C662" s="69"/>
      <c r="D662" s="70"/>
      <c r="F662" s="68"/>
      <c r="G662" s="69"/>
      <c r="H662" s="70"/>
      <c r="J662" s="71"/>
      <c r="K662" s="71"/>
      <c r="L662" s="67"/>
      <c r="N662" s="71"/>
      <c r="O662" s="71"/>
      <c r="P662" s="67"/>
      <c r="R662" s="67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6"/>
      <c r="BY662" s="6"/>
      <c r="BZ662" s="6"/>
      <c r="CA662" s="6"/>
      <c r="CB662" s="6"/>
      <c r="CC662" s="6"/>
    </row>
    <row r="663" spans="2:81" x14ac:dyDescent="0.2">
      <c r="B663" s="68"/>
      <c r="C663" s="69"/>
      <c r="D663" s="70"/>
      <c r="F663" s="68"/>
      <c r="G663" s="69"/>
      <c r="H663" s="70"/>
      <c r="J663" s="71"/>
      <c r="K663" s="71"/>
      <c r="L663" s="67"/>
      <c r="N663" s="71"/>
      <c r="O663" s="71"/>
      <c r="P663" s="67"/>
      <c r="R663" s="67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6"/>
      <c r="BY663" s="6"/>
      <c r="BZ663" s="6"/>
      <c r="CA663" s="6"/>
      <c r="CB663" s="6"/>
      <c r="CC663" s="6"/>
    </row>
    <row r="664" spans="2:81" x14ac:dyDescent="0.2">
      <c r="B664" s="68"/>
      <c r="C664" s="69"/>
      <c r="D664" s="70"/>
      <c r="F664" s="68"/>
      <c r="G664" s="69"/>
      <c r="H664" s="70"/>
      <c r="J664" s="71"/>
      <c r="K664" s="71"/>
      <c r="L664" s="67"/>
      <c r="N664" s="71"/>
      <c r="O664" s="71"/>
      <c r="P664" s="67"/>
      <c r="R664" s="67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6"/>
      <c r="BY664" s="6"/>
      <c r="BZ664" s="6"/>
      <c r="CA664" s="6"/>
      <c r="CB664" s="6"/>
      <c r="CC664" s="6"/>
    </row>
    <row r="665" spans="2:81" x14ac:dyDescent="0.2">
      <c r="B665" s="68"/>
      <c r="C665" s="69"/>
      <c r="D665" s="70"/>
      <c r="F665" s="68"/>
      <c r="G665" s="69"/>
      <c r="H665" s="70"/>
      <c r="J665" s="71"/>
      <c r="K665" s="71"/>
      <c r="L665" s="67"/>
      <c r="N665" s="71"/>
      <c r="O665" s="71"/>
      <c r="P665" s="67"/>
      <c r="R665" s="67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6"/>
      <c r="BY665" s="6"/>
      <c r="BZ665" s="6"/>
      <c r="CA665" s="6"/>
      <c r="CB665" s="6"/>
      <c r="CC665" s="6"/>
    </row>
    <row r="666" spans="2:81" x14ac:dyDescent="0.2">
      <c r="B666" s="68"/>
      <c r="C666" s="69"/>
      <c r="D666" s="70"/>
      <c r="F666" s="68"/>
      <c r="G666" s="69"/>
      <c r="H666" s="70"/>
      <c r="J666" s="71"/>
      <c r="K666" s="71"/>
      <c r="L666" s="67"/>
      <c r="N666" s="71"/>
      <c r="O666" s="71"/>
      <c r="P666" s="67"/>
      <c r="R666" s="67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6"/>
      <c r="BY666" s="6"/>
      <c r="BZ666" s="6"/>
      <c r="CA666" s="6"/>
      <c r="CB666" s="6"/>
      <c r="CC666" s="6"/>
    </row>
    <row r="667" spans="2:81" x14ac:dyDescent="0.2">
      <c r="B667" s="68"/>
      <c r="C667" s="69"/>
      <c r="D667" s="70"/>
      <c r="F667" s="68"/>
      <c r="G667" s="69"/>
      <c r="H667" s="70"/>
      <c r="J667" s="71"/>
      <c r="K667" s="71"/>
      <c r="L667" s="67"/>
      <c r="N667" s="71"/>
      <c r="O667" s="71"/>
      <c r="P667" s="67"/>
      <c r="R667" s="67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6"/>
      <c r="BY667" s="6"/>
      <c r="BZ667" s="6"/>
      <c r="CA667" s="6"/>
      <c r="CB667" s="6"/>
      <c r="CC667" s="6"/>
    </row>
    <row r="668" spans="2:81" x14ac:dyDescent="0.2">
      <c r="B668" s="68"/>
      <c r="C668" s="69"/>
      <c r="D668" s="70"/>
      <c r="F668" s="68"/>
      <c r="G668" s="69"/>
      <c r="H668" s="70"/>
      <c r="J668" s="71"/>
      <c r="K668" s="71"/>
      <c r="L668" s="67"/>
      <c r="N668" s="71"/>
      <c r="O668" s="71"/>
      <c r="P668" s="67"/>
      <c r="R668" s="67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6"/>
      <c r="BY668" s="6"/>
      <c r="BZ668" s="6"/>
      <c r="CA668" s="6"/>
      <c r="CB668" s="6"/>
      <c r="CC668" s="6"/>
    </row>
    <row r="669" spans="2:81" x14ac:dyDescent="0.2">
      <c r="B669" s="68"/>
      <c r="C669" s="69"/>
      <c r="D669" s="70"/>
      <c r="F669" s="68"/>
      <c r="G669" s="69"/>
      <c r="H669" s="70"/>
      <c r="J669" s="71"/>
      <c r="K669" s="71"/>
      <c r="L669" s="67"/>
      <c r="N669" s="71"/>
      <c r="O669" s="71"/>
      <c r="P669" s="67"/>
      <c r="R669" s="67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6"/>
      <c r="BY669" s="6"/>
      <c r="BZ669" s="6"/>
      <c r="CA669" s="6"/>
      <c r="CB669" s="6"/>
      <c r="CC669" s="6"/>
    </row>
    <row r="670" spans="2:81" x14ac:dyDescent="0.2">
      <c r="B670" s="68"/>
      <c r="C670" s="69"/>
      <c r="D670" s="70"/>
      <c r="F670" s="68"/>
      <c r="G670" s="69"/>
      <c r="H670" s="70"/>
      <c r="J670" s="71"/>
      <c r="K670" s="71"/>
      <c r="L670" s="67"/>
      <c r="N670" s="71"/>
      <c r="O670" s="71"/>
      <c r="P670" s="67"/>
      <c r="R670" s="67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6"/>
      <c r="BY670" s="6"/>
      <c r="BZ670" s="6"/>
      <c r="CA670" s="6"/>
      <c r="CB670" s="6"/>
      <c r="CC670" s="6"/>
    </row>
    <row r="671" spans="2:81" x14ac:dyDescent="0.2">
      <c r="B671" s="68"/>
      <c r="C671" s="69"/>
      <c r="D671" s="70"/>
      <c r="F671" s="68"/>
      <c r="G671" s="69"/>
      <c r="H671" s="70"/>
      <c r="J671" s="71"/>
      <c r="K671" s="71"/>
      <c r="L671" s="67"/>
      <c r="N671" s="71"/>
      <c r="O671" s="71"/>
      <c r="P671" s="67"/>
      <c r="R671" s="67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6"/>
      <c r="BY671" s="6"/>
      <c r="BZ671" s="6"/>
      <c r="CA671" s="6"/>
      <c r="CB671" s="6"/>
      <c r="CC671" s="6"/>
    </row>
    <row r="672" spans="2:81" x14ac:dyDescent="0.2">
      <c r="B672" s="68"/>
      <c r="C672" s="69"/>
      <c r="D672" s="70"/>
      <c r="F672" s="68"/>
      <c r="G672" s="69"/>
      <c r="H672" s="70"/>
      <c r="J672" s="71"/>
      <c r="K672" s="71"/>
      <c r="L672" s="67"/>
      <c r="N672" s="71"/>
      <c r="O672" s="71"/>
      <c r="P672" s="67"/>
      <c r="R672" s="67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6"/>
      <c r="BY672" s="6"/>
      <c r="BZ672" s="6"/>
      <c r="CA672" s="6"/>
      <c r="CB672" s="6"/>
      <c r="CC672" s="6"/>
    </row>
    <row r="673" spans="2:81" x14ac:dyDescent="0.2">
      <c r="B673" s="68"/>
      <c r="C673" s="69"/>
      <c r="D673" s="70"/>
      <c r="F673" s="68"/>
      <c r="G673" s="69"/>
      <c r="H673" s="70"/>
      <c r="J673" s="71"/>
      <c r="K673" s="71"/>
      <c r="L673" s="67"/>
      <c r="N673" s="71"/>
      <c r="O673" s="71"/>
      <c r="P673" s="67"/>
      <c r="R673" s="67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6"/>
      <c r="BY673" s="6"/>
      <c r="BZ673" s="6"/>
      <c r="CA673" s="6"/>
      <c r="CB673" s="6"/>
      <c r="CC673" s="6"/>
    </row>
    <row r="674" spans="2:81" x14ac:dyDescent="0.2">
      <c r="B674" s="68"/>
      <c r="C674" s="69"/>
      <c r="D674" s="70"/>
      <c r="F674" s="68"/>
      <c r="G674" s="69"/>
      <c r="H674" s="70"/>
      <c r="J674" s="71"/>
      <c r="K674" s="71"/>
      <c r="L674" s="67"/>
      <c r="N674" s="71"/>
      <c r="O674" s="71"/>
      <c r="P674" s="67"/>
      <c r="R674" s="67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6"/>
      <c r="BY674" s="6"/>
      <c r="BZ674" s="6"/>
      <c r="CA674" s="6"/>
      <c r="CB674" s="6"/>
      <c r="CC674" s="6"/>
    </row>
    <row r="675" spans="2:81" x14ac:dyDescent="0.2">
      <c r="B675" s="68"/>
      <c r="C675" s="69"/>
      <c r="D675" s="70"/>
      <c r="F675" s="68"/>
      <c r="G675" s="69"/>
      <c r="H675" s="70"/>
      <c r="J675" s="71"/>
      <c r="K675" s="71"/>
      <c r="L675" s="67"/>
      <c r="N675" s="71"/>
      <c r="O675" s="71"/>
      <c r="P675" s="67"/>
      <c r="R675" s="67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6"/>
      <c r="BY675" s="6"/>
      <c r="BZ675" s="6"/>
      <c r="CA675" s="6"/>
      <c r="CB675" s="6"/>
      <c r="CC675" s="6"/>
    </row>
    <row r="676" spans="2:81" x14ac:dyDescent="0.2">
      <c r="B676" s="68"/>
      <c r="C676" s="69"/>
      <c r="D676" s="70"/>
      <c r="F676" s="68"/>
      <c r="G676" s="69"/>
      <c r="H676" s="70"/>
      <c r="J676" s="71"/>
      <c r="K676" s="71"/>
      <c r="L676" s="67"/>
      <c r="N676" s="71"/>
      <c r="O676" s="71"/>
      <c r="P676" s="67"/>
      <c r="R676" s="67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6"/>
      <c r="BY676" s="6"/>
      <c r="BZ676" s="6"/>
      <c r="CA676" s="6"/>
      <c r="CB676" s="6"/>
      <c r="CC676" s="6"/>
    </row>
    <row r="677" spans="2:81" x14ac:dyDescent="0.2">
      <c r="B677" s="68"/>
      <c r="C677" s="69"/>
      <c r="D677" s="70"/>
      <c r="F677" s="68"/>
      <c r="G677" s="69"/>
      <c r="H677" s="70"/>
      <c r="J677" s="71"/>
      <c r="K677" s="71"/>
      <c r="L677" s="67"/>
      <c r="N677" s="71"/>
      <c r="O677" s="71"/>
      <c r="P677" s="67"/>
      <c r="R677" s="67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6"/>
      <c r="BY677" s="6"/>
      <c r="BZ677" s="6"/>
      <c r="CA677" s="6"/>
      <c r="CB677" s="6"/>
      <c r="CC677" s="6"/>
    </row>
    <row r="678" spans="2:81" x14ac:dyDescent="0.2">
      <c r="B678" s="68"/>
      <c r="C678" s="69"/>
      <c r="D678" s="70"/>
      <c r="F678" s="68"/>
      <c r="G678" s="69"/>
      <c r="H678" s="70"/>
      <c r="J678" s="71"/>
      <c r="K678" s="71"/>
      <c r="L678" s="67"/>
      <c r="N678" s="71"/>
      <c r="O678" s="71"/>
      <c r="P678" s="67"/>
      <c r="R678" s="67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6"/>
      <c r="BY678" s="6"/>
      <c r="BZ678" s="6"/>
      <c r="CA678" s="6"/>
      <c r="CB678" s="6"/>
      <c r="CC678" s="6"/>
    </row>
    <row r="679" spans="2:81" x14ac:dyDescent="0.2">
      <c r="B679" s="68"/>
      <c r="C679" s="69"/>
      <c r="D679" s="70"/>
      <c r="F679" s="68"/>
      <c r="G679" s="69"/>
      <c r="H679" s="70"/>
      <c r="J679" s="71"/>
      <c r="K679" s="71"/>
      <c r="L679" s="67"/>
      <c r="N679" s="71"/>
      <c r="O679" s="71"/>
      <c r="P679" s="67"/>
      <c r="R679" s="67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6"/>
      <c r="BY679" s="6"/>
      <c r="BZ679" s="6"/>
      <c r="CA679" s="6"/>
      <c r="CB679" s="6"/>
      <c r="CC679" s="6"/>
    </row>
    <row r="680" spans="2:81" x14ac:dyDescent="0.2">
      <c r="B680" s="68"/>
      <c r="C680" s="69"/>
      <c r="D680" s="70"/>
      <c r="F680" s="68"/>
      <c r="G680" s="69"/>
      <c r="H680" s="70"/>
      <c r="J680" s="71"/>
      <c r="K680" s="71"/>
      <c r="L680" s="67"/>
      <c r="N680" s="71"/>
      <c r="O680" s="71"/>
      <c r="P680" s="67"/>
      <c r="R680" s="67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6"/>
      <c r="BY680" s="6"/>
      <c r="BZ680" s="6"/>
      <c r="CA680" s="6"/>
      <c r="CB680" s="6"/>
      <c r="CC680" s="6"/>
    </row>
    <row r="681" spans="2:81" x14ac:dyDescent="0.2">
      <c r="B681" s="68"/>
      <c r="C681" s="69"/>
      <c r="D681" s="70"/>
      <c r="F681" s="68"/>
      <c r="G681" s="69"/>
      <c r="H681" s="70"/>
      <c r="J681" s="71"/>
      <c r="K681" s="71"/>
      <c r="L681" s="67"/>
      <c r="N681" s="71"/>
      <c r="O681" s="71"/>
      <c r="P681" s="67"/>
      <c r="R681" s="67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6"/>
      <c r="BY681" s="6"/>
      <c r="BZ681" s="6"/>
      <c r="CA681" s="6"/>
      <c r="CB681" s="6"/>
      <c r="CC681" s="6"/>
    </row>
    <row r="682" spans="2:81" x14ac:dyDescent="0.2">
      <c r="B682" s="68"/>
      <c r="C682" s="69"/>
      <c r="D682" s="70"/>
      <c r="F682" s="68"/>
      <c r="G682" s="69"/>
      <c r="H682" s="70"/>
      <c r="J682" s="71"/>
      <c r="K682" s="71"/>
      <c r="L682" s="67"/>
      <c r="N682" s="71"/>
      <c r="O682" s="71"/>
      <c r="P682" s="67"/>
      <c r="R682" s="67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6"/>
      <c r="BY682" s="6"/>
      <c r="BZ682" s="6"/>
      <c r="CA682" s="6"/>
      <c r="CB682" s="6"/>
      <c r="CC682" s="6"/>
    </row>
    <row r="683" spans="2:81" x14ac:dyDescent="0.2">
      <c r="B683" s="68"/>
      <c r="C683" s="69"/>
      <c r="D683" s="70"/>
      <c r="F683" s="68"/>
      <c r="G683" s="69"/>
      <c r="H683" s="70"/>
      <c r="J683" s="71"/>
      <c r="K683" s="71"/>
      <c r="L683" s="67"/>
      <c r="N683" s="71"/>
      <c r="O683" s="71"/>
      <c r="P683" s="67"/>
      <c r="R683" s="67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6"/>
      <c r="BY683" s="6"/>
      <c r="BZ683" s="6"/>
      <c r="CA683" s="6"/>
      <c r="CB683" s="6"/>
      <c r="CC683" s="6"/>
    </row>
    <row r="684" spans="2:81" x14ac:dyDescent="0.2">
      <c r="B684" s="68"/>
      <c r="C684" s="69"/>
      <c r="D684" s="70"/>
      <c r="F684" s="68"/>
      <c r="G684" s="69"/>
      <c r="H684" s="70"/>
      <c r="J684" s="71"/>
      <c r="K684" s="71"/>
      <c r="L684" s="67"/>
      <c r="N684" s="71"/>
      <c r="O684" s="71"/>
      <c r="P684" s="67"/>
      <c r="R684" s="67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6"/>
      <c r="BY684" s="6"/>
      <c r="BZ684" s="6"/>
      <c r="CA684" s="6"/>
      <c r="CB684" s="6"/>
      <c r="CC684" s="6"/>
    </row>
    <row r="685" spans="2:81" x14ac:dyDescent="0.2">
      <c r="B685" s="68"/>
      <c r="C685" s="69"/>
      <c r="D685" s="70"/>
      <c r="F685" s="68"/>
      <c r="G685" s="69"/>
      <c r="H685" s="70"/>
      <c r="J685" s="71"/>
      <c r="K685" s="71"/>
      <c r="L685" s="67"/>
      <c r="N685" s="71"/>
      <c r="O685" s="71"/>
      <c r="P685" s="67"/>
      <c r="R685" s="67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6"/>
      <c r="BY685" s="6"/>
      <c r="BZ685" s="6"/>
      <c r="CA685" s="6"/>
      <c r="CB685" s="6"/>
      <c r="CC685" s="6"/>
    </row>
    <row r="686" spans="2:81" x14ac:dyDescent="0.2">
      <c r="B686" s="68"/>
      <c r="C686" s="69"/>
      <c r="D686" s="70"/>
      <c r="F686" s="68"/>
      <c r="G686" s="69"/>
      <c r="H686" s="70"/>
      <c r="J686" s="71"/>
      <c r="K686" s="71"/>
      <c r="L686" s="67"/>
      <c r="N686" s="71"/>
      <c r="O686" s="71"/>
      <c r="P686" s="67"/>
      <c r="R686" s="67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6"/>
      <c r="BY686" s="6"/>
      <c r="BZ686" s="6"/>
      <c r="CA686" s="6"/>
      <c r="CB686" s="6"/>
      <c r="CC686" s="6"/>
    </row>
    <row r="687" spans="2:81" x14ac:dyDescent="0.2">
      <c r="B687" s="68"/>
      <c r="C687" s="69"/>
      <c r="D687" s="70"/>
      <c r="F687" s="68"/>
      <c r="G687" s="69"/>
      <c r="H687" s="70"/>
      <c r="J687" s="71"/>
      <c r="K687" s="71"/>
      <c r="L687" s="67"/>
      <c r="N687" s="71"/>
      <c r="O687" s="71"/>
      <c r="P687" s="67"/>
      <c r="R687" s="67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6"/>
      <c r="BY687" s="6"/>
      <c r="BZ687" s="6"/>
      <c r="CA687" s="6"/>
      <c r="CB687" s="6"/>
      <c r="CC687" s="6"/>
    </row>
    <row r="688" spans="2:81" x14ac:dyDescent="0.2">
      <c r="B688" s="68"/>
      <c r="C688" s="69"/>
      <c r="D688" s="70"/>
      <c r="F688" s="68"/>
      <c r="G688" s="69"/>
      <c r="H688" s="70"/>
      <c r="J688" s="71"/>
      <c r="K688" s="71"/>
      <c r="L688" s="67"/>
      <c r="N688" s="71"/>
      <c r="O688" s="71"/>
      <c r="P688" s="67"/>
      <c r="R688" s="67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6"/>
      <c r="BY688" s="6"/>
      <c r="BZ688" s="6"/>
      <c r="CA688" s="6"/>
      <c r="CB688" s="6"/>
      <c r="CC688" s="6"/>
    </row>
    <row r="689" spans="2:81" x14ac:dyDescent="0.2">
      <c r="B689" s="68"/>
      <c r="C689" s="69"/>
      <c r="D689" s="70"/>
      <c r="F689" s="68"/>
      <c r="G689" s="69"/>
      <c r="H689" s="70"/>
      <c r="J689" s="71"/>
      <c r="K689" s="71"/>
      <c r="L689" s="67"/>
      <c r="N689" s="71"/>
      <c r="O689" s="71"/>
      <c r="P689" s="67"/>
      <c r="R689" s="67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6"/>
      <c r="BY689" s="6"/>
      <c r="BZ689" s="6"/>
      <c r="CA689" s="6"/>
      <c r="CB689" s="6"/>
      <c r="CC689" s="6"/>
    </row>
    <row r="690" spans="2:81" x14ac:dyDescent="0.2">
      <c r="B690" s="68"/>
      <c r="C690" s="69"/>
      <c r="D690" s="70"/>
      <c r="F690" s="68"/>
      <c r="G690" s="69"/>
      <c r="H690" s="70"/>
      <c r="J690" s="71"/>
      <c r="K690" s="71"/>
      <c r="L690" s="67"/>
      <c r="N690" s="71"/>
      <c r="O690" s="71"/>
      <c r="P690" s="67"/>
      <c r="R690" s="67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6"/>
      <c r="BY690" s="6"/>
      <c r="BZ690" s="6"/>
      <c r="CA690" s="6"/>
      <c r="CB690" s="6"/>
      <c r="CC690" s="6"/>
    </row>
    <row r="691" spans="2:81" x14ac:dyDescent="0.2">
      <c r="B691" s="68"/>
      <c r="C691" s="69"/>
      <c r="D691" s="70"/>
      <c r="F691" s="68"/>
      <c r="G691" s="69"/>
      <c r="H691" s="70"/>
      <c r="J691" s="71"/>
      <c r="K691" s="71"/>
      <c r="L691" s="67"/>
      <c r="N691" s="71"/>
      <c r="O691" s="71"/>
      <c r="P691" s="67"/>
      <c r="R691" s="67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6"/>
      <c r="BY691" s="6"/>
      <c r="BZ691" s="6"/>
      <c r="CA691" s="6"/>
      <c r="CB691" s="6"/>
      <c r="CC691" s="6"/>
    </row>
    <row r="692" spans="2:81" x14ac:dyDescent="0.2">
      <c r="B692" s="68"/>
      <c r="C692" s="69"/>
      <c r="D692" s="70"/>
      <c r="F692" s="68"/>
      <c r="G692" s="69"/>
      <c r="H692" s="70"/>
      <c r="J692" s="71"/>
      <c r="K692" s="71"/>
      <c r="L692" s="67"/>
      <c r="N692" s="71"/>
      <c r="O692" s="71"/>
      <c r="P692" s="67"/>
      <c r="R692" s="67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6"/>
      <c r="BY692" s="6"/>
      <c r="BZ692" s="6"/>
      <c r="CA692" s="6"/>
      <c r="CB692" s="6"/>
      <c r="CC692" s="6"/>
    </row>
    <row r="693" spans="2:81" x14ac:dyDescent="0.2">
      <c r="B693" s="68"/>
      <c r="C693" s="69"/>
      <c r="D693" s="70"/>
      <c r="F693" s="68"/>
      <c r="G693" s="69"/>
      <c r="H693" s="70"/>
      <c r="J693" s="71"/>
      <c r="K693" s="71"/>
      <c r="L693" s="67"/>
      <c r="N693" s="71"/>
      <c r="O693" s="71"/>
      <c r="P693" s="67"/>
      <c r="R693" s="67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6"/>
      <c r="BY693" s="6"/>
      <c r="BZ693" s="6"/>
      <c r="CA693" s="6"/>
      <c r="CB693" s="6"/>
      <c r="CC693" s="6"/>
    </row>
    <row r="694" spans="2:81" x14ac:dyDescent="0.2">
      <c r="B694" s="68"/>
      <c r="C694" s="69"/>
      <c r="D694" s="70"/>
      <c r="F694" s="68"/>
      <c r="G694" s="69"/>
      <c r="H694" s="70"/>
      <c r="J694" s="71"/>
      <c r="K694" s="71"/>
      <c r="L694" s="67"/>
      <c r="N694" s="71"/>
      <c r="O694" s="71"/>
      <c r="P694" s="67"/>
      <c r="R694" s="67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6"/>
      <c r="BY694" s="6"/>
      <c r="BZ694" s="6"/>
      <c r="CA694" s="6"/>
      <c r="CB694" s="6"/>
      <c r="CC694" s="6"/>
    </row>
    <row r="695" spans="2:81" x14ac:dyDescent="0.2">
      <c r="B695" s="68"/>
      <c r="C695" s="69"/>
      <c r="D695" s="70"/>
      <c r="F695" s="68"/>
      <c r="G695" s="69"/>
      <c r="H695" s="70"/>
      <c r="J695" s="71"/>
      <c r="K695" s="71"/>
      <c r="L695" s="67"/>
      <c r="N695" s="71"/>
      <c r="O695" s="71"/>
      <c r="P695" s="67"/>
      <c r="R695" s="67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6"/>
      <c r="BY695" s="6"/>
      <c r="BZ695" s="6"/>
      <c r="CA695" s="6"/>
      <c r="CB695" s="6"/>
      <c r="CC695" s="6"/>
    </row>
    <row r="696" spans="2:81" x14ac:dyDescent="0.2">
      <c r="B696" s="68"/>
      <c r="C696" s="69"/>
      <c r="D696" s="70"/>
      <c r="F696" s="68"/>
      <c r="G696" s="69"/>
      <c r="H696" s="70"/>
      <c r="J696" s="71"/>
      <c r="K696" s="71"/>
      <c r="L696" s="67"/>
      <c r="N696" s="71"/>
      <c r="O696" s="71"/>
      <c r="P696" s="67"/>
      <c r="R696" s="67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6"/>
      <c r="BY696" s="6"/>
      <c r="BZ696" s="6"/>
      <c r="CA696" s="6"/>
      <c r="CB696" s="6"/>
      <c r="CC696" s="6"/>
    </row>
    <row r="697" spans="2:81" x14ac:dyDescent="0.2">
      <c r="B697" s="68"/>
      <c r="C697" s="69"/>
      <c r="D697" s="70"/>
      <c r="F697" s="68"/>
      <c r="G697" s="69"/>
      <c r="H697" s="70"/>
      <c r="J697" s="71"/>
      <c r="K697" s="71"/>
      <c r="L697" s="67"/>
      <c r="N697" s="71"/>
      <c r="O697" s="71"/>
      <c r="P697" s="67"/>
      <c r="R697" s="67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6"/>
      <c r="BY697" s="6"/>
      <c r="BZ697" s="6"/>
      <c r="CA697" s="6"/>
      <c r="CB697" s="6"/>
      <c r="CC697" s="6"/>
    </row>
    <row r="698" spans="2:81" x14ac:dyDescent="0.2">
      <c r="B698" s="68"/>
      <c r="C698" s="69"/>
      <c r="D698" s="70"/>
      <c r="F698" s="68"/>
      <c r="G698" s="69"/>
      <c r="H698" s="70"/>
      <c r="J698" s="71"/>
      <c r="K698" s="71"/>
      <c r="L698" s="67"/>
      <c r="N698" s="71"/>
      <c r="O698" s="71"/>
      <c r="P698" s="67"/>
      <c r="R698" s="67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6"/>
      <c r="BY698" s="6"/>
      <c r="BZ698" s="6"/>
      <c r="CA698" s="6"/>
      <c r="CB698" s="6"/>
      <c r="CC698" s="6"/>
    </row>
    <row r="699" spans="2:81" x14ac:dyDescent="0.2">
      <c r="B699" s="68"/>
      <c r="C699" s="69"/>
      <c r="D699" s="70"/>
      <c r="F699" s="68"/>
      <c r="G699" s="69"/>
      <c r="H699" s="70"/>
      <c r="J699" s="71"/>
      <c r="K699" s="71"/>
      <c r="L699" s="67"/>
      <c r="N699" s="71"/>
      <c r="O699" s="71"/>
      <c r="P699" s="67"/>
      <c r="R699" s="67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6"/>
      <c r="BY699" s="6"/>
      <c r="BZ699" s="6"/>
      <c r="CA699" s="6"/>
      <c r="CB699" s="6"/>
      <c r="CC699" s="6"/>
    </row>
    <row r="700" spans="2:81" x14ac:dyDescent="0.2">
      <c r="B700" s="68"/>
      <c r="C700" s="69"/>
      <c r="D700" s="70"/>
      <c r="F700" s="68"/>
      <c r="G700" s="69"/>
      <c r="H700" s="70"/>
      <c r="J700" s="71"/>
      <c r="K700" s="71"/>
      <c r="L700" s="67"/>
      <c r="N700" s="71"/>
      <c r="O700" s="71"/>
      <c r="P700" s="67"/>
      <c r="R700" s="67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6"/>
      <c r="BY700" s="6"/>
      <c r="BZ700" s="6"/>
      <c r="CA700" s="6"/>
      <c r="CB700" s="6"/>
      <c r="CC700" s="6"/>
    </row>
    <row r="701" spans="2:81" x14ac:dyDescent="0.2">
      <c r="B701" s="68"/>
      <c r="C701" s="69"/>
      <c r="D701" s="70"/>
      <c r="F701" s="68"/>
      <c r="G701" s="69"/>
      <c r="H701" s="70"/>
      <c r="J701" s="71"/>
      <c r="K701" s="71"/>
      <c r="L701" s="67"/>
      <c r="N701" s="71"/>
      <c r="O701" s="71"/>
      <c r="P701" s="67"/>
      <c r="R701" s="67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6"/>
      <c r="BY701" s="6"/>
      <c r="BZ701" s="6"/>
      <c r="CA701" s="6"/>
      <c r="CB701" s="6"/>
      <c r="CC701" s="6"/>
    </row>
    <row r="702" spans="2:81" x14ac:dyDescent="0.2">
      <c r="B702" s="68"/>
      <c r="C702" s="69"/>
      <c r="D702" s="70"/>
      <c r="F702" s="68"/>
      <c r="G702" s="69"/>
      <c r="H702" s="70"/>
      <c r="J702" s="71"/>
      <c r="K702" s="71"/>
      <c r="L702" s="67"/>
      <c r="N702" s="71"/>
      <c r="O702" s="71"/>
      <c r="P702" s="67"/>
      <c r="R702" s="67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6"/>
      <c r="BY702" s="6"/>
      <c r="BZ702" s="6"/>
      <c r="CA702" s="6"/>
      <c r="CB702" s="6"/>
      <c r="CC702" s="6"/>
    </row>
    <row r="703" spans="2:81" x14ac:dyDescent="0.2">
      <c r="B703" s="68"/>
      <c r="C703" s="69"/>
      <c r="D703" s="70"/>
      <c r="F703" s="68"/>
      <c r="G703" s="69"/>
      <c r="H703" s="70"/>
      <c r="J703" s="71"/>
      <c r="K703" s="71"/>
      <c r="L703" s="67"/>
      <c r="N703" s="71"/>
      <c r="O703" s="71"/>
      <c r="P703" s="67"/>
      <c r="R703" s="67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6"/>
      <c r="BY703" s="6"/>
      <c r="BZ703" s="6"/>
      <c r="CA703" s="6"/>
      <c r="CB703" s="6"/>
      <c r="CC703" s="6"/>
    </row>
    <row r="704" spans="2:81" x14ac:dyDescent="0.2">
      <c r="B704" s="68"/>
      <c r="C704" s="69"/>
      <c r="D704" s="70"/>
      <c r="F704" s="68"/>
      <c r="G704" s="69"/>
      <c r="H704" s="70"/>
      <c r="J704" s="71"/>
      <c r="K704" s="71"/>
      <c r="L704" s="67"/>
      <c r="N704" s="71"/>
      <c r="O704" s="71"/>
      <c r="P704" s="67"/>
      <c r="R704" s="67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6"/>
      <c r="BY704" s="6"/>
      <c r="BZ704" s="6"/>
      <c r="CA704" s="6"/>
      <c r="CB704" s="6"/>
      <c r="CC704" s="6"/>
    </row>
    <row r="705" spans="2:81" x14ac:dyDescent="0.2">
      <c r="B705" s="68"/>
      <c r="C705" s="69"/>
      <c r="D705" s="70"/>
      <c r="F705" s="68"/>
      <c r="G705" s="69"/>
      <c r="H705" s="70"/>
      <c r="J705" s="71"/>
      <c r="K705" s="71"/>
      <c r="L705" s="67"/>
      <c r="N705" s="71"/>
      <c r="O705" s="71"/>
      <c r="P705" s="67"/>
      <c r="R705" s="67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6"/>
      <c r="BY705" s="6"/>
      <c r="BZ705" s="6"/>
      <c r="CA705" s="6"/>
      <c r="CB705" s="6"/>
      <c r="CC705" s="6"/>
    </row>
    <row r="706" spans="2:81" x14ac:dyDescent="0.2">
      <c r="B706" s="68"/>
      <c r="C706" s="69"/>
      <c r="D706" s="70"/>
      <c r="F706" s="68"/>
      <c r="G706" s="69"/>
      <c r="H706" s="70"/>
      <c r="J706" s="71"/>
      <c r="K706" s="71"/>
      <c r="L706" s="67"/>
      <c r="N706" s="71"/>
      <c r="O706" s="71"/>
      <c r="P706" s="67"/>
      <c r="R706" s="67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6"/>
      <c r="BY706" s="6"/>
      <c r="BZ706" s="6"/>
      <c r="CA706" s="6"/>
      <c r="CB706" s="6"/>
      <c r="CC706" s="6"/>
    </row>
    <row r="707" spans="2:81" x14ac:dyDescent="0.2">
      <c r="B707" s="68"/>
      <c r="C707" s="69"/>
      <c r="D707" s="70"/>
      <c r="F707" s="68"/>
      <c r="G707" s="69"/>
      <c r="H707" s="70"/>
      <c r="J707" s="71"/>
      <c r="K707" s="71"/>
      <c r="L707" s="67"/>
      <c r="N707" s="71"/>
      <c r="O707" s="71"/>
      <c r="P707" s="67"/>
      <c r="R707" s="67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6"/>
      <c r="BY707" s="6"/>
      <c r="BZ707" s="6"/>
      <c r="CA707" s="6"/>
      <c r="CB707" s="6"/>
      <c r="CC707" s="6"/>
    </row>
    <row r="708" spans="2:81" x14ac:dyDescent="0.2">
      <c r="B708" s="68"/>
      <c r="C708" s="69"/>
      <c r="D708" s="70"/>
      <c r="F708" s="68"/>
      <c r="G708" s="69"/>
      <c r="H708" s="70"/>
      <c r="J708" s="71"/>
      <c r="K708" s="71"/>
      <c r="L708" s="67"/>
      <c r="N708" s="71"/>
      <c r="O708" s="71"/>
      <c r="P708" s="67"/>
      <c r="R708" s="67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6"/>
      <c r="BY708" s="6"/>
      <c r="BZ708" s="6"/>
      <c r="CA708" s="6"/>
      <c r="CB708" s="6"/>
      <c r="CC708" s="6"/>
    </row>
    <row r="709" spans="2:81" x14ac:dyDescent="0.2">
      <c r="B709" s="68"/>
      <c r="C709" s="69"/>
      <c r="D709" s="70"/>
      <c r="F709" s="68"/>
      <c r="G709" s="69"/>
      <c r="H709" s="70"/>
      <c r="J709" s="71"/>
      <c r="K709" s="71"/>
      <c r="L709" s="67"/>
      <c r="N709" s="71"/>
      <c r="O709" s="71"/>
      <c r="P709" s="67"/>
      <c r="R709" s="67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6"/>
      <c r="BY709" s="6"/>
      <c r="BZ709" s="6"/>
      <c r="CA709" s="6"/>
      <c r="CB709" s="6"/>
      <c r="CC709" s="6"/>
    </row>
    <row r="710" spans="2:81" x14ac:dyDescent="0.2">
      <c r="B710" s="68"/>
      <c r="C710" s="69"/>
      <c r="D710" s="70"/>
      <c r="F710" s="68"/>
      <c r="G710" s="69"/>
      <c r="H710" s="70"/>
      <c r="J710" s="71"/>
      <c r="K710" s="71"/>
      <c r="L710" s="67"/>
      <c r="N710" s="71"/>
      <c r="O710" s="71"/>
      <c r="P710" s="67"/>
      <c r="R710" s="67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6"/>
      <c r="BY710" s="6"/>
      <c r="BZ710" s="6"/>
      <c r="CA710" s="6"/>
      <c r="CB710" s="6"/>
      <c r="CC710" s="6"/>
    </row>
    <row r="711" spans="2:81" x14ac:dyDescent="0.2">
      <c r="B711" s="68"/>
      <c r="C711" s="69"/>
      <c r="D711" s="70"/>
      <c r="F711" s="68"/>
      <c r="G711" s="69"/>
      <c r="H711" s="70"/>
      <c r="J711" s="71"/>
      <c r="K711" s="71"/>
      <c r="L711" s="67"/>
      <c r="N711" s="71"/>
      <c r="O711" s="71"/>
      <c r="P711" s="67"/>
      <c r="R711" s="67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6"/>
      <c r="BY711" s="6"/>
      <c r="BZ711" s="6"/>
      <c r="CA711" s="6"/>
      <c r="CB711" s="6"/>
      <c r="CC711" s="6"/>
    </row>
    <row r="712" spans="2:81" x14ac:dyDescent="0.2">
      <c r="B712" s="68"/>
      <c r="C712" s="69"/>
      <c r="D712" s="70"/>
      <c r="F712" s="68"/>
      <c r="G712" s="69"/>
      <c r="H712" s="70"/>
      <c r="J712" s="71"/>
      <c r="K712" s="71"/>
      <c r="L712" s="67"/>
      <c r="N712" s="71"/>
      <c r="O712" s="71"/>
      <c r="P712" s="67"/>
      <c r="R712" s="67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6"/>
      <c r="BY712" s="6"/>
      <c r="BZ712" s="6"/>
      <c r="CA712" s="6"/>
      <c r="CB712" s="6"/>
      <c r="CC712" s="6"/>
    </row>
    <row r="713" spans="2:81" x14ac:dyDescent="0.2">
      <c r="B713" s="68"/>
      <c r="C713" s="69"/>
      <c r="D713" s="70"/>
      <c r="F713" s="68"/>
      <c r="G713" s="69"/>
      <c r="H713" s="70"/>
      <c r="J713" s="71"/>
      <c r="K713" s="71"/>
      <c r="L713" s="67"/>
      <c r="N713" s="71"/>
      <c r="O713" s="71"/>
      <c r="P713" s="67"/>
      <c r="R713" s="67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6"/>
      <c r="BY713" s="6"/>
      <c r="BZ713" s="6"/>
      <c r="CA713" s="6"/>
      <c r="CB713" s="6"/>
      <c r="CC713" s="6"/>
    </row>
    <row r="714" spans="2:81" x14ac:dyDescent="0.2">
      <c r="B714" s="68"/>
      <c r="C714" s="69"/>
      <c r="D714" s="70"/>
      <c r="F714" s="68"/>
      <c r="G714" s="69"/>
      <c r="H714" s="70"/>
      <c r="J714" s="71"/>
      <c r="K714" s="71"/>
      <c r="L714" s="67"/>
      <c r="N714" s="71"/>
      <c r="O714" s="71"/>
      <c r="P714" s="67"/>
      <c r="R714" s="67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6"/>
      <c r="BY714" s="6"/>
      <c r="BZ714" s="6"/>
      <c r="CA714" s="6"/>
      <c r="CB714" s="6"/>
      <c r="CC714" s="6"/>
    </row>
    <row r="715" spans="2:81" x14ac:dyDescent="0.2">
      <c r="B715" s="68"/>
      <c r="C715" s="69"/>
      <c r="D715" s="70"/>
      <c r="F715" s="68"/>
      <c r="G715" s="69"/>
      <c r="H715" s="70"/>
      <c r="J715" s="71"/>
      <c r="K715" s="71"/>
      <c r="L715" s="67"/>
      <c r="N715" s="71"/>
      <c r="O715" s="71"/>
      <c r="P715" s="67"/>
      <c r="R715" s="67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6"/>
      <c r="BY715" s="6"/>
      <c r="BZ715" s="6"/>
      <c r="CA715" s="6"/>
      <c r="CB715" s="6"/>
      <c r="CC715" s="6"/>
    </row>
    <row r="716" spans="2:81" x14ac:dyDescent="0.2">
      <c r="B716" s="68"/>
      <c r="C716" s="69"/>
      <c r="D716" s="70"/>
      <c r="F716" s="68"/>
      <c r="G716" s="69"/>
      <c r="H716" s="70"/>
      <c r="J716" s="71"/>
      <c r="K716" s="71"/>
      <c r="L716" s="67"/>
      <c r="N716" s="71"/>
      <c r="O716" s="71"/>
      <c r="P716" s="67"/>
      <c r="R716" s="67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6"/>
      <c r="BY716" s="6"/>
      <c r="BZ716" s="6"/>
      <c r="CA716" s="6"/>
      <c r="CB716" s="6"/>
      <c r="CC716" s="6"/>
    </row>
    <row r="717" spans="2:81" x14ac:dyDescent="0.2">
      <c r="B717" s="68"/>
      <c r="C717" s="69"/>
      <c r="D717" s="70"/>
      <c r="F717" s="68"/>
      <c r="G717" s="69"/>
      <c r="H717" s="70"/>
      <c r="J717" s="71"/>
      <c r="K717" s="71"/>
      <c r="L717" s="67"/>
      <c r="N717" s="71"/>
      <c r="O717" s="71"/>
      <c r="P717" s="67"/>
      <c r="R717" s="67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6"/>
      <c r="BY717" s="6"/>
      <c r="BZ717" s="6"/>
      <c r="CA717" s="6"/>
      <c r="CB717" s="6"/>
      <c r="CC717" s="6"/>
    </row>
    <row r="718" spans="2:81" x14ac:dyDescent="0.2">
      <c r="B718" s="68"/>
      <c r="C718" s="69"/>
      <c r="D718" s="70"/>
      <c r="F718" s="68"/>
      <c r="G718" s="69"/>
      <c r="H718" s="70"/>
      <c r="J718" s="71"/>
      <c r="K718" s="71"/>
      <c r="L718" s="67"/>
      <c r="N718" s="71"/>
      <c r="O718" s="71"/>
      <c r="P718" s="67"/>
      <c r="R718" s="67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6"/>
      <c r="BY718" s="6"/>
      <c r="BZ718" s="6"/>
      <c r="CA718" s="6"/>
      <c r="CB718" s="6"/>
      <c r="CC718" s="6"/>
    </row>
    <row r="719" spans="2:81" x14ac:dyDescent="0.2">
      <c r="B719" s="68"/>
      <c r="C719" s="69"/>
      <c r="D719" s="70"/>
      <c r="F719" s="68"/>
      <c r="G719" s="69"/>
      <c r="H719" s="70"/>
      <c r="J719" s="71"/>
      <c r="K719" s="71"/>
      <c r="L719" s="67"/>
      <c r="N719" s="71"/>
      <c r="O719" s="71"/>
      <c r="P719" s="67"/>
      <c r="R719" s="67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6"/>
      <c r="BY719" s="6"/>
      <c r="BZ719" s="6"/>
      <c r="CA719" s="6"/>
      <c r="CB719" s="6"/>
      <c r="CC719" s="6"/>
    </row>
    <row r="720" spans="2:81" x14ac:dyDescent="0.2">
      <c r="B720" s="68"/>
      <c r="C720" s="69"/>
      <c r="D720" s="70"/>
      <c r="F720" s="68"/>
      <c r="G720" s="69"/>
      <c r="H720" s="70"/>
      <c r="J720" s="71"/>
      <c r="K720" s="71"/>
      <c r="L720" s="67"/>
      <c r="N720" s="71"/>
      <c r="O720" s="71"/>
      <c r="P720" s="67"/>
      <c r="R720" s="67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6"/>
      <c r="BY720" s="6"/>
      <c r="BZ720" s="6"/>
      <c r="CA720" s="6"/>
      <c r="CB720" s="6"/>
      <c r="CC720" s="6"/>
    </row>
    <row r="721" spans="2:81" x14ac:dyDescent="0.2">
      <c r="B721" s="68"/>
      <c r="C721" s="69"/>
      <c r="D721" s="70"/>
      <c r="F721" s="68"/>
      <c r="G721" s="69"/>
      <c r="H721" s="70"/>
      <c r="J721" s="71"/>
      <c r="K721" s="71"/>
      <c r="L721" s="67"/>
      <c r="N721" s="71"/>
      <c r="O721" s="71"/>
      <c r="P721" s="67"/>
      <c r="R721" s="67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6"/>
      <c r="BY721" s="6"/>
      <c r="BZ721" s="6"/>
      <c r="CA721" s="6"/>
      <c r="CB721" s="6"/>
      <c r="CC721" s="6"/>
    </row>
    <row r="722" spans="2:81" x14ac:dyDescent="0.2">
      <c r="B722" s="68"/>
      <c r="C722" s="69"/>
      <c r="D722" s="70"/>
      <c r="F722" s="68"/>
      <c r="G722" s="69"/>
      <c r="H722" s="70"/>
      <c r="J722" s="71"/>
      <c r="K722" s="71"/>
      <c r="L722" s="67"/>
      <c r="N722" s="71"/>
      <c r="O722" s="71"/>
      <c r="P722" s="67"/>
      <c r="R722" s="67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6"/>
      <c r="BY722" s="6"/>
      <c r="BZ722" s="6"/>
      <c r="CA722" s="6"/>
      <c r="CB722" s="6"/>
      <c r="CC722" s="6"/>
    </row>
    <row r="723" spans="2:81" x14ac:dyDescent="0.2">
      <c r="B723" s="68"/>
      <c r="C723" s="69"/>
      <c r="D723" s="70"/>
      <c r="F723" s="68"/>
      <c r="G723" s="69"/>
      <c r="H723" s="70"/>
      <c r="J723" s="71"/>
      <c r="K723" s="71"/>
      <c r="L723" s="67"/>
      <c r="N723" s="71"/>
      <c r="O723" s="71"/>
      <c r="P723" s="67"/>
      <c r="R723" s="67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6"/>
      <c r="BY723" s="6"/>
      <c r="BZ723" s="6"/>
      <c r="CA723" s="6"/>
      <c r="CB723" s="6"/>
      <c r="CC723" s="6"/>
    </row>
    <row r="724" spans="2:81" x14ac:dyDescent="0.2">
      <c r="B724" s="68"/>
      <c r="C724" s="69"/>
      <c r="D724" s="70"/>
      <c r="F724" s="68"/>
      <c r="G724" s="69"/>
      <c r="H724" s="70"/>
      <c r="J724" s="71"/>
      <c r="K724" s="71"/>
      <c r="L724" s="67"/>
      <c r="N724" s="71"/>
      <c r="O724" s="71"/>
      <c r="P724" s="67"/>
      <c r="R724" s="67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6"/>
      <c r="BY724" s="6"/>
      <c r="BZ724" s="6"/>
      <c r="CA724" s="6"/>
      <c r="CB724" s="6"/>
      <c r="CC724" s="6"/>
    </row>
    <row r="725" spans="2:81" x14ac:dyDescent="0.2">
      <c r="B725" s="68"/>
      <c r="C725" s="69"/>
      <c r="D725" s="70"/>
      <c r="F725" s="68"/>
      <c r="G725" s="69"/>
      <c r="H725" s="70"/>
      <c r="J725" s="71"/>
      <c r="K725" s="71"/>
      <c r="L725" s="67"/>
      <c r="N725" s="71"/>
      <c r="O725" s="71"/>
      <c r="P725" s="67"/>
      <c r="R725" s="67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6"/>
      <c r="BY725" s="6"/>
      <c r="BZ725" s="6"/>
      <c r="CA725" s="6"/>
      <c r="CB725" s="6"/>
      <c r="CC725" s="6"/>
    </row>
    <row r="726" spans="2:81" x14ac:dyDescent="0.2">
      <c r="B726" s="68"/>
      <c r="C726" s="69"/>
      <c r="D726" s="70"/>
      <c r="F726" s="68"/>
      <c r="G726" s="69"/>
      <c r="H726" s="70"/>
      <c r="J726" s="71"/>
      <c r="K726" s="71"/>
      <c r="L726" s="67"/>
      <c r="N726" s="71"/>
      <c r="O726" s="71"/>
      <c r="P726" s="67"/>
      <c r="R726" s="67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6"/>
      <c r="BY726" s="6"/>
      <c r="BZ726" s="6"/>
      <c r="CA726" s="6"/>
      <c r="CB726" s="6"/>
      <c r="CC726" s="6"/>
    </row>
    <row r="727" spans="2:81" x14ac:dyDescent="0.2">
      <c r="B727" s="68"/>
      <c r="C727" s="69"/>
      <c r="D727" s="70"/>
      <c r="F727" s="68"/>
      <c r="G727" s="69"/>
      <c r="H727" s="70"/>
      <c r="J727" s="71"/>
      <c r="K727" s="71"/>
      <c r="L727" s="67"/>
      <c r="N727" s="71"/>
      <c r="O727" s="71"/>
      <c r="P727" s="67"/>
      <c r="R727" s="67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6"/>
      <c r="BY727" s="6"/>
      <c r="BZ727" s="6"/>
      <c r="CA727" s="6"/>
      <c r="CB727" s="6"/>
      <c r="CC727" s="6"/>
    </row>
    <row r="728" spans="2:81" x14ac:dyDescent="0.2">
      <c r="B728" s="68"/>
      <c r="C728" s="69"/>
      <c r="D728" s="70"/>
      <c r="F728" s="68"/>
      <c r="G728" s="69"/>
      <c r="H728" s="70"/>
      <c r="J728" s="71"/>
      <c r="K728" s="71"/>
      <c r="L728" s="67"/>
      <c r="N728" s="71"/>
      <c r="O728" s="71"/>
      <c r="P728" s="67"/>
      <c r="R728" s="67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6"/>
      <c r="BY728" s="6"/>
      <c r="BZ728" s="6"/>
      <c r="CA728" s="6"/>
      <c r="CB728" s="6"/>
      <c r="CC728" s="6"/>
    </row>
    <row r="729" spans="2:81" x14ac:dyDescent="0.2">
      <c r="B729" s="68"/>
      <c r="C729" s="69"/>
      <c r="D729" s="70"/>
      <c r="F729" s="68"/>
      <c r="G729" s="69"/>
      <c r="H729" s="70"/>
      <c r="J729" s="71"/>
      <c r="K729" s="71"/>
      <c r="L729" s="67"/>
      <c r="N729" s="71"/>
      <c r="O729" s="71"/>
      <c r="P729" s="67"/>
      <c r="R729" s="67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6"/>
      <c r="BY729" s="6"/>
      <c r="BZ729" s="6"/>
      <c r="CA729" s="6"/>
      <c r="CB729" s="6"/>
      <c r="CC729" s="6"/>
    </row>
    <row r="730" spans="2:81" x14ac:dyDescent="0.2">
      <c r="B730" s="68"/>
      <c r="C730" s="69"/>
      <c r="D730" s="70"/>
      <c r="F730" s="68"/>
      <c r="G730" s="69"/>
      <c r="H730" s="70"/>
      <c r="J730" s="71"/>
      <c r="K730" s="71"/>
      <c r="L730" s="67"/>
      <c r="N730" s="71"/>
      <c r="O730" s="71"/>
      <c r="P730" s="67"/>
      <c r="R730" s="67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6"/>
      <c r="BY730" s="6"/>
      <c r="BZ730" s="6"/>
      <c r="CA730" s="6"/>
      <c r="CB730" s="6"/>
      <c r="CC730" s="6"/>
    </row>
    <row r="731" spans="2:81" x14ac:dyDescent="0.2">
      <c r="B731" s="68"/>
      <c r="C731" s="69"/>
      <c r="D731" s="70"/>
      <c r="F731" s="68"/>
      <c r="G731" s="69"/>
      <c r="H731" s="70"/>
      <c r="J731" s="71"/>
      <c r="K731" s="71"/>
      <c r="L731" s="67"/>
      <c r="N731" s="71"/>
      <c r="O731" s="71"/>
      <c r="P731" s="67"/>
      <c r="R731" s="67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6"/>
      <c r="BY731" s="6"/>
      <c r="BZ731" s="6"/>
      <c r="CA731" s="6"/>
      <c r="CB731" s="6"/>
      <c r="CC731" s="6"/>
    </row>
    <row r="732" spans="2:81" x14ac:dyDescent="0.2">
      <c r="B732" s="68"/>
      <c r="C732" s="69"/>
      <c r="D732" s="70"/>
      <c r="F732" s="68"/>
      <c r="G732" s="69"/>
      <c r="H732" s="70"/>
      <c r="J732" s="71"/>
      <c r="K732" s="71"/>
      <c r="L732" s="67"/>
      <c r="N732" s="71"/>
      <c r="O732" s="71"/>
      <c r="P732" s="67"/>
      <c r="R732" s="67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6"/>
      <c r="BY732" s="6"/>
      <c r="BZ732" s="6"/>
      <c r="CA732" s="6"/>
      <c r="CB732" s="6"/>
      <c r="CC732" s="6"/>
    </row>
    <row r="733" spans="2:81" x14ac:dyDescent="0.2">
      <c r="B733" s="68"/>
      <c r="C733" s="69"/>
      <c r="D733" s="70"/>
      <c r="F733" s="68"/>
      <c r="G733" s="69"/>
      <c r="H733" s="70"/>
      <c r="J733" s="71"/>
      <c r="K733" s="71"/>
      <c r="L733" s="67"/>
      <c r="N733" s="71"/>
      <c r="O733" s="71"/>
      <c r="P733" s="67"/>
      <c r="R733" s="67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6"/>
      <c r="BY733" s="6"/>
      <c r="BZ733" s="6"/>
      <c r="CA733" s="6"/>
      <c r="CB733" s="6"/>
      <c r="CC733" s="6"/>
    </row>
    <row r="734" spans="2:81" x14ac:dyDescent="0.2">
      <c r="B734" s="68"/>
      <c r="C734" s="69"/>
      <c r="D734" s="70"/>
      <c r="F734" s="68"/>
      <c r="G734" s="69"/>
      <c r="H734" s="70"/>
      <c r="J734" s="71"/>
      <c r="K734" s="71"/>
      <c r="L734" s="67"/>
      <c r="N734" s="71"/>
      <c r="O734" s="71"/>
      <c r="P734" s="67"/>
      <c r="R734" s="67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6"/>
      <c r="BY734" s="6"/>
      <c r="BZ734" s="6"/>
      <c r="CA734" s="6"/>
      <c r="CB734" s="6"/>
      <c r="CC734" s="6"/>
    </row>
    <row r="735" spans="2:81" x14ac:dyDescent="0.2">
      <c r="B735" s="68"/>
      <c r="C735" s="69"/>
      <c r="D735" s="70"/>
      <c r="F735" s="68"/>
      <c r="G735" s="69"/>
      <c r="H735" s="70"/>
      <c r="J735" s="71"/>
      <c r="K735" s="71"/>
      <c r="L735" s="67"/>
      <c r="N735" s="71"/>
      <c r="O735" s="71"/>
      <c r="P735" s="67"/>
      <c r="R735" s="67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6"/>
      <c r="BY735" s="6"/>
      <c r="BZ735" s="6"/>
      <c r="CA735" s="6"/>
      <c r="CB735" s="6"/>
      <c r="CC735" s="6"/>
    </row>
    <row r="736" spans="2:81" x14ac:dyDescent="0.2">
      <c r="B736" s="68"/>
      <c r="C736" s="69"/>
      <c r="D736" s="70"/>
      <c r="F736" s="68"/>
      <c r="G736" s="69"/>
      <c r="H736" s="70"/>
      <c r="J736" s="71"/>
      <c r="K736" s="71"/>
      <c r="L736" s="67"/>
      <c r="N736" s="71"/>
      <c r="O736" s="71"/>
      <c r="P736" s="67"/>
      <c r="R736" s="67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6"/>
      <c r="BY736" s="6"/>
      <c r="BZ736" s="6"/>
      <c r="CA736" s="6"/>
      <c r="CB736" s="6"/>
      <c r="CC736" s="6"/>
    </row>
    <row r="737" spans="2:81" x14ac:dyDescent="0.2">
      <c r="B737" s="68"/>
      <c r="C737" s="69"/>
      <c r="D737" s="70"/>
      <c r="F737" s="68"/>
      <c r="G737" s="69"/>
      <c r="H737" s="70"/>
      <c r="J737" s="71"/>
      <c r="K737" s="71"/>
      <c r="L737" s="67"/>
      <c r="N737" s="71"/>
      <c r="O737" s="71"/>
      <c r="P737" s="67"/>
      <c r="R737" s="67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6"/>
      <c r="BY737" s="6"/>
      <c r="BZ737" s="6"/>
      <c r="CA737" s="6"/>
      <c r="CB737" s="6"/>
      <c r="CC737" s="6"/>
    </row>
    <row r="738" spans="2:81" x14ac:dyDescent="0.2">
      <c r="B738" s="68"/>
      <c r="C738" s="69"/>
      <c r="D738" s="70"/>
      <c r="F738" s="68"/>
      <c r="G738" s="69"/>
      <c r="H738" s="70"/>
      <c r="J738" s="71"/>
      <c r="K738" s="71"/>
      <c r="L738" s="67"/>
      <c r="N738" s="71"/>
      <c r="O738" s="71"/>
      <c r="P738" s="67"/>
      <c r="R738" s="67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6"/>
      <c r="BY738" s="6"/>
      <c r="BZ738" s="6"/>
      <c r="CA738" s="6"/>
      <c r="CB738" s="6"/>
      <c r="CC738" s="6"/>
    </row>
    <row r="739" spans="2:81" x14ac:dyDescent="0.2">
      <c r="B739" s="68"/>
      <c r="C739" s="69"/>
      <c r="D739" s="70"/>
      <c r="F739" s="68"/>
      <c r="G739" s="69"/>
      <c r="H739" s="70"/>
      <c r="J739" s="71"/>
      <c r="K739" s="71"/>
      <c r="L739" s="67"/>
      <c r="N739" s="71"/>
      <c r="O739" s="71"/>
      <c r="P739" s="67"/>
      <c r="R739" s="67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6"/>
      <c r="BY739" s="6"/>
      <c r="BZ739" s="6"/>
      <c r="CA739" s="6"/>
      <c r="CB739" s="6"/>
      <c r="CC739" s="6"/>
    </row>
    <row r="740" spans="2:81" x14ac:dyDescent="0.2">
      <c r="B740" s="68"/>
      <c r="C740" s="69"/>
      <c r="D740" s="70"/>
      <c r="F740" s="68"/>
      <c r="G740" s="69"/>
      <c r="H740" s="70"/>
      <c r="J740" s="71"/>
      <c r="K740" s="71"/>
      <c r="L740" s="67"/>
      <c r="N740" s="71"/>
      <c r="O740" s="71"/>
      <c r="P740" s="67"/>
      <c r="R740" s="67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6"/>
      <c r="BY740" s="6"/>
      <c r="BZ740" s="6"/>
      <c r="CA740" s="6"/>
      <c r="CB740" s="6"/>
      <c r="CC740" s="6"/>
    </row>
    <row r="741" spans="2:81" x14ac:dyDescent="0.2">
      <c r="B741" s="68"/>
      <c r="C741" s="69"/>
      <c r="D741" s="70"/>
      <c r="F741" s="68"/>
      <c r="G741" s="69"/>
      <c r="H741" s="70"/>
      <c r="J741" s="71"/>
      <c r="K741" s="71"/>
      <c r="L741" s="67"/>
      <c r="N741" s="71"/>
      <c r="O741" s="71"/>
      <c r="P741" s="67"/>
      <c r="R741" s="67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6"/>
      <c r="BY741" s="6"/>
      <c r="BZ741" s="6"/>
      <c r="CA741" s="6"/>
      <c r="CB741" s="6"/>
      <c r="CC741" s="6"/>
    </row>
    <row r="742" spans="2:81" x14ac:dyDescent="0.2">
      <c r="B742" s="68"/>
      <c r="C742" s="69"/>
      <c r="D742" s="70"/>
      <c r="F742" s="68"/>
      <c r="G742" s="69"/>
      <c r="H742" s="70"/>
      <c r="J742" s="71"/>
      <c r="K742" s="71"/>
      <c r="L742" s="67"/>
      <c r="N742" s="71"/>
      <c r="O742" s="71"/>
      <c r="P742" s="67"/>
      <c r="R742" s="67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6"/>
      <c r="BY742" s="6"/>
      <c r="BZ742" s="6"/>
      <c r="CA742" s="6"/>
      <c r="CB742" s="6"/>
      <c r="CC742" s="6"/>
    </row>
    <row r="743" spans="2:81" x14ac:dyDescent="0.2">
      <c r="B743" s="68"/>
      <c r="C743" s="69"/>
      <c r="D743" s="70"/>
      <c r="F743" s="68"/>
      <c r="G743" s="69"/>
      <c r="H743" s="70"/>
      <c r="J743" s="71"/>
      <c r="K743" s="71"/>
      <c r="L743" s="67"/>
      <c r="N743" s="71"/>
      <c r="O743" s="71"/>
      <c r="P743" s="67"/>
      <c r="R743" s="67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6"/>
      <c r="BY743" s="6"/>
      <c r="BZ743" s="6"/>
      <c r="CA743" s="6"/>
      <c r="CB743" s="6"/>
      <c r="CC743" s="6"/>
    </row>
    <row r="744" spans="2:81" x14ac:dyDescent="0.2">
      <c r="B744" s="68"/>
      <c r="C744" s="69"/>
      <c r="D744" s="70"/>
      <c r="F744" s="68"/>
      <c r="G744" s="69"/>
      <c r="H744" s="70"/>
      <c r="J744" s="71"/>
      <c r="K744" s="71"/>
      <c r="L744" s="67"/>
      <c r="N744" s="71"/>
      <c r="O744" s="71"/>
      <c r="P744" s="67"/>
      <c r="R744" s="67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6"/>
      <c r="BY744" s="6"/>
      <c r="BZ744" s="6"/>
      <c r="CA744" s="6"/>
      <c r="CB744" s="6"/>
      <c r="CC744" s="6"/>
    </row>
    <row r="745" spans="2:81" x14ac:dyDescent="0.2">
      <c r="B745" s="68"/>
      <c r="C745" s="69"/>
      <c r="D745" s="70"/>
      <c r="F745" s="68"/>
      <c r="G745" s="69"/>
      <c r="H745" s="70"/>
      <c r="J745" s="71"/>
      <c r="K745" s="71"/>
      <c r="L745" s="67"/>
      <c r="N745" s="71"/>
      <c r="O745" s="71"/>
      <c r="P745" s="67"/>
      <c r="R745" s="67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6"/>
      <c r="BY745" s="6"/>
      <c r="BZ745" s="6"/>
      <c r="CA745" s="6"/>
      <c r="CB745" s="6"/>
      <c r="CC745" s="6"/>
    </row>
    <row r="746" spans="2:81" x14ac:dyDescent="0.2">
      <c r="B746" s="68"/>
      <c r="C746" s="69"/>
      <c r="D746" s="70"/>
      <c r="F746" s="68"/>
      <c r="G746" s="69"/>
      <c r="H746" s="70"/>
      <c r="J746" s="71"/>
      <c r="K746" s="71"/>
      <c r="L746" s="67"/>
      <c r="N746" s="71"/>
      <c r="O746" s="71"/>
      <c r="P746" s="67"/>
      <c r="R746" s="67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6"/>
      <c r="BY746" s="6"/>
      <c r="BZ746" s="6"/>
      <c r="CA746" s="6"/>
      <c r="CB746" s="6"/>
      <c r="CC746" s="6"/>
    </row>
    <row r="747" spans="2:81" x14ac:dyDescent="0.2">
      <c r="B747" s="68"/>
      <c r="C747" s="69"/>
      <c r="D747" s="70"/>
      <c r="F747" s="68"/>
      <c r="G747" s="69"/>
      <c r="H747" s="70"/>
      <c r="J747" s="71"/>
      <c r="K747" s="71"/>
      <c r="L747" s="67"/>
      <c r="N747" s="71"/>
      <c r="O747" s="71"/>
      <c r="P747" s="67"/>
      <c r="R747" s="67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6"/>
      <c r="BY747" s="6"/>
      <c r="BZ747" s="6"/>
      <c r="CA747" s="6"/>
      <c r="CB747" s="6"/>
      <c r="CC747" s="6"/>
    </row>
    <row r="748" spans="2:81" x14ac:dyDescent="0.2">
      <c r="B748" s="68"/>
      <c r="C748" s="69"/>
      <c r="D748" s="70"/>
      <c r="F748" s="68"/>
      <c r="G748" s="69"/>
      <c r="H748" s="70"/>
      <c r="J748" s="71"/>
      <c r="K748" s="71"/>
      <c r="L748" s="67"/>
      <c r="N748" s="71"/>
      <c r="O748" s="71"/>
      <c r="P748" s="67"/>
      <c r="R748" s="67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6"/>
      <c r="BY748" s="6"/>
      <c r="BZ748" s="6"/>
      <c r="CA748" s="6"/>
      <c r="CB748" s="6"/>
      <c r="CC748" s="6"/>
    </row>
    <row r="749" spans="2:81" x14ac:dyDescent="0.2">
      <c r="B749" s="68"/>
      <c r="C749" s="69"/>
      <c r="D749" s="70"/>
      <c r="F749" s="68"/>
      <c r="G749" s="69"/>
      <c r="H749" s="70"/>
      <c r="J749" s="71"/>
      <c r="K749" s="71"/>
      <c r="L749" s="67"/>
      <c r="N749" s="71"/>
      <c r="O749" s="71"/>
      <c r="P749" s="67"/>
      <c r="R749" s="67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6"/>
      <c r="BY749" s="6"/>
      <c r="BZ749" s="6"/>
      <c r="CA749" s="6"/>
      <c r="CB749" s="6"/>
      <c r="CC749" s="6"/>
    </row>
    <row r="750" spans="2:81" x14ac:dyDescent="0.2">
      <c r="B750" s="68"/>
      <c r="C750" s="69"/>
      <c r="D750" s="70"/>
      <c r="F750" s="68"/>
      <c r="G750" s="69"/>
      <c r="H750" s="70"/>
      <c r="J750" s="71"/>
      <c r="K750" s="71"/>
      <c r="L750" s="67"/>
      <c r="N750" s="71"/>
      <c r="O750" s="71"/>
      <c r="P750" s="67"/>
      <c r="R750" s="67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6"/>
      <c r="BY750" s="6"/>
      <c r="BZ750" s="6"/>
      <c r="CA750" s="6"/>
      <c r="CB750" s="6"/>
      <c r="CC750" s="6"/>
    </row>
    <row r="751" spans="2:81" x14ac:dyDescent="0.2">
      <c r="B751" s="68"/>
      <c r="C751" s="69"/>
      <c r="D751" s="70"/>
      <c r="F751" s="68"/>
      <c r="G751" s="69"/>
      <c r="H751" s="70"/>
      <c r="J751" s="71"/>
      <c r="K751" s="71"/>
      <c r="L751" s="67"/>
      <c r="N751" s="71"/>
      <c r="O751" s="71"/>
      <c r="P751" s="67"/>
      <c r="R751" s="67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6"/>
      <c r="BY751" s="6"/>
      <c r="BZ751" s="6"/>
      <c r="CA751" s="6"/>
      <c r="CB751" s="6"/>
      <c r="CC751" s="6"/>
    </row>
    <row r="752" spans="2:81" x14ac:dyDescent="0.2">
      <c r="B752" s="68"/>
      <c r="C752" s="69"/>
      <c r="D752" s="70"/>
      <c r="F752" s="68"/>
      <c r="G752" s="69"/>
      <c r="H752" s="70"/>
      <c r="J752" s="71"/>
      <c r="K752" s="71"/>
      <c r="L752" s="67"/>
      <c r="N752" s="71"/>
      <c r="O752" s="71"/>
      <c r="P752" s="67"/>
      <c r="R752" s="67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6"/>
      <c r="BY752" s="6"/>
      <c r="BZ752" s="6"/>
      <c r="CA752" s="6"/>
      <c r="CB752" s="6"/>
      <c r="CC752" s="6"/>
    </row>
    <row r="753" spans="2:81" x14ac:dyDescent="0.2">
      <c r="B753" s="68"/>
      <c r="C753" s="69"/>
      <c r="D753" s="70"/>
      <c r="F753" s="68"/>
      <c r="G753" s="69"/>
      <c r="H753" s="70"/>
      <c r="J753" s="71"/>
      <c r="K753" s="71"/>
      <c r="L753" s="67"/>
      <c r="N753" s="71"/>
      <c r="O753" s="71"/>
      <c r="P753" s="67"/>
      <c r="R753" s="67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6"/>
      <c r="BY753" s="6"/>
      <c r="BZ753" s="6"/>
      <c r="CA753" s="6"/>
      <c r="CB753" s="6"/>
      <c r="CC753" s="6"/>
    </row>
    <row r="754" spans="2:81" x14ac:dyDescent="0.2">
      <c r="B754" s="68"/>
      <c r="C754" s="69"/>
      <c r="D754" s="70"/>
      <c r="F754" s="68"/>
      <c r="G754" s="69"/>
      <c r="H754" s="70"/>
      <c r="J754" s="71"/>
      <c r="K754" s="71"/>
      <c r="L754" s="67"/>
      <c r="N754" s="71"/>
      <c r="O754" s="71"/>
      <c r="P754" s="67"/>
      <c r="R754" s="67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6"/>
      <c r="BY754" s="6"/>
      <c r="BZ754" s="6"/>
      <c r="CA754" s="6"/>
      <c r="CB754" s="6"/>
      <c r="CC754" s="6"/>
    </row>
    <row r="755" spans="2:81" x14ac:dyDescent="0.2">
      <c r="B755" s="68"/>
      <c r="C755" s="69"/>
      <c r="D755" s="70"/>
      <c r="F755" s="68"/>
      <c r="G755" s="69"/>
      <c r="H755" s="70"/>
      <c r="J755" s="71"/>
      <c r="K755" s="71"/>
      <c r="L755" s="67"/>
      <c r="N755" s="71"/>
      <c r="O755" s="71"/>
      <c r="P755" s="67"/>
      <c r="R755" s="67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6"/>
      <c r="BY755" s="6"/>
      <c r="BZ755" s="6"/>
      <c r="CA755" s="6"/>
      <c r="CB755" s="6"/>
      <c r="CC755" s="6"/>
    </row>
    <row r="756" spans="2:81" x14ac:dyDescent="0.2">
      <c r="B756" s="68"/>
      <c r="C756" s="69"/>
      <c r="D756" s="70"/>
      <c r="F756" s="68"/>
      <c r="G756" s="69"/>
      <c r="H756" s="70"/>
      <c r="J756" s="71"/>
      <c r="K756" s="71"/>
      <c r="L756" s="67"/>
      <c r="N756" s="71"/>
      <c r="O756" s="71"/>
      <c r="P756" s="67"/>
      <c r="R756" s="67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6"/>
      <c r="BY756" s="6"/>
      <c r="BZ756" s="6"/>
      <c r="CA756" s="6"/>
      <c r="CB756" s="6"/>
      <c r="CC756" s="6"/>
    </row>
    <row r="757" spans="2:81" x14ac:dyDescent="0.2">
      <c r="B757" s="68"/>
      <c r="C757" s="69"/>
      <c r="D757" s="70"/>
      <c r="F757" s="68"/>
      <c r="G757" s="69"/>
      <c r="H757" s="70"/>
      <c r="J757" s="71"/>
      <c r="K757" s="71"/>
      <c r="L757" s="67"/>
      <c r="N757" s="71"/>
      <c r="O757" s="71"/>
      <c r="P757" s="67"/>
      <c r="R757" s="67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6"/>
      <c r="BY757" s="6"/>
      <c r="BZ757" s="6"/>
      <c r="CA757" s="6"/>
      <c r="CB757" s="6"/>
      <c r="CC757" s="6"/>
    </row>
    <row r="758" spans="2:81" x14ac:dyDescent="0.2">
      <c r="B758" s="68"/>
      <c r="C758" s="69"/>
      <c r="D758" s="70"/>
      <c r="F758" s="68"/>
      <c r="G758" s="69"/>
      <c r="H758" s="70"/>
      <c r="J758" s="71"/>
      <c r="K758" s="71"/>
      <c r="L758" s="67"/>
      <c r="N758" s="71"/>
      <c r="O758" s="71"/>
      <c r="P758" s="67"/>
      <c r="R758" s="67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6"/>
      <c r="BY758" s="6"/>
      <c r="BZ758" s="6"/>
      <c r="CA758" s="6"/>
      <c r="CB758" s="6"/>
      <c r="CC758" s="6"/>
    </row>
    <row r="759" spans="2:81" x14ac:dyDescent="0.2">
      <c r="B759" s="68"/>
      <c r="C759" s="69"/>
      <c r="D759" s="70"/>
      <c r="F759" s="68"/>
      <c r="G759" s="69"/>
      <c r="H759" s="70"/>
      <c r="J759" s="71"/>
      <c r="K759" s="71"/>
      <c r="L759" s="67"/>
      <c r="N759" s="71"/>
      <c r="O759" s="71"/>
      <c r="P759" s="67"/>
      <c r="R759" s="67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6"/>
      <c r="BY759" s="6"/>
      <c r="BZ759" s="6"/>
      <c r="CA759" s="6"/>
      <c r="CB759" s="6"/>
      <c r="CC759" s="6"/>
    </row>
    <row r="760" spans="2:81" x14ac:dyDescent="0.2">
      <c r="B760" s="68"/>
      <c r="C760" s="69"/>
      <c r="D760" s="70"/>
      <c r="F760" s="68"/>
      <c r="G760" s="69"/>
      <c r="H760" s="70"/>
      <c r="J760" s="71"/>
      <c r="K760" s="71"/>
      <c r="L760" s="67"/>
      <c r="N760" s="71"/>
      <c r="O760" s="71"/>
      <c r="P760" s="67"/>
      <c r="R760" s="67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6"/>
      <c r="BY760" s="6"/>
      <c r="BZ760" s="6"/>
      <c r="CA760" s="6"/>
      <c r="CB760" s="6"/>
      <c r="CC760" s="6"/>
    </row>
    <row r="761" spans="2:81" x14ac:dyDescent="0.2">
      <c r="B761" s="68"/>
      <c r="C761" s="69"/>
      <c r="D761" s="70"/>
      <c r="F761" s="68"/>
      <c r="G761" s="69"/>
      <c r="H761" s="70"/>
      <c r="J761" s="71"/>
      <c r="K761" s="71"/>
      <c r="L761" s="67"/>
      <c r="N761" s="71"/>
      <c r="O761" s="71"/>
      <c r="P761" s="67"/>
      <c r="R761" s="67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6"/>
      <c r="BY761" s="6"/>
      <c r="BZ761" s="6"/>
      <c r="CA761" s="6"/>
      <c r="CB761" s="6"/>
      <c r="CC761" s="6"/>
    </row>
    <row r="762" spans="2:81" x14ac:dyDescent="0.2">
      <c r="B762" s="68"/>
      <c r="C762" s="69"/>
      <c r="D762" s="70"/>
      <c r="F762" s="68"/>
      <c r="G762" s="69"/>
      <c r="H762" s="70"/>
      <c r="J762" s="71"/>
      <c r="K762" s="71"/>
      <c r="L762" s="67"/>
      <c r="N762" s="71"/>
      <c r="O762" s="71"/>
      <c r="P762" s="67"/>
      <c r="R762" s="67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6"/>
      <c r="BY762" s="6"/>
      <c r="BZ762" s="6"/>
      <c r="CA762" s="6"/>
      <c r="CB762" s="6"/>
      <c r="CC762" s="6"/>
    </row>
    <row r="763" spans="2:81" x14ac:dyDescent="0.2">
      <c r="B763" s="68"/>
      <c r="C763" s="69"/>
      <c r="D763" s="70"/>
      <c r="F763" s="68"/>
      <c r="G763" s="69"/>
      <c r="H763" s="70"/>
      <c r="J763" s="71"/>
      <c r="K763" s="71"/>
      <c r="L763" s="67"/>
      <c r="N763" s="71"/>
      <c r="O763" s="71"/>
      <c r="P763" s="67"/>
      <c r="R763" s="67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6"/>
      <c r="BY763" s="6"/>
      <c r="BZ763" s="6"/>
      <c r="CA763" s="6"/>
      <c r="CB763" s="6"/>
      <c r="CC763" s="6"/>
    </row>
    <row r="764" spans="2:81" x14ac:dyDescent="0.2">
      <c r="B764" s="68"/>
      <c r="C764" s="69"/>
      <c r="D764" s="70"/>
      <c r="F764" s="68"/>
      <c r="G764" s="69"/>
      <c r="H764" s="70"/>
      <c r="J764" s="71"/>
      <c r="K764" s="71"/>
      <c r="L764" s="67"/>
      <c r="N764" s="71"/>
      <c r="O764" s="71"/>
      <c r="P764" s="67"/>
      <c r="R764" s="67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6"/>
      <c r="BY764" s="6"/>
      <c r="BZ764" s="6"/>
      <c r="CA764" s="6"/>
      <c r="CB764" s="6"/>
      <c r="CC764" s="6"/>
    </row>
    <row r="765" spans="2:81" x14ac:dyDescent="0.2">
      <c r="B765" s="68"/>
      <c r="C765" s="69"/>
      <c r="D765" s="70"/>
      <c r="F765" s="68"/>
      <c r="G765" s="69"/>
      <c r="H765" s="70"/>
      <c r="J765" s="71"/>
      <c r="K765" s="71"/>
      <c r="L765" s="67"/>
      <c r="N765" s="71"/>
      <c r="O765" s="71"/>
      <c r="P765" s="67"/>
      <c r="R765" s="67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6"/>
      <c r="BY765" s="6"/>
      <c r="BZ765" s="6"/>
      <c r="CA765" s="6"/>
      <c r="CB765" s="6"/>
      <c r="CC765" s="6"/>
    </row>
    <row r="766" spans="2:81" x14ac:dyDescent="0.2">
      <c r="B766" s="68"/>
      <c r="C766" s="69"/>
      <c r="D766" s="70"/>
      <c r="F766" s="68"/>
      <c r="G766" s="69"/>
      <c r="H766" s="70"/>
      <c r="J766" s="71"/>
      <c r="K766" s="71"/>
      <c r="L766" s="67"/>
      <c r="N766" s="71"/>
      <c r="O766" s="71"/>
      <c r="P766" s="67"/>
      <c r="R766" s="67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6"/>
      <c r="BY766" s="6"/>
      <c r="BZ766" s="6"/>
      <c r="CA766" s="6"/>
      <c r="CB766" s="6"/>
      <c r="CC766" s="6"/>
    </row>
    <row r="767" spans="2:81" x14ac:dyDescent="0.2">
      <c r="B767" s="68"/>
      <c r="C767" s="69"/>
      <c r="D767" s="70"/>
      <c r="F767" s="68"/>
      <c r="G767" s="69"/>
      <c r="H767" s="70"/>
      <c r="J767" s="71"/>
      <c r="K767" s="71"/>
      <c r="L767" s="67"/>
      <c r="N767" s="71"/>
      <c r="O767" s="71"/>
      <c r="P767" s="67"/>
      <c r="R767" s="67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6"/>
      <c r="BY767" s="6"/>
      <c r="BZ767" s="6"/>
      <c r="CA767" s="6"/>
      <c r="CB767" s="6"/>
      <c r="CC767" s="6"/>
    </row>
    <row r="768" spans="2:81" x14ac:dyDescent="0.2">
      <c r="B768" s="68"/>
      <c r="C768" s="69"/>
      <c r="D768" s="70"/>
      <c r="F768" s="68"/>
      <c r="G768" s="69"/>
      <c r="H768" s="70"/>
      <c r="J768" s="71"/>
      <c r="K768" s="71"/>
      <c r="L768" s="67"/>
      <c r="N768" s="71"/>
      <c r="O768" s="71"/>
      <c r="P768" s="67"/>
      <c r="R768" s="67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6"/>
      <c r="BY768" s="6"/>
      <c r="BZ768" s="6"/>
      <c r="CA768" s="6"/>
      <c r="CB768" s="6"/>
      <c r="CC768" s="6"/>
    </row>
    <row r="769" spans="2:81" x14ac:dyDescent="0.2">
      <c r="B769" s="68"/>
      <c r="C769" s="69"/>
      <c r="D769" s="70"/>
      <c r="F769" s="68"/>
      <c r="G769" s="69"/>
      <c r="H769" s="70"/>
      <c r="J769" s="71"/>
      <c r="K769" s="71"/>
      <c r="L769" s="67"/>
      <c r="N769" s="71"/>
      <c r="O769" s="71"/>
      <c r="P769" s="67"/>
      <c r="R769" s="67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6"/>
      <c r="BY769" s="6"/>
      <c r="BZ769" s="6"/>
      <c r="CA769" s="6"/>
      <c r="CB769" s="6"/>
      <c r="CC769" s="6"/>
    </row>
    <row r="770" spans="2:81" x14ac:dyDescent="0.2">
      <c r="B770" s="68"/>
      <c r="C770" s="69"/>
      <c r="D770" s="70"/>
      <c r="F770" s="68"/>
      <c r="G770" s="69"/>
      <c r="H770" s="70"/>
      <c r="J770" s="71"/>
      <c r="K770" s="71"/>
      <c r="L770" s="67"/>
      <c r="N770" s="71"/>
      <c r="O770" s="71"/>
      <c r="P770" s="67"/>
      <c r="R770" s="67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6"/>
      <c r="BY770" s="6"/>
      <c r="BZ770" s="6"/>
      <c r="CA770" s="6"/>
      <c r="CB770" s="6"/>
      <c r="CC770" s="6"/>
    </row>
    <row r="771" spans="2:81" x14ac:dyDescent="0.2">
      <c r="B771" s="68"/>
      <c r="C771" s="69"/>
      <c r="D771" s="70"/>
      <c r="F771" s="68"/>
      <c r="G771" s="69"/>
      <c r="H771" s="70"/>
      <c r="J771" s="71"/>
      <c r="K771" s="71"/>
      <c r="L771" s="67"/>
      <c r="N771" s="71"/>
      <c r="O771" s="71"/>
      <c r="P771" s="67"/>
      <c r="R771" s="67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6"/>
      <c r="BY771" s="6"/>
      <c r="BZ771" s="6"/>
      <c r="CA771" s="6"/>
      <c r="CB771" s="6"/>
      <c r="CC771" s="6"/>
    </row>
    <row r="772" spans="2:81" x14ac:dyDescent="0.2">
      <c r="B772" s="68"/>
      <c r="C772" s="69"/>
      <c r="D772" s="70"/>
      <c r="F772" s="68"/>
      <c r="G772" s="69"/>
      <c r="H772" s="70"/>
      <c r="J772" s="71"/>
      <c r="K772" s="71"/>
      <c r="L772" s="67"/>
      <c r="N772" s="71"/>
      <c r="O772" s="71"/>
      <c r="P772" s="67"/>
      <c r="R772" s="67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6"/>
      <c r="BY772" s="6"/>
      <c r="BZ772" s="6"/>
      <c r="CA772" s="6"/>
      <c r="CB772" s="6"/>
      <c r="CC772" s="6"/>
    </row>
    <row r="773" spans="2:81" x14ac:dyDescent="0.2">
      <c r="B773" s="68"/>
      <c r="C773" s="69"/>
      <c r="D773" s="70"/>
      <c r="F773" s="68"/>
      <c r="G773" s="69"/>
      <c r="H773" s="70"/>
      <c r="J773" s="71"/>
      <c r="K773" s="71"/>
      <c r="L773" s="67"/>
      <c r="N773" s="71"/>
      <c r="O773" s="71"/>
      <c r="P773" s="67"/>
      <c r="R773" s="67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6"/>
      <c r="BY773" s="6"/>
      <c r="BZ773" s="6"/>
      <c r="CA773" s="6"/>
      <c r="CB773" s="6"/>
      <c r="CC773" s="6"/>
    </row>
    <row r="774" spans="2:81" x14ac:dyDescent="0.2">
      <c r="B774" s="68"/>
      <c r="C774" s="69"/>
      <c r="D774" s="70"/>
      <c r="F774" s="68"/>
      <c r="G774" s="69"/>
      <c r="H774" s="70"/>
      <c r="J774" s="71"/>
      <c r="K774" s="71"/>
      <c r="L774" s="67"/>
      <c r="N774" s="71"/>
      <c r="O774" s="71"/>
      <c r="P774" s="67"/>
      <c r="R774" s="67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6"/>
      <c r="BY774" s="6"/>
      <c r="BZ774" s="6"/>
      <c r="CA774" s="6"/>
      <c r="CB774" s="6"/>
      <c r="CC774" s="6"/>
    </row>
    <row r="775" spans="2:81" x14ac:dyDescent="0.2">
      <c r="B775" s="68"/>
      <c r="C775" s="69"/>
      <c r="D775" s="70"/>
      <c r="F775" s="68"/>
      <c r="G775" s="69"/>
      <c r="H775" s="70"/>
      <c r="J775" s="71"/>
      <c r="K775" s="71"/>
      <c r="L775" s="67"/>
      <c r="N775" s="71"/>
      <c r="O775" s="71"/>
      <c r="P775" s="67"/>
      <c r="R775" s="67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6"/>
      <c r="BY775" s="6"/>
      <c r="BZ775" s="6"/>
      <c r="CA775" s="6"/>
      <c r="CB775" s="6"/>
      <c r="CC775" s="6"/>
    </row>
    <row r="776" spans="2:81" x14ac:dyDescent="0.2">
      <c r="B776" s="68"/>
      <c r="C776" s="69"/>
      <c r="D776" s="70"/>
      <c r="F776" s="68"/>
      <c r="G776" s="69"/>
      <c r="H776" s="70"/>
      <c r="J776" s="71"/>
      <c r="K776" s="71"/>
      <c r="L776" s="67"/>
      <c r="N776" s="71"/>
      <c r="O776" s="71"/>
      <c r="P776" s="67"/>
      <c r="R776" s="67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6"/>
      <c r="BY776" s="6"/>
      <c r="BZ776" s="6"/>
      <c r="CA776" s="6"/>
      <c r="CB776" s="6"/>
      <c r="CC776" s="6"/>
    </row>
    <row r="777" spans="2:81" x14ac:dyDescent="0.2">
      <c r="B777" s="68"/>
      <c r="C777" s="69"/>
      <c r="D777" s="70"/>
      <c r="F777" s="68"/>
      <c r="G777" s="69"/>
      <c r="H777" s="70"/>
      <c r="J777" s="71"/>
      <c r="K777" s="71"/>
      <c r="L777" s="67"/>
      <c r="N777" s="71"/>
      <c r="O777" s="71"/>
      <c r="P777" s="67"/>
      <c r="R777" s="67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6"/>
      <c r="BY777" s="6"/>
      <c r="BZ777" s="6"/>
      <c r="CA777" s="6"/>
      <c r="CB777" s="6"/>
      <c r="CC777" s="6"/>
    </row>
    <row r="778" spans="2:81" x14ac:dyDescent="0.2">
      <c r="B778" s="68"/>
      <c r="C778" s="69"/>
      <c r="D778" s="70"/>
      <c r="F778" s="68"/>
      <c r="G778" s="69"/>
      <c r="H778" s="70"/>
      <c r="J778" s="71"/>
      <c r="K778" s="71"/>
      <c r="L778" s="67"/>
      <c r="N778" s="71"/>
      <c r="O778" s="71"/>
      <c r="P778" s="67"/>
      <c r="R778" s="67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6"/>
      <c r="BY778" s="6"/>
      <c r="BZ778" s="6"/>
      <c r="CA778" s="6"/>
      <c r="CB778" s="6"/>
      <c r="CC778" s="6"/>
    </row>
    <row r="779" spans="2:81" x14ac:dyDescent="0.2">
      <c r="B779" s="68"/>
      <c r="C779" s="69"/>
      <c r="D779" s="70"/>
      <c r="F779" s="68"/>
      <c r="G779" s="69"/>
      <c r="H779" s="70"/>
      <c r="J779" s="71"/>
      <c r="K779" s="71"/>
      <c r="L779" s="67"/>
      <c r="N779" s="71"/>
      <c r="O779" s="71"/>
      <c r="P779" s="67"/>
      <c r="R779" s="67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6"/>
      <c r="BY779" s="6"/>
      <c r="BZ779" s="6"/>
      <c r="CA779" s="6"/>
      <c r="CB779" s="6"/>
      <c r="CC779" s="6"/>
    </row>
    <row r="780" spans="2:81" x14ac:dyDescent="0.2">
      <c r="B780" s="68"/>
      <c r="C780" s="69"/>
      <c r="D780" s="70"/>
      <c r="F780" s="68"/>
      <c r="G780" s="69"/>
      <c r="H780" s="70"/>
      <c r="J780" s="71"/>
      <c r="K780" s="71"/>
      <c r="L780" s="67"/>
      <c r="N780" s="71"/>
      <c r="O780" s="71"/>
      <c r="P780" s="67"/>
      <c r="R780" s="67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6"/>
      <c r="BY780" s="6"/>
      <c r="BZ780" s="6"/>
      <c r="CA780" s="6"/>
      <c r="CB780" s="6"/>
      <c r="CC780" s="6"/>
    </row>
    <row r="781" spans="2:81" x14ac:dyDescent="0.2">
      <c r="B781" s="68"/>
      <c r="C781" s="69"/>
      <c r="D781" s="70"/>
      <c r="F781" s="68"/>
      <c r="G781" s="69"/>
      <c r="H781" s="70"/>
      <c r="J781" s="71"/>
      <c r="K781" s="71"/>
      <c r="L781" s="67"/>
      <c r="N781" s="71"/>
      <c r="O781" s="71"/>
      <c r="P781" s="67"/>
      <c r="R781" s="67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6"/>
      <c r="BY781" s="6"/>
      <c r="BZ781" s="6"/>
      <c r="CA781" s="6"/>
      <c r="CB781" s="6"/>
      <c r="CC781" s="6"/>
    </row>
    <row r="782" spans="2:81" x14ac:dyDescent="0.2">
      <c r="B782" s="68"/>
      <c r="C782" s="69"/>
      <c r="D782" s="70"/>
      <c r="F782" s="68"/>
      <c r="G782" s="69"/>
      <c r="H782" s="70"/>
      <c r="J782" s="71"/>
      <c r="K782" s="71"/>
      <c r="L782" s="67"/>
      <c r="N782" s="71"/>
      <c r="O782" s="71"/>
      <c r="P782" s="67"/>
      <c r="R782" s="67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6"/>
      <c r="BY782" s="6"/>
      <c r="BZ782" s="6"/>
      <c r="CA782" s="6"/>
      <c r="CB782" s="6"/>
      <c r="CC782" s="6"/>
    </row>
    <row r="783" spans="2:81" x14ac:dyDescent="0.2">
      <c r="B783" s="68"/>
      <c r="C783" s="69"/>
      <c r="D783" s="70"/>
      <c r="F783" s="68"/>
      <c r="G783" s="69"/>
      <c r="H783" s="70"/>
      <c r="J783" s="71"/>
      <c r="K783" s="71"/>
      <c r="L783" s="67"/>
      <c r="N783" s="71"/>
      <c r="O783" s="71"/>
      <c r="P783" s="67"/>
      <c r="R783" s="67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6"/>
      <c r="BY783" s="6"/>
      <c r="BZ783" s="6"/>
      <c r="CA783" s="6"/>
      <c r="CB783" s="6"/>
      <c r="CC783" s="6"/>
    </row>
    <row r="784" spans="2:81" x14ac:dyDescent="0.2">
      <c r="B784" s="68"/>
      <c r="C784" s="69"/>
      <c r="D784" s="70"/>
      <c r="F784" s="68"/>
      <c r="G784" s="69"/>
      <c r="H784" s="70"/>
      <c r="J784" s="71"/>
      <c r="K784" s="71"/>
      <c r="L784" s="67"/>
      <c r="N784" s="71"/>
      <c r="O784" s="71"/>
      <c r="P784" s="67"/>
      <c r="R784" s="67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6"/>
      <c r="BY784" s="6"/>
      <c r="BZ784" s="6"/>
      <c r="CA784" s="6"/>
      <c r="CB784" s="6"/>
      <c r="CC784" s="6"/>
    </row>
    <row r="785" spans="2:81" x14ac:dyDescent="0.2">
      <c r="B785" s="68"/>
      <c r="C785" s="69"/>
      <c r="D785" s="70"/>
      <c r="F785" s="68"/>
      <c r="G785" s="69"/>
      <c r="H785" s="70"/>
      <c r="J785" s="71"/>
      <c r="K785" s="71"/>
      <c r="L785" s="67"/>
      <c r="N785" s="71"/>
      <c r="O785" s="71"/>
      <c r="P785" s="67"/>
      <c r="R785" s="67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6"/>
      <c r="BY785" s="6"/>
      <c r="BZ785" s="6"/>
      <c r="CA785" s="6"/>
      <c r="CB785" s="6"/>
      <c r="CC785" s="6"/>
    </row>
    <row r="786" spans="2:81" x14ac:dyDescent="0.2">
      <c r="B786" s="68"/>
      <c r="C786" s="69"/>
      <c r="D786" s="70"/>
      <c r="F786" s="68"/>
      <c r="G786" s="69"/>
      <c r="H786" s="70"/>
      <c r="J786" s="71"/>
      <c r="K786" s="71"/>
      <c r="L786" s="67"/>
      <c r="N786" s="71"/>
      <c r="O786" s="71"/>
      <c r="P786" s="67"/>
      <c r="R786" s="67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6"/>
      <c r="BY786" s="6"/>
      <c r="BZ786" s="6"/>
      <c r="CA786" s="6"/>
      <c r="CB786" s="6"/>
      <c r="CC786" s="6"/>
    </row>
    <row r="787" spans="2:81" x14ac:dyDescent="0.2">
      <c r="B787" s="68"/>
      <c r="C787" s="69"/>
      <c r="D787" s="70"/>
      <c r="F787" s="68"/>
      <c r="G787" s="69"/>
      <c r="H787" s="70"/>
      <c r="J787" s="71"/>
      <c r="K787" s="71"/>
      <c r="L787" s="67"/>
      <c r="N787" s="71"/>
      <c r="O787" s="71"/>
      <c r="P787" s="67"/>
      <c r="R787" s="67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6"/>
      <c r="BY787" s="6"/>
      <c r="BZ787" s="6"/>
      <c r="CA787" s="6"/>
      <c r="CB787" s="6"/>
      <c r="CC787" s="6"/>
    </row>
    <row r="788" spans="2:81" x14ac:dyDescent="0.2">
      <c r="B788" s="68"/>
      <c r="C788" s="69"/>
      <c r="D788" s="70"/>
      <c r="F788" s="68"/>
      <c r="G788" s="69"/>
      <c r="H788" s="70"/>
      <c r="J788" s="71"/>
      <c r="K788" s="71"/>
      <c r="L788" s="67"/>
      <c r="N788" s="71"/>
      <c r="O788" s="71"/>
      <c r="P788" s="67"/>
      <c r="R788" s="67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6"/>
      <c r="BY788" s="6"/>
      <c r="BZ788" s="6"/>
      <c r="CA788" s="6"/>
      <c r="CB788" s="6"/>
      <c r="CC788" s="6"/>
    </row>
    <row r="789" spans="2:81" x14ac:dyDescent="0.2">
      <c r="B789" s="68"/>
      <c r="C789" s="69"/>
      <c r="D789" s="70"/>
      <c r="F789" s="68"/>
      <c r="G789" s="69"/>
      <c r="H789" s="70"/>
      <c r="J789" s="71"/>
      <c r="K789" s="71"/>
      <c r="L789" s="67"/>
      <c r="N789" s="71"/>
      <c r="O789" s="71"/>
      <c r="P789" s="67"/>
      <c r="R789" s="67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6"/>
      <c r="BY789" s="6"/>
      <c r="BZ789" s="6"/>
      <c r="CA789" s="6"/>
      <c r="CB789" s="6"/>
      <c r="CC789" s="6"/>
    </row>
    <row r="790" spans="2:81" x14ac:dyDescent="0.2">
      <c r="B790" s="68"/>
      <c r="C790" s="69"/>
      <c r="D790" s="70"/>
      <c r="F790" s="68"/>
      <c r="G790" s="69"/>
      <c r="H790" s="70"/>
      <c r="J790" s="71"/>
      <c r="K790" s="71"/>
      <c r="L790" s="67"/>
      <c r="N790" s="71"/>
      <c r="O790" s="71"/>
      <c r="P790" s="67"/>
      <c r="R790" s="67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6"/>
      <c r="BY790" s="6"/>
      <c r="BZ790" s="6"/>
      <c r="CA790" s="6"/>
      <c r="CB790" s="6"/>
      <c r="CC790" s="6"/>
    </row>
    <row r="791" spans="2:81" x14ac:dyDescent="0.2">
      <c r="B791" s="68"/>
      <c r="C791" s="69"/>
      <c r="D791" s="70"/>
      <c r="F791" s="68"/>
      <c r="G791" s="69"/>
      <c r="H791" s="70"/>
      <c r="J791" s="71"/>
      <c r="K791" s="71"/>
      <c r="L791" s="67"/>
      <c r="N791" s="71"/>
      <c r="O791" s="71"/>
      <c r="P791" s="67"/>
      <c r="R791" s="67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6"/>
      <c r="BY791" s="6"/>
      <c r="BZ791" s="6"/>
      <c r="CA791" s="6"/>
      <c r="CB791" s="6"/>
      <c r="CC791" s="6"/>
    </row>
    <row r="792" spans="2:81" x14ac:dyDescent="0.2">
      <c r="B792" s="68"/>
      <c r="C792" s="69"/>
      <c r="D792" s="70"/>
      <c r="F792" s="68"/>
      <c r="G792" s="69"/>
      <c r="H792" s="70"/>
      <c r="J792" s="71"/>
      <c r="K792" s="71"/>
      <c r="L792" s="67"/>
      <c r="N792" s="71"/>
      <c r="O792" s="71"/>
      <c r="P792" s="67"/>
      <c r="R792" s="67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6"/>
      <c r="BY792" s="6"/>
      <c r="BZ792" s="6"/>
      <c r="CA792" s="6"/>
      <c r="CB792" s="6"/>
      <c r="CC792" s="6"/>
    </row>
    <row r="793" spans="2:81" x14ac:dyDescent="0.2">
      <c r="B793" s="68"/>
      <c r="C793" s="69"/>
      <c r="D793" s="70"/>
      <c r="F793" s="68"/>
      <c r="G793" s="69"/>
      <c r="H793" s="70"/>
      <c r="J793" s="71"/>
      <c r="K793" s="71"/>
      <c r="L793" s="67"/>
      <c r="N793" s="71"/>
      <c r="O793" s="71"/>
      <c r="P793" s="67"/>
      <c r="R793" s="67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6"/>
      <c r="BY793" s="6"/>
      <c r="BZ793" s="6"/>
      <c r="CA793" s="6"/>
      <c r="CB793" s="6"/>
      <c r="CC793" s="6"/>
    </row>
    <row r="794" spans="2:81" x14ac:dyDescent="0.2">
      <c r="B794" s="68"/>
      <c r="C794" s="69"/>
      <c r="D794" s="70"/>
      <c r="F794" s="68"/>
      <c r="G794" s="69"/>
      <c r="H794" s="70"/>
      <c r="J794" s="71"/>
      <c r="K794" s="71"/>
      <c r="L794" s="67"/>
      <c r="N794" s="71"/>
      <c r="O794" s="71"/>
      <c r="P794" s="67"/>
      <c r="R794" s="67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6"/>
      <c r="BY794" s="6"/>
      <c r="BZ794" s="6"/>
      <c r="CA794" s="6"/>
      <c r="CB794" s="6"/>
      <c r="CC794" s="6"/>
    </row>
    <row r="795" spans="2:81" x14ac:dyDescent="0.2">
      <c r="B795" s="68"/>
      <c r="C795" s="69"/>
      <c r="D795" s="70"/>
      <c r="F795" s="68"/>
      <c r="G795" s="69"/>
      <c r="H795" s="70"/>
      <c r="J795" s="71"/>
      <c r="K795" s="71"/>
      <c r="L795" s="67"/>
      <c r="N795" s="71"/>
      <c r="O795" s="71"/>
      <c r="P795" s="67"/>
      <c r="R795" s="67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6"/>
      <c r="BY795" s="6"/>
      <c r="BZ795" s="6"/>
      <c r="CA795" s="6"/>
      <c r="CB795" s="6"/>
      <c r="CC795" s="6"/>
    </row>
    <row r="796" spans="2:81" x14ac:dyDescent="0.2">
      <c r="B796" s="68"/>
      <c r="C796" s="69"/>
      <c r="D796" s="70"/>
      <c r="F796" s="68"/>
      <c r="G796" s="69"/>
      <c r="H796" s="70"/>
      <c r="J796" s="71"/>
      <c r="K796" s="71"/>
      <c r="L796" s="67"/>
      <c r="N796" s="71"/>
      <c r="O796" s="71"/>
      <c r="P796" s="67"/>
      <c r="R796" s="67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6"/>
      <c r="BY796" s="6"/>
      <c r="BZ796" s="6"/>
      <c r="CA796" s="6"/>
      <c r="CB796" s="6"/>
      <c r="CC796" s="6"/>
    </row>
    <row r="797" spans="2:81" x14ac:dyDescent="0.2">
      <c r="B797" s="68"/>
      <c r="C797" s="69"/>
      <c r="D797" s="70"/>
      <c r="F797" s="68"/>
      <c r="G797" s="69"/>
      <c r="H797" s="70"/>
      <c r="J797" s="71"/>
      <c r="K797" s="71"/>
      <c r="L797" s="67"/>
      <c r="N797" s="71"/>
      <c r="O797" s="71"/>
      <c r="P797" s="67"/>
      <c r="R797" s="67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6"/>
      <c r="BY797" s="6"/>
      <c r="BZ797" s="6"/>
      <c r="CA797" s="6"/>
      <c r="CB797" s="6"/>
      <c r="CC797" s="6"/>
    </row>
    <row r="798" spans="2:81" x14ac:dyDescent="0.2">
      <c r="B798" s="68"/>
      <c r="C798" s="69"/>
      <c r="D798" s="70"/>
      <c r="F798" s="68"/>
      <c r="G798" s="69"/>
      <c r="H798" s="70"/>
      <c r="J798" s="71"/>
      <c r="K798" s="71"/>
      <c r="L798" s="67"/>
      <c r="N798" s="71"/>
      <c r="O798" s="71"/>
      <c r="P798" s="67"/>
      <c r="R798" s="67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6"/>
      <c r="BY798" s="6"/>
      <c r="BZ798" s="6"/>
      <c r="CA798" s="6"/>
      <c r="CB798" s="6"/>
      <c r="CC798" s="6"/>
    </row>
    <row r="799" spans="2:81" x14ac:dyDescent="0.2">
      <c r="B799" s="68"/>
      <c r="C799" s="69"/>
      <c r="D799" s="70"/>
      <c r="F799" s="68"/>
      <c r="G799" s="69"/>
      <c r="H799" s="70"/>
      <c r="J799" s="71"/>
      <c r="K799" s="71"/>
      <c r="L799" s="67"/>
      <c r="N799" s="71"/>
      <c r="O799" s="71"/>
      <c r="P799" s="67"/>
      <c r="R799" s="67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6"/>
      <c r="BY799" s="6"/>
      <c r="BZ799" s="6"/>
      <c r="CA799" s="6"/>
      <c r="CB799" s="6"/>
      <c r="CC799" s="6"/>
    </row>
    <row r="800" spans="2:81" x14ac:dyDescent="0.2">
      <c r="B800" s="68"/>
      <c r="C800" s="69"/>
      <c r="D800" s="70"/>
      <c r="F800" s="68"/>
      <c r="G800" s="69"/>
      <c r="H800" s="70"/>
      <c r="J800" s="71"/>
      <c r="K800" s="71"/>
      <c r="L800" s="67"/>
      <c r="N800" s="71"/>
      <c r="O800" s="71"/>
      <c r="P800" s="67"/>
      <c r="R800" s="67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6"/>
      <c r="BY800" s="6"/>
      <c r="BZ800" s="6"/>
      <c r="CA800" s="6"/>
      <c r="CB800" s="6"/>
      <c r="CC800" s="6"/>
    </row>
    <row r="801" spans="2:81" x14ac:dyDescent="0.2">
      <c r="B801" s="68"/>
      <c r="C801" s="69"/>
      <c r="D801" s="70"/>
      <c r="F801" s="68"/>
      <c r="G801" s="69"/>
      <c r="H801" s="70"/>
      <c r="J801" s="71"/>
      <c r="K801" s="71"/>
      <c r="L801" s="67"/>
      <c r="N801" s="71"/>
      <c r="O801" s="71"/>
      <c r="P801" s="67"/>
      <c r="R801" s="67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6"/>
      <c r="BY801" s="6"/>
      <c r="BZ801" s="6"/>
      <c r="CA801" s="6"/>
      <c r="CB801" s="6"/>
      <c r="CC801" s="6"/>
    </row>
    <row r="802" spans="2:81" x14ac:dyDescent="0.2">
      <c r="B802" s="68"/>
      <c r="C802" s="69"/>
      <c r="D802" s="70"/>
      <c r="F802" s="68"/>
      <c r="G802" s="69"/>
      <c r="H802" s="70"/>
      <c r="J802" s="71"/>
      <c r="K802" s="71"/>
      <c r="L802" s="67"/>
      <c r="N802" s="71"/>
      <c r="O802" s="71"/>
      <c r="P802" s="67"/>
      <c r="R802" s="67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6"/>
      <c r="BY802" s="6"/>
      <c r="BZ802" s="6"/>
      <c r="CA802" s="6"/>
      <c r="CB802" s="6"/>
      <c r="CC802" s="6"/>
    </row>
    <row r="803" spans="2:81" x14ac:dyDescent="0.2">
      <c r="B803" s="68"/>
      <c r="C803" s="69"/>
      <c r="D803" s="70"/>
      <c r="F803" s="68"/>
      <c r="G803" s="69"/>
      <c r="H803" s="70"/>
      <c r="J803" s="71"/>
      <c r="K803" s="71"/>
      <c r="L803" s="67"/>
      <c r="N803" s="71"/>
      <c r="O803" s="71"/>
      <c r="P803" s="67"/>
      <c r="R803" s="67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6"/>
      <c r="BY803" s="6"/>
      <c r="BZ803" s="6"/>
      <c r="CA803" s="6"/>
      <c r="CB803" s="6"/>
      <c r="CC803" s="6"/>
    </row>
    <row r="804" spans="2:81" x14ac:dyDescent="0.2">
      <c r="B804" s="68"/>
      <c r="C804" s="69"/>
      <c r="D804" s="70"/>
      <c r="F804" s="68"/>
      <c r="G804" s="69"/>
      <c r="H804" s="70"/>
      <c r="J804" s="71"/>
      <c r="K804" s="71"/>
      <c r="L804" s="67"/>
      <c r="N804" s="71"/>
      <c r="O804" s="71"/>
      <c r="P804" s="67"/>
      <c r="R804" s="67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6"/>
      <c r="BY804" s="6"/>
      <c r="BZ804" s="6"/>
      <c r="CA804" s="6"/>
      <c r="CB804" s="6"/>
      <c r="CC804" s="6"/>
    </row>
    <row r="805" spans="2:81" x14ac:dyDescent="0.2">
      <c r="B805" s="68"/>
      <c r="C805" s="69"/>
      <c r="D805" s="70"/>
      <c r="F805" s="68"/>
      <c r="G805" s="69"/>
      <c r="H805" s="70"/>
      <c r="J805" s="71"/>
      <c r="K805" s="71"/>
      <c r="L805" s="67"/>
      <c r="N805" s="71"/>
      <c r="O805" s="71"/>
      <c r="P805" s="67"/>
      <c r="R805" s="67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6"/>
      <c r="BY805" s="6"/>
      <c r="BZ805" s="6"/>
      <c r="CA805" s="6"/>
      <c r="CB805" s="6"/>
      <c r="CC805" s="6"/>
    </row>
    <row r="806" spans="2:81" x14ac:dyDescent="0.2">
      <c r="B806" s="68"/>
      <c r="C806" s="69"/>
      <c r="D806" s="70"/>
      <c r="F806" s="68"/>
      <c r="G806" s="69"/>
      <c r="H806" s="70"/>
      <c r="J806" s="71"/>
      <c r="K806" s="71"/>
      <c r="L806" s="67"/>
      <c r="N806" s="71"/>
      <c r="O806" s="71"/>
      <c r="P806" s="67"/>
      <c r="R806" s="67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6"/>
      <c r="BY806" s="6"/>
      <c r="BZ806" s="6"/>
      <c r="CA806" s="6"/>
      <c r="CB806" s="6"/>
      <c r="CC806" s="6"/>
    </row>
    <row r="807" spans="2:81" x14ac:dyDescent="0.2">
      <c r="B807" s="68"/>
      <c r="C807" s="69"/>
      <c r="D807" s="70"/>
      <c r="F807" s="68"/>
      <c r="G807" s="69"/>
      <c r="H807" s="70"/>
      <c r="J807" s="71"/>
      <c r="K807" s="71"/>
      <c r="L807" s="67"/>
      <c r="N807" s="71"/>
      <c r="O807" s="71"/>
      <c r="P807" s="67"/>
      <c r="R807" s="67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6"/>
      <c r="BY807" s="6"/>
      <c r="BZ807" s="6"/>
      <c r="CA807" s="6"/>
      <c r="CB807" s="6"/>
      <c r="CC807" s="6"/>
    </row>
    <row r="808" spans="2:81" x14ac:dyDescent="0.2">
      <c r="B808" s="68"/>
      <c r="C808" s="69"/>
      <c r="D808" s="70"/>
      <c r="F808" s="68"/>
      <c r="G808" s="69"/>
      <c r="H808" s="70"/>
      <c r="J808" s="71"/>
      <c r="K808" s="71"/>
      <c r="L808" s="67"/>
      <c r="N808" s="71"/>
      <c r="O808" s="71"/>
      <c r="P808" s="67"/>
      <c r="R808" s="67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6"/>
      <c r="BY808" s="6"/>
      <c r="BZ808" s="6"/>
      <c r="CA808" s="6"/>
      <c r="CB808" s="6"/>
      <c r="CC808" s="6"/>
    </row>
    <row r="809" spans="2:81" x14ac:dyDescent="0.2">
      <c r="B809" s="68"/>
      <c r="C809" s="69"/>
      <c r="D809" s="70"/>
      <c r="F809" s="68"/>
      <c r="G809" s="69"/>
      <c r="H809" s="70"/>
      <c r="J809" s="71"/>
      <c r="K809" s="71"/>
      <c r="L809" s="67"/>
      <c r="N809" s="71"/>
      <c r="O809" s="71"/>
      <c r="P809" s="67"/>
      <c r="R809" s="67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6"/>
      <c r="BY809" s="6"/>
      <c r="BZ809" s="6"/>
      <c r="CA809" s="6"/>
      <c r="CB809" s="6"/>
      <c r="CC809" s="6"/>
    </row>
    <row r="810" spans="2:81" x14ac:dyDescent="0.2">
      <c r="B810" s="68"/>
      <c r="C810" s="69"/>
      <c r="D810" s="70"/>
      <c r="F810" s="68"/>
      <c r="G810" s="69"/>
      <c r="H810" s="70"/>
      <c r="J810" s="71"/>
      <c r="K810" s="71"/>
      <c r="L810" s="67"/>
      <c r="N810" s="71"/>
      <c r="O810" s="71"/>
      <c r="P810" s="67"/>
      <c r="R810" s="67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6"/>
      <c r="BY810" s="6"/>
      <c r="BZ810" s="6"/>
      <c r="CA810" s="6"/>
      <c r="CB810" s="6"/>
      <c r="CC810" s="6"/>
    </row>
    <row r="811" spans="2:81" x14ac:dyDescent="0.2">
      <c r="B811" s="68"/>
      <c r="C811" s="69"/>
      <c r="D811" s="70"/>
      <c r="F811" s="68"/>
      <c r="G811" s="69"/>
      <c r="H811" s="70"/>
      <c r="J811" s="71"/>
      <c r="K811" s="71"/>
      <c r="L811" s="67"/>
      <c r="N811" s="71"/>
      <c r="O811" s="71"/>
      <c r="P811" s="67"/>
      <c r="R811" s="67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6"/>
      <c r="BY811" s="6"/>
      <c r="BZ811" s="6"/>
      <c r="CA811" s="6"/>
      <c r="CB811" s="6"/>
      <c r="CC811" s="6"/>
    </row>
    <row r="812" spans="2:81" x14ac:dyDescent="0.2">
      <c r="B812" s="68"/>
      <c r="C812" s="69"/>
      <c r="D812" s="70"/>
      <c r="F812" s="68"/>
      <c r="G812" s="69"/>
      <c r="H812" s="70"/>
      <c r="J812" s="71"/>
      <c r="K812" s="71"/>
      <c r="L812" s="67"/>
      <c r="N812" s="71"/>
      <c r="O812" s="71"/>
      <c r="P812" s="67"/>
      <c r="R812" s="67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6"/>
      <c r="BY812" s="6"/>
      <c r="BZ812" s="6"/>
      <c r="CA812" s="6"/>
      <c r="CB812" s="6"/>
      <c r="CC812" s="6"/>
    </row>
    <row r="813" spans="2:81" x14ac:dyDescent="0.2">
      <c r="B813" s="68"/>
      <c r="C813" s="69"/>
      <c r="D813" s="70"/>
      <c r="F813" s="68"/>
      <c r="G813" s="69"/>
      <c r="H813" s="70"/>
      <c r="J813" s="71"/>
      <c r="K813" s="71"/>
      <c r="L813" s="67"/>
      <c r="N813" s="71"/>
      <c r="O813" s="71"/>
      <c r="P813" s="67"/>
      <c r="R813" s="67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6"/>
      <c r="BY813" s="6"/>
      <c r="BZ813" s="6"/>
      <c r="CA813" s="6"/>
      <c r="CB813" s="6"/>
      <c r="CC813" s="6"/>
    </row>
    <row r="814" spans="2:81" x14ac:dyDescent="0.2">
      <c r="B814" s="68"/>
      <c r="C814" s="69"/>
      <c r="D814" s="70"/>
      <c r="F814" s="68"/>
      <c r="G814" s="69"/>
      <c r="H814" s="70"/>
      <c r="J814" s="71"/>
      <c r="K814" s="71"/>
      <c r="L814" s="67"/>
      <c r="N814" s="71"/>
      <c r="O814" s="71"/>
      <c r="P814" s="67"/>
      <c r="R814" s="67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6"/>
      <c r="BY814" s="6"/>
      <c r="BZ814" s="6"/>
      <c r="CA814" s="6"/>
      <c r="CB814" s="6"/>
      <c r="CC814" s="6"/>
    </row>
    <row r="815" spans="2:81" x14ac:dyDescent="0.2">
      <c r="B815" s="68"/>
      <c r="C815" s="69"/>
      <c r="D815" s="70"/>
      <c r="F815" s="68"/>
      <c r="G815" s="69"/>
      <c r="H815" s="70"/>
      <c r="J815" s="71"/>
      <c r="K815" s="71"/>
      <c r="L815" s="67"/>
      <c r="N815" s="71"/>
      <c r="O815" s="71"/>
      <c r="P815" s="67"/>
      <c r="R815" s="67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6"/>
      <c r="BY815" s="6"/>
      <c r="BZ815" s="6"/>
      <c r="CA815" s="6"/>
      <c r="CB815" s="6"/>
      <c r="CC815" s="6"/>
    </row>
    <row r="816" spans="2:81" x14ac:dyDescent="0.2">
      <c r="B816" s="68"/>
      <c r="C816" s="69"/>
      <c r="D816" s="70"/>
      <c r="F816" s="68"/>
      <c r="G816" s="69"/>
      <c r="H816" s="70"/>
      <c r="J816" s="71"/>
      <c r="K816" s="71"/>
      <c r="L816" s="67"/>
      <c r="N816" s="71"/>
      <c r="O816" s="71"/>
      <c r="P816" s="67"/>
      <c r="R816" s="67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6"/>
      <c r="BY816" s="6"/>
      <c r="BZ816" s="6"/>
      <c r="CA816" s="6"/>
      <c r="CB816" s="6"/>
      <c r="CC816" s="6"/>
    </row>
    <row r="817" spans="2:81" x14ac:dyDescent="0.2">
      <c r="B817" s="68"/>
      <c r="C817" s="69"/>
      <c r="D817" s="70"/>
      <c r="F817" s="68"/>
      <c r="G817" s="69"/>
      <c r="H817" s="70"/>
      <c r="J817" s="71"/>
      <c r="K817" s="71"/>
      <c r="L817" s="67"/>
      <c r="N817" s="71"/>
      <c r="O817" s="71"/>
      <c r="P817" s="67"/>
      <c r="R817" s="67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6"/>
      <c r="BY817" s="6"/>
      <c r="BZ817" s="6"/>
      <c r="CA817" s="6"/>
      <c r="CB817" s="6"/>
      <c r="CC817" s="6"/>
    </row>
    <row r="818" spans="2:81" x14ac:dyDescent="0.2">
      <c r="B818" s="68"/>
      <c r="C818" s="69"/>
      <c r="D818" s="70"/>
      <c r="F818" s="68"/>
      <c r="G818" s="69"/>
      <c r="H818" s="70"/>
      <c r="J818" s="71"/>
      <c r="K818" s="71"/>
      <c r="L818" s="67"/>
      <c r="N818" s="71"/>
      <c r="O818" s="71"/>
      <c r="P818" s="67"/>
      <c r="R818" s="67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6"/>
      <c r="BY818" s="6"/>
      <c r="BZ818" s="6"/>
      <c r="CA818" s="6"/>
      <c r="CB818" s="6"/>
      <c r="CC818" s="6"/>
    </row>
    <row r="819" spans="2:81" x14ac:dyDescent="0.2">
      <c r="B819" s="68"/>
      <c r="C819" s="69"/>
      <c r="D819" s="70"/>
      <c r="F819" s="68"/>
      <c r="G819" s="69"/>
      <c r="H819" s="70"/>
      <c r="J819" s="71"/>
      <c r="K819" s="71"/>
      <c r="L819" s="67"/>
      <c r="N819" s="71"/>
      <c r="O819" s="71"/>
      <c r="P819" s="67"/>
      <c r="R819" s="67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6"/>
      <c r="BY819" s="6"/>
      <c r="BZ819" s="6"/>
      <c r="CA819" s="6"/>
      <c r="CB819" s="6"/>
      <c r="CC819" s="6"/>
    </row>
    <row r="820" spans="2:81" x14ac:dyDescent="0.2">
      <c r="B820" s="68"/>
      <c r="C820" s="69"/>
      <c r="D820" s="70"/>
      <c r="F820" s="68"/>
      <c r="G820" s="69"/>
      <c r="H820" s="70"/>
      <c r="J820" s="71"/>
      <c r="K820" s="71"/>
      <c r="L820" s="67"/>
      <c r="N820" s="71"/>
      <c r="O820" s="71"/>
      <c r="P820" s="67"/>
      <c r="R820" s="67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6"/>
      <c r="BY820" s="6"/>
      <c r="BZ820" s="6"/>
      <c r="CA820" s="6"/>
      <c r="CB820" s="6"/>
      <c r="CC820" s="6"/>
    </row>
    <row r="821" spans="2:81" x14ac:dyDescent="0.2">
      <c r="B821" s="68"/>
      <c r="C821" s="69"/>
      <c r="D821" s="70"/>
      <c r="F821" s="68"/>
      <c r="G821" s="69"/>
      <c r="H821" s="70"/>
      <c r="J821" s="71"/>
      <c r="K821" s="71"/>
      <c r="L821" s="67"/>
      <c r="N821" s="71"/>
      <c r="O821" s="71"/>
      <c r="P821" s="67"/>
      <c r="R821" s="67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6"/>
      <c r="BY821" s="6"/>
      <c r="BZ821" s="6"/>
      <c r="CA821" s="6"/>
      <c r="CB821" s="6"/>
      <c r="CC821" s="6"/>
    </row>
    <row r="822" spans="2:81" x14ac:dyDescent="0.2">
      <c r="B822" s="68"/>
      <c r="C822" s="69"/>
      <c r="D822" s="70"/>
      <c r="F822" s="68"/>
      <c r="G822" s="69"/>
      <c r="H822" s="70"/>
      <c r="J822" s="71"/>
      <c r="K822" s="71"/>
      <c r="L822" s="67"/>
      <c r="N822" s="71"/>
      <c r="O822" s="71"/>
      <c r="P822" s="67"/>
      <c r="R822" s="67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6"/>
      <c r="BY822" s="6"/>
      <c r="BZ822" s="6"/>
      <c r="CA822" s="6"/>
      <c r="CB822" s="6"/>
      <c r="CC822" s="6"/>
    </row>
    <row r="823" spans="2:81" x14ac:dyDescent="0.2">
      <c r="B823" s="68"/>
      <c r="C823" s="69"/>
      <c r="D823" s="70"/>
      <c r="F823" s="68"/>
      <c r="G823" s="69"/>
      <c r="H823" s="70"/>
      <c r="J823" s="71"/>
      <c r="K823" s="71"/>
      <c r="L823" s="67"/>
      <c r="N823" s="71"/>
      <c r="O823" s="71"/>
      <c r="P823" s="67"/>
      <c r="R823" s="67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6"/>
      <c r="BY823" s="6"/>
      <c r="BZ823" s="6"/>
      <c r="CA823" s="6"/>
      <c r="CB823" s="6"/>
      <c r="CC823" s="6"/>
    </row>
    <row r="824" spans="2:81" x14ac:dyDescent="0.2">
      <c r="B824" s="68"/>
      <c r="C824" s="69"/>
      <c r="D824" s="70"/>
      <c r="F824" s="68"/>
      <c r="G824" s="69"/>
      <c r="H824" s="70"/>
      <c r="J824" s="71"/>
      <c r="K824" s="71"/>
      <c r="L824" s="67"/>
      <c r="N824" s="71"/>
      <c r="O824" s="71"/>
      <c r="P824" s="67"/>
      <c r="R824" s="67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6"/>
      <c r="BY824" s="6"/>
      <c r="BZ824" s="6"/>
      <c r="CA824" s="6"/>
      <c r="CB824" s="6"/>
      <c r="CC824" s="6"/>
    </row>
    <row r="825" spans="2:81" x14ac:dyDescent="0.2">
      <c r="B825" s="68"/>
      <c r="C825" s="69"/>
      <c r="D825" s="70"/>
      <c r="F825" s="68"/>
      <c r="G825" s="69"/>
      <c r="H825" s="70"/>
      <c r="J825" s="71"/>
      <c r="K825" s="71"/>
      <c r="L825" s="67"/>
      <c r="N825" s="71"/>
      <c r="O825" s="71"/>
      <c r="P825" s="67"/>
      <c r="R825" s="67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6"/>
      <c r="BY825" s="6"/>
      <c r="BZ825" s="6"/>
      <c r="CA825" s="6"/>
      <c r="CB825" s="6"/>
      <c r="CC825" s="6"/>
    </row>
    <row r="826" spans="2:81" x14ac:dyDescent="0.2">
      <c r="B826" s="68"/>
      <c r="C826" s="69"/>
      <c r="D826" s="70"/>
      <c r="F826" s="68"/>
      <c r="G826" s="69"/>
      <c r="H826" s="70"/>
      <c r="J826" s="71"/>
      <c r="K826" s="71"/>
      <c r="L826" s="67"/>
      <c r="N826" s="71"/>
      <c r="O826" s="71"/>
      <c r="P826" s="67"/>
      <c r="R826" s="67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6"/>
      <c r="BY826" s="6"/>
      <c r="BZ826" s="6"/>
      <c r="CA826" s="6"/>
      <c r="CB826" s="6"/>
      <c r="CC826" s="6"/>
    </row>
    <row r="827" spans="2:81" x14ac:dyDescent="0.2">
      <c r="B827" s="68"/>
      <c r="C827" s="69"/>
      <c r="D827" s="70"/>
      <c r="F827" s="68"/>
      <c r="G827" s="69"/>
      <c r="H827" s="70"/>
      <c r="J827" s="71"/>
      <c r="K827" s="71"/>
      <c r="L827" s="67"/>
      <c r="N827" s="71"/>
      <c r="O827" s="71"/>
      <c r="P827" s="67"/>
      <c r="R827" s="67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6"/>
      <c r="BY827" s="6"/>
      <c r="BZ827" s="6"/>
      <c r="CA827" s="6"/>
      <c r="CB827" s="6"/>
      <c r="CC827" s="6"/>
    </row>
    <row r="828" spans="2:81" x14ac:dyDescent="0.2">
      <c r="B828" s="68"/>
      <c r="C828" s="69"/>
      <c r="D828" s="70"/>
      <c r="F828" s="68"/>
      <c r="G828" s="69"/>
      <c r="H828" s="70"/>
      <c r="J828" s="71"/>
      <c r="K828" s="71"/>
      <c r="L828" s="67"/>
      <c r="N828" s="71"/>
      <c r="O828" s="71"/>
      <c r="P828" s="67"/>
      <c r="R828" s="67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6"/>
      <c r="BY828" s="6"/>
      <c r="BZ828" s="6"/>
      <c r="CA828" s="6"/>
      <c r="CB828" s="6"/>
      <c r="CC828" s="6"/>
    </row>
    <row r="829" spans="2:81" x14ac:dyDescent="0.2">
      <c r="B829" s="68"/>
      <c r="C829" s="69"/>
      <c r="D829" s="70"/>
      <c r="F829" s="68"/>
      <c r="G829" s="69"/>
      <c r="H829" s="70"/>
      <c r="J829" s="71"/>
      <c r="K829" s="71"/>
      <c r="L829" s="67"/>
      <c r="N829" s="71"/>
      <c r="O829" s="71"/>
      <c r="P829" s="67"/>
      <c r="R829" s="67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6"/>
      <c r="BY829" s="6"/>
      <c r="BZ829" s="6"/>
      <c r="CA829" s="6"/>
      <c r="CB829" s="6"/>
      <c r="CC829" s="6"/>
    </row>
    <row r="830" spans="2:81" x14ac:dyDescent="0.2">
      <c r="B830" s="68"/>
      <c r="C830" s="69"/>
      <c r="D830" s="70"/>
      <c r="F830" s="68"/>
      <c r="G830" s="69"/>
      <c r="H830" s="70"/>
      <c r="J830" s="71"/>
      <c r="K830" s="71"/>
      <c r="L830" s="67"/>
      <c r="N830" s="71"/>
      <c r="O830" s="71"/>
      <c r="P830" s="67"/>
      <c r="R830" s="67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6"/>
      <c r="BY830" s="6"/>
      <c r="BZ830" s="6"/>
      <c r="CA830" s="6"/>
      <c r="CB830" s="6"/>
      <c r="CC830" s="6"/>
    </row>
    <row r="831" spans="2:81" x14ac:dyDescent="0.2">
      <c r="B831" s="68"/>
      <c r="C831" s="69"/>
      <c r="D831" s="70"/>
      <c r="F831" s="68"/>
      <c r="G831" s="69"/>
      <c r="H831" s="70"/>
      <c r="J831" s="71"/>
      <c r="K831" s="71"/>
      <c r="L831" s="67"/>
      <c r="N831" s="71"/>
      <c r="O831" s="71"/>
      <c r="P831" s="67"/>
      <c r="R831" s="67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6"/>
      <c r="BY831" s="6"/>
      <c r="BZ831" s="6"/>
      <c r="CA831" s="6"/>
      <c r="CB831" s="6"/>
      <c r="CC831" s="6"/>
    </row>
    <row r="832" spans="2:81" x14ac:dyDescent="0.2">
      <c r="B832" s="68"/>
      <c r="C832" s="69"/>
      <c r="D832" s="70"/>
      <c r="F832" s="68"/>
      <c r="G832" s="69"/>
      <c r="H832" s="70"/>
      <c r="J832" s="71"/>
      <c r="K832" s="71"/>
      <c r="L832" s="67"/>
      <c r="N832" s="71"/>
      <c r="O832" s="71"/>
      <c r="P832" s="67"/>
      <c r="R832" s="67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6"/>
      <c r="BY832" s="6"/>
      <c r="BZ832" s="6"/>
      <c r="CA832" s="6"/>
      <c r="CB832" s="6"/>
      <c r="CC832" s="6"/>
    </row>
    <row r="833" spans="2:81" x14ac:dyDescent="0.2">
      <c r="B833" s="68"/>
      <c r="C833" s="69"/>
      <c r="D833" s="70"/>
      <c r="F833" s="68"/>
      <c r="G833" s="69"/>
      <c r="H833" s="70"/>
      <c r="J833" s="71"/>
      <c r="K833" s="71"/>
      <c r="L833" s="67"/>
      <c r="N833" s="71"/>
      <c r="O833" s="71"/>
      <c r="P833" s="67"/>
      <c r="R833" s="67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6"/>
      <c r="BY833" s="6"/>
      <c r="BZ833" s="6"/>
      <c r="CA833" s="6"/>
      <c r="CB833" s="6"/>
      <c r="CC833" s="6"/>
    </row>
    <row r="834" spans="2:81" x14ac:dyDescent="0.2">
      <c r="B834" s="68"/>
      <c r="C834" s="69"/>
      <c r="D834" s="70"/>
      <c r="F834" s="68"/>
      <c r="G834" s="69"/>
      <c r="H834" s="70"/>
      <c r="J834" s="71"/>
      <c r="K834" s="71"/>
      <c r="L834" s="67"/>
      <c r="N834" s="71"/>
      <c r="O834" s="71"/>
      <c r="P834" s="67"/>
      <c r="R834" s="67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6"/>
      <c r="BY834" s="6"/>
      <c r="BZ834" s="6"/>
      <c r="CA834" s="6"/>
      <c r="CB834" s="6"/>
      <c r="CC834" s="6"/>
    </row>
    <row r="835" spans="2:81" x14ac:dyDescent="0.2">
      <c r="B835" s="68"/>
      <c r="C835" s="69"/>
      <c r="D835" s="70"/>
      <c r="F835" s="68"/>
      <c r="G835" s="69"/>
      <c r="H835" s="70"/>
      <c r="J835" s="71"/>
      <c r="K835" s="71"/>
      <c r="L835" s="67"/>
      <c r="N835" s="71"/>
      <c r="O835" s="71"/>
      <c r="P835" s="67"/>
      <c r="R835" s="67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6"/>
      <c r="BY835" s="6"/>
      <c r="BZ835" s="6"/>
      <c r="CA835" s="6"/>
      <c r="CB835" s="6"/>
      <c r="CC835" s="6"/>
    </row>
    <row r="836" spans="2:81" x14ac:dyDescent="0.2">
      <c r="B836" s="68"/>
      <c r="C836" s="69"/>
      <c r="D836" s="70"/>
      <c r="F836" s="68"/>
      <c r="G836" s="69"/>
      <c r="H836" s="70"/>
      <c r="J836" s="71"/>
      <c r="K836" s="71"/>
      <c r="L836" s="67"/>
      <c r="N836" s="71"/>
      <c r="O836" s="71"/>
      <c r="P836" s="67"/>
      <c r="R836" s="67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6"/>
      <c r="BY836" s="6"/>
      <c r="BZ836" s="6"/>
      <c r="CA836" s="6"/>
      <c r="CB836" s="6"/>
      <c r="CC836" s="6"/>
    </row>
    <row r="837" spans="2:81" x14ac:dyDescent="0.2">
      <c r="B837" s="68"/>
      <c r="C837" s="69"/>
      <c r="D837" s="70"/>
      <c r="F837" s="68"/>
      <c r="G837" s="69"/>
      <c r="H837" s="70"/>
      <c r="J837" s="71"/>
      <c r="K837" s="71"/>
      <c r="L837" s="67"/>
      <c r="N837" s="71"/>
      <c r="O837" s="71"/>
      <c r="P837" s="67"/>
      <c r="R837" s="67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6"/>
      <c r="BY837" s="6"/>
      <c r="BZ837" s="6"/>
      <c r="CA837" s="6"/>
      <c r="CB837" s="6"/>
      <c r="CC837" s="6"/>
    </row>
    <row r="838" spans="2:81" x14ac:dyDescent="0.2">
      <c r="B838" s="68"/>
      <c r="C838" s="69"/>
      <c r="D838" s="70"/>
      <c r="F838" s="68"/>
      <c r="G838" s="69"/>
      <c r="H838" s="70"/>
      <c r="J838" s="71"/>
      <c r="K838" s="71"/>
      <c r="L838" s="67"/>
      <c r="N838" s="71"/>
      <c r="O838" s="71"/>
      <c r="P838" s="67"/>
      <c r="R838" s="67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6"/>
      <c r="BY838" s="6"/>
      <c r="BZ838" s="6"/>
      <c r="CA838" s="6"/>
      <c r="CB838" s="6"/>
      <c r="CC838" s="6"/>
    </row>
    <row r="839" spans="2:81" x14ac:dyDescent="0.2">
      <c r="B839" s="68"/>
      <c r="C839" s="69"/>
      <c r="D839" s="70"/>
      <c r="F839" s="68"/>
      <c r="G839" s="69"/>
      <c r="H839" s="70"/>
      <c r="J839" s="71"/>
      <c r="K839" s="71"/>
      <c r="L839" s="67"/>
      <c r="N839" s="71"/>
      <c r="O839" s="71"/>
      <c r="P839" s="67"/>
      <c r="R839" s="67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6"/>
      <c r="BY839" s="6"/>
      <c r="BZ839" s="6"/>
      <c r="CA839" s="6"/>
      <c r="CB839" s="6"/>
      <c r="CC839" s="6"/>
    </row>
    <row r="840" spans="2:81" x14ac:dyDescent="0.2">
      <c r="B840" s="68"/>
      <c r="C840" s="69"/>
      <c r="D840" s="70"/>
      <c r="F840" s="68"/>
      <c r="G840" s="69"/>
      <c r="H840" s="70"/>
      <c r="J840" s="71"/>
      <c r="K840" s="71"/>
      <c r="L840" s="67"/>
      <c r="N840" s="71"/>
      <c r="O840" s="71"/>
      <c r="P840" s="67"/>
      <c r="R840" s="67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6"/>
      <c r="BY840" s="6"/>
      <c r="BZ840" s="6"/>
      <c r="CA840" s="6"/>
      <c r="CB840" s="6"/>
      <c r="CC840" s="6"/>
    </row>
    <row r="841" spans="2:81" x14ac:dyDescent="0.2">
      <c r="B841" s="68"/>
      <c r="C841" s="69"/>
      <c r="D841" s="70"/>
      <c r="F841" s="68"/>
      <c r="G841" s="69"/>
      <c r="H841" s="70"/>
      <c r="J841" s="71"/>
      <c r="K841" s="71"/>
      <c r="L841" s="67"/>
      <c r="N841" s="71"/>
      <c r="O841" s="71"/>
      <c r="P841" s="67"/>
      <c r="R841" s="67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6"/>
      <c r="BY841" s="6"/>
      <c r="BZ841" s="6"/>
      <c r="CA841" s="6"/>
      <c r="CB841" s="6"/>
      <c r="CC841" s="6"/>
    </row>
    <row r="842" spans="2:81" x14ac:dyDescent="0.2">
      <c r="B842" s="68"/>
      <c r="C842" s="69"/>
      <c r="D842" s="70"/>
      <c r="F842" s="68"/>
      <c r="G842" s="69"/>
      <c r="H842" s="70"/>
      <c r="J842" s="71"/>
      <c r="K842" s="71"/>
      <c r="L842" s="67"/>
      <c r="N842" s="71"/>
      <c r="O842" s="71"/>
      <c r="P842" s="67"/>
      <c r="R842" s="67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6"/>
      <c r="BY842" s="6"/>
      <c r="BZ842" s="6"/>
      <c r="CA842" s="6"/>
      <c r="CB842" s="6"/>
      <c r="CC842" s="6"/>
    </row>
    <row r="843" spans="2:81" x14ac:dyDescent="0.2">
      <c r="B843" s="68"/>
      <c r="C843" s="69"/>
      <c r="D843" s="70"/>
      <c r="F843" s="68"/>
      <c r="G843" s="69"/>
      <c r="H843" s="70"/>
      <c r="J843" s="71"/>
      <c r="K843" s="71"/>
      <c r="L843" s="67"/>
      <c r="N843" s="71"/>
      <c r="O843" s="71"/>
      <c r="P843" s="67"/>
      <c r="R843" s="67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6"/>
      <c r="BY843" s="6"/>
      <c r="BZ843" s="6"/>
      <c r="CA843" s="6"/>
      <c r="CB843" s="6"/>
      <c r="CC843" s="6"/>
    </row>
    <row r="844" spans="2:81" x14ac:dyDescent="0.2">
      <c r="B844" s="68"/>
      <c r="C844" s="69"/>
      <c r="D844" s="70"/>
      <c r="F844" s="68"/>
      <c r="G844" s="69"/>
      <c r="H844" s="70"/>
      <c r="J844" s="71"/>
      <c r="K844" s="71"/>
      <c r="L844" s="67"/>
      <c r="N844" s="71"/>
      <c r="O844" s="71"/>
      <c r="P844" s="67"/>
      <c r="R844" s="67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6"/>
      <c r="BY844" s="6"/>
      <c r="BZ844" s="6"/>
      <c r="CA844" s="6"/>
      <c r="CB844" s="6"/>
      <c r="CC844" s="6"/>
    </row>
    <row r="845" spans="2:81" x14ac:dyDescent="0.2">
      <c r="B845" s="68"/>
      <c r="C845" s="69"/>
      <c r="D845" s="70"/>
      <c r="F845" s="68"/>
      <c r="G845" s="69"/>
      <c r="H845" s="70"/>
      <c r="J845" s="71"/>
      <c r="K845" s="71"/>
      <c r="L845" s="67"/>
      <c r="N845" s="71"/>
      <c r="O845" s="71"/>
      <c r="P845" s="67"/>
      <c r="R845" s="67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6"/>
      <c r="BY845" s="6"/>
      <c r="BZ845" s="6"/>
      <c r="CA845" s="6"/>
      <c r="CB845" s="6"/>
      <c r="CC845" s="6"/>
    </row>
    <row r="846" spans="2:81" x14ac:dyDescent="0.2">
      <c r="B846" s="68"/>
      <c r="C846" s="69"/>
      <c r="D846" s="70"/>
      <c r="F846" s="68"/>
      <c r="G846" s="69"/>
      <c r="H846" s="70"/>
      <c r="J846" s="71"/>
      <c r="K846" s="71"/>
      <c r="L846" s="67"/>
      <c r="N846" s="71"/>
      <c r="O846" s="71"/>
      <c r="P846" s="67"/>
      <c r="R846" s="67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6"/>
      <c r="BY846" s="6"/>
      <c r="BZ846" s="6"/>
      <c r="CA846" s="6"/>
      <c r="CB846" s="6"/>
      <c r="CC846" s="6"/>
    </row>
    <row r="847" spans="2:81" x14ac:dyDescent="0.2">
      <c r="B847" s="68"/>
      <c r="C847" s="69"/>
      <c r="D847" s="70"/>
      <c r="F847" s="68"/>
      <c r="G847" s="69"/>
      <c r="H847" s="70"/>
      <c r="J847" s="71"/>
      <c r="K847" s="71"/>
      <c r="L847" s="67"/>
      <c r="N847" s="71"/>
      <c r="O847" s="71"/>
      <c r="P847" s="67"/>
      <c r="R847" s="67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6"/>
      <c r="BY847" s="6"/>
      <c r="BZ847" s="6"/>
      <c r="CA847" s="6"/>
      <c r="CB847" s="6"/>
      <c r="CC847" s="6"/>
    </row>
    <row r="848" spans="2:81" x14ac:dyDescent="0.2">
      <c r="B848" s="68"/>
      <c r="C848" s="69"/>
      <c r="D848" s="70"/>
      <c r="F848" s="68"/>
      <c r="G848" s="69"/>
      <c r="H848" s="70"/>
      <c r="J848" s="71"/>
      <c r="K848" s="71"/>
      <c r="L848" s="67"/>
      <c r="N848" s="71"/>
      <c r="O848" s="71"/>
      <c r="P848" s="67"/>
      <c r="R848" s="67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6"/>
      <c r="BY848" s="6"/>
      <c r="BZ848" s="6"/>
      <c r="CA848" s="6"/>
      <c r="CB848" s="6"/>
      <c r="CC848" s="6"/>
    </row>
    <row r="849" spans="2:81" x14ac:dyDescent="0.2">
      <c r="B849" s="68"/>
      <c r="C849" s="69"/>
      <c r="D849" s="70"/>
      <c r="F849" s="68"/>
      <c r="G849" s="69"/>
      <c r="H849" s="70"/>
      <c r="J849" s="71"/>
      <c r="K849" s="71"/>
      <c r="L849" s="67"/>
      <c r="N849" s="71"/>
      <c r="O849" s="71"/>
      <c r="P849" s="67"/>
      <c r="R849" s="67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6"/>
      <c r="BY849" s="6"/>
      <c r="BZ849" s="6"/>
      <c r="CA849" s="6"/>
      <c r="CB849" s="6"/>
      <c r="CC849" s="6"/>
    </row>
    <row r="850" spans="2:81" x14ac:dyDescent="0.2">
      <c r="B850" s="68"/>
      <c r="C850" s="69"/>
      <c r="D850" s="70"/>
      <c r="F850" s="68"/>
      <c r="G850" s="69"/>
      <c r="H850" s="70"/>
      <c r="J850" s="71"/>
      <c r="K850" s="71"/>
      <c r="L850" s="67"/>
      <c r="N850" s="71"/>
      <c r="O850" s="71"/>
      <c r="P850" s="67"/>
      <c r="R850" s="67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6"/>
      <c r="BY850" s="6"/>
      <c r="BZ850" s="6"/>
      <c r="CA850" s="6"/>
      <c r="CB850" s="6"/>
      <c r="CC850" s="6"/>
    </row>
    <row r="851" spans="2:81" x14ac:dyDescent="0.2">
      <c r="B851" s="68"/>
      <c r="C851" s="69"/>
      <c r="D851" s="70"/>
      <c r="F851" s="68"/>
      <c r="G851" s="69"/>
      <c r="H851" s="70"/>
      <c r="J851" s="71"/>
      <c r="K851" s="71"/>
      <c r="L851" s="67"/>
      <c r="N851" s="71"/>
      <c r="O851" s="71"/>
      <c r="P851" s="67"/>
      <c r="R851" s="67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6"/>
      <c r="BY851" s="6"/>
      <c r="BZ851" s="6"/>
      <c r="CA851" s="6"/>
      <c r="CB851" s="6"/>
      <c r="CC851" s="6"/>
    </row>
    <row r="852" spans="2:81" x14ac:dyDescent="0.2">
      <c r="B852" s="68"/>
      <c r="C852" s="69"/>
      <c r="D852" s="70"/>
      <c r="F852" s="68"/>
      <c r="G852" s="69"/>
      <c r="H852" s="70"/>
      <c r="J852" s="71"/>
      <c r="K852" s="71"/>
      <c r="L852" s="67"/>
      <c r="N852" s="71"/>
      <c r="O852" s="71"/>
      <c r="P852" s="67"/>
      <c r="R852" s="67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6"/>
      <c r="BY852" s="6"/>
      <c r="BZ852" s="6"/>
      <c r="CA852" s="6"/>
      <c r="CB852" s="6"/>
      <c r="CC852" s="6"/>
    </row>
    <row r="853" spans="2:81" x14ac:dyDescent="0.2">
      <c r="B853" s="68"/>
      <c r="C853" s="69"/>
      <c r="D853" s="70"/>
      <c r="F853" s="68"/>
      <c r="G853" s="69"/>
      <c r="H853" s="70"/>
      <c r="J853" s="71"/>
      <c r="K853" s="71"/>
      <c r="L853" s="67"/>
      <c r="N853" s="71"/>
      <c r="O853" s="71"/>
      <c r="P853" s="67"/>
      <c r="R853" s="67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6"/>
      <c r="BY853" s="6"/>
      <c r="BZ853" s="6"/>
      <c r="CA853" s="6"/>
      <c r="CB853" s="6"/>
      <c r="CC853" s="6"/>
    </row>
    <row r="854" spans="2:81" x14ac:dyDescent="0.2">
      <c r="B854" s="68"/>
      <c r="C854" s="69"/>
      <c r="D854" s="70"/>
      <c r="F854" s="68"/>
      <c r="G854" s="69"/>
      <c r="H854" s="70"/>
      <c r="J854" s="71"/>
      <c r="K854" s="71"/>
      <c r="L854" s="67"/>
      <c r="N854" s="71"/>
      <c r="O854" s="71"/>
      <c r="P854" s="67"/>
      <c r="R854" s="67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6"/>
      <c r="BY854" s="6"/>
      <c r="BZ854" s="6"/>
      <c r="CA854" s="6"/>
      <c r="CB854" s="6"/>
      <c r="CC854" s="6"/>
    </row>
    <row r="855" spans="2:81" x14ac:dyDescent="0.2">
      <c r="B855" s="68"/>
      <c r="C855" s="69"/>
      <c r="D855" s="70"/>
      <c r="F855" s="68"/>
      <c r="G855" s="69"/>
      <c r="H855" s="70"/>
      <c r="J855" s="71"/>
      <c r="K855" s="71"/>
      <c r="L855" s="67"/>
      <c r="N855" s="71"/>
      <c r="O855" s="71"/>
      <c r="P855" s="67"/>
      <c r="R855" s="67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6"/>
      <c r="BY855" s="6"/>
      <c r="BZ855" s="6"/>
      <c r="CA855" s="6"/>
      <c r="CB855" s="6"/>
      <c r="CC855" s="6"/>
    </row>
    <row r="856" spans="2:81" x14ac:dyDescent="0.2">
      <c r="B856" s="68"/>
      <c r="C856" s="69"/>
      <c r="D856" s="70"/>
      <c r="F856" s="68"/>
      <c r="G856" s="69"/>
      <c r="H856" s="70"/>
      <c r="J856" s="71"/>
      <c r="K856" s="71"/>
      <c r="L856" s="67"/>
      <c r="N856" s="71"/>
      <c r="O856" s="71"/>
      <c r="P856" s="67"/>
      <c r="R856" s="67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6"/>
      <c r="BY856" s="6"/>
      <c r="BZ856" s="6"/>
      <c r="CA856" s="6"/>
      <c r="CB856" s="6"/>
      <c r="CC856" s="6"/>
    </row>
    <row r="857" spans="2:81" x14ac:dyDescent="0.2">
      <c r="B857" s="68"/>
      <c r="C857" s="69"/>
      <c r="D857" s="70"/>
      <c r="F857" s="68"/>
      <c r="G857" s="69"/>
      <c r="H857" s="70"/>
      <c r="J857" s="71"/>
      <c r="K857" s="71"/>
      <c r="L857" s="67"/>
      <c r="N857" s="71"/>
      <c r="O857" s="71"/>
      <c r="P857" s="67"/>
      <c r="R857" s="67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6"/>
      <c r="BY857" s="6"/>
      <c r="BZ857" s="6"/>
      <c r="CA857" s="6"/>
      <c r="CB857" s="6"/>
      <c r="CC857" s="6"/>
    </row>
    <row r="858" spans="2:81" x14ac:dyDescent="0.2">
      <c r="B858" s="68"/>
      <c r="C858" s="69"/>
      <c r="D858" s="70"/>
      <c r="F858" s="68"/>
      <c r="G858" s="69"/>
      <c r="H858" s="70"/>
      <c r="J858" s="71"/>
      <c r="K858" s="71"/>
      <c r="L858" s="67"/>
      <c r="N858" s="71"/>
      <c r="O858" s="71"/>
      <c r="P858" s="67"/>
      <c r="R858" s="67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6"/>
      <c r="BY858" s="6"/>
      <c r="BZ858" s="6"/>
      <c r="CA858" s="6"/>
      <c r="CB858" s="6"/>
      <c r="CC858" s="6"/>
    </row>
    <row r="859" spans="2:81" x14ac:dyDescent="0.2">
      <c r="B859" s="68"/>
      <c r="C859" s="69"/>
      <c r="D859" s="70"/>
      <c r="F859" s="68"/>
      <c r="G859" s="69"/>
      <c r="H859" s="70"/>
      <c r="J859" s="71"/>
      <c r="K859" s="71"/>
      <c r="L859" s="67"/>
      <c r="N859" s="71"/>
      <c r="O859" s="71"/>
      <c r="P859" s="67"/>
      <c r="R859" s="67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6"/>
      <c r="BY859" s="6"/>
      <c r="BZ859" s="6"/>
      <c r="CA859" s="6"/>
      <c r="CB859" s="6"/>
      <c r="CC859" s="6"/>
    </row>
    <row r="860" spans="2:81" x14ac:dyDescent="0.2">
      <c r="B860" s="68"/>
      <c r="C860" s="69"/>
      <c r="D860" s="70"/>
      <c r="F860" s="68"/>
      <c r="G860" s="69"/>
      <c r="H860" s="70"/>
      <c r="J860" s="71"/>
      <c r="K860" s="71"/>
      <c r="L860" s="67"/>
      <c r="N860" s="71"/>
      <c r="O860" s="71"/>
      <c r="P860" s="67"/>
      <c r="R860" s="67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6"/>
      <c r="BY860" s="6"/>
      <c r="BZ860" s="6"/>
      <c r="CA860" s="6"/>
      <c r="CB860" s="6"/>
      <c r="CC860" s="6"/>
    </row>
    <row r="861" spans="2:81" x14ac:dyDescent="0.2">
      <c r="B861" s="68"/>
      <c r="C861" s="69"/>
      <c r="D861" s="70"/>
      <c r="F861" s="68"/>
      <c r="G861" s="69"/>
      <c r="H861" s="70"/>
      <c r="J861" s="71"/>
      <c r="K861" s="71"/>
      <c r="L861" s="67"/>
      <c r="N861" s="71"/>
      <c r="O861" s="71"/>
      <c r="P861" s="67"/>
      <c r="R861" s="67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6"/>
      <c r="BY861" s="6"/>
      <c r="BZ861" s="6"/>
      <c r="CA861" s="6"/>
      <c r="CB861" s="6"/>
      <c r="CC861" s="6"/>
    </row>
    <row r="862" spans="2:81" x14ac:dyDescent="0.2">
      <c r="B862" s="68"/>
      <c r="C862" s="69"/>
      <c r="D862" s="70"/>
      <c r="F862" s="68"/>
      <c r="G862" s="69"/>
      <c r="H862" s="70"/>
      <c r="J862" s="71"/>
      <c r="K862" s="71"/>
      <c r="L862" s="67"/>
      <c r="N862" s="71"/>
      <c r="O862" s="71"/>
      <c r="P862" s="67"/>
      <c r="R862" s="67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6"/>
      <c r="BY862" s="6"/>
      <c r="BZ862" s="6"/>
      <c r="CA862" s="6"/>
      <c r="CB862" s="6"/>
      <c r="CC862" s="6"/>
    </row>
    <row r="863" spans="2:81" x14ac:dyDescent="0.2">
      <c r="B863" s="68"/>
      <c r="C863" s="69"/>
      <c r="D863" s="70"/>
      <c r="F863" s="68"/>
      <c r="G863" s="69"/>
      <c r="H863" s="70"/>
      <c r="J863" s="71"/>
      <c r="K863" s="71"/>
      <c r="L863" s="67"/>
      <c r="N863" s="71"/>
      <c r="O863" s="71"/>
      <c r="P863" s="67"/>
      <c r="R863" s="67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6"/>
      <c r="BY863" s="6"/>
      <c r="BZ863" s="6"/>
      <c r="CA863" s="6"/>
      <c r="CB863" s="6"/>
      <c r="CC863" s="6"/>
    </row>
    <row r="864" spans="2:81" x14ac:dyDescent="0.2">
      <c r="B864" s="68"/>
      <c r="C864" s="69"/>
      <c r="D864" s="70"/>
      <c r="F864" s="68"/>
      <c r="G864" s="69"/>
      <c r="H864" s="70"/>
      <c r="J864" s="71"/>
      <c r="K864" s="71"/>
      <c r="L864" s="67"/>
      <c r="N864" s="71"/>
      <c r="O864" s="71"/>
      <c r="P864" s="67"/>
      <c r="R864" s="67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6"/>
      <c r="BY864" s="6"/>
      <c r="BZ864" s="6"/>
      <c r="CA864" s="6"/>
      <c r="CB864" s="6"/>
      <c r="CC864" s="6"/>
    </row>
    <row r="865" spans="2:81" x14ac:dyDescent="0.2">
      <c r="B865" s="68"/>
      <c r="C865" s="69"/>
      <c r="D865" s="70"/>
      <c r="F865" s="68"/>
      <c r="G865" s="69"/>
      <c r="H865" s="70"/>
      <c r="J865" s="71"/>
      <c r="K865" s="71"/>
      <c r="L865" s="67"/>
      <c r="N865" s="71"/>
      <c r="O865" s="71"/>
      <c r="P865" s="67"/>
      <c r="R865" s="67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6"/>
      <c r="BY865" s="6"/>
      <c r="BZ865" s="6"/>
      <c r="CA865" s="6"/>
      <c r="CB865" s="6"/>
      <c r="CC865" s="6"/>
    </row>
    <row r="866" spans="2:81" x14ac:dyDescent="0.2">
      <c r="B866" s="68"/>
      <c r="C866" s="69"/>
      <c r="D866" s="70"/>
      <c r="F866" s="68"/>
      <c r="G866" s="69"/>
      <c r="H866" s="70"/>
      <c r="J866" s="71"/>
      <c r="K866" s="71"/>
      <c r="L866" s="67"/>
      <c r="N866" s="71"/>
      <c r="O866" s="71"/>
      <c r="P866" s="67"/>
      <c r="R866" s="67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6"/>
      <c r="BY866" s="6"/>
      <c r="BZ866" s="6"/>
      <c r="CA866" s="6"/>
      <c r="CB866" s="6"/>
      <c r="CC866" s="6"/>
    </row>
    <row r="867" spans="2:81" x14ac:dyDescent="0.2">
      <c r="B867" s="68"/>
      <c r="C867" s="69"/>
      <c r="D867" s="70"/>
      <c r="F867" s="68"/>
      <c r="G867" s="69"/>
      <c r="H867" s="70"/>
      <c r="J867" s="71"/>
      <c r="K867" s="71"/>
      <c r="L867" s="67"/>
      <c r="N867" s="71"/>
      <c r="O867" s="71"/>
      <c r="P867" s="67"/>
      <c r="R867" s="67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6"/>
      <c r="BY867" s="6"/>
      <c r="BZ867" s="6"/>
      <c r="CA867" s="6"/>
      <c r="CB867" s="6"/>
      <c r="CC867" s="6"/>
    </row>
    <row r="868" spans="2:81" x14ac:dyDescent="0.2">
      <c r="B868" s="68"/>
      <c r="C868" s="69"/>
      <c r="D868" s="70"/>
      <c r="F868" s="68"/>
      <c r="G868" s="69"/>
      <c r="H868" s="70"/>
      <c r="J868" s="71"/>
      <c r="K868" s="71"/>
      <c r="L868" s="67"/>
      <c r="N868" s="71"/>
      <c r="O868" s="71"/>
      <c r="P868" s="67"/>
      <c r="R868" s="67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6"/>
      <c r="BY868" s="6"/>
      <c r="BZ868" s="6"/>
      <c r="CA868" s="6"/>
      <c r="CB868" s="6"/>
      <c r="CC868" s="6"/>
    </row>
    <row r="869" spans="2:81" x14ac:dyDescent="0.2">
      <c r="B869" s="68"/>
      <c r="C869" s="69"/>
      <c r="D869" s="70"/>
      <c r="F869" s="68"/>
      <c r="G869" s="69"/>
      <c r="H869" s="70"/>
      <c r="J869" s="71"/>
      <c r="K869" s="71"/>
      <c r="L869" s="67"/>
      <c r="N869" s="71"/>
      <c r="O869" s="71"/>
      <c r="P869" s="67"/>
      <c r="R869" s="67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6"/>
      <c r="BY869" s="6"/>
      <c r="BZ869" s="6"/>
      <c r="CA869" s="6"/>
      <c r="CB869" s="6"/>
      <c r="CC869" s="6"/>
    </row>
    <row r="870" spans="2:81" x14ac:dyDescent="0.2">
      <c r="B870" s="68"/>
      <c r="C870" s="69"/>
      <c r="D870" s="70"/>
      <c r="F870" s="68"/>
      <c r="G870" s="69"/>
      <c r="H870" s="70"/>
      <c r="J870" s="71"/>
      <c r="K870" s="71"/>
      <c r="L870" s="67"/>
      <c r="N870" s="71"/>
      <c r="O870" s="71"/>
      <c r="P870" s="67"/>
      <c r="R870" s="67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6"/>
      <c r="BY870" s="6"/>
      <c r="BZ870" s="6"/>
      <c r="CA870" s="6"/>
      <c r="CB870" s="6"/>
      <c r="CC870" s="6"/>
    </row>
    <row r="871" spans="2:81" x14ac:dyDescent="0.2">
      <c r="B871" s="68"/>
      <c r="C871" s="69"/>
      <c r="D871" s="70"/>
      <c r="F871" s="68"/>
      <c r="G871" s="69"/>
      <c r="H871" s="70"/>
      <c r="J871" s="71"/>
      <c r="K871" s="71"/>
      <c r="L871" s="67"/>
      <c r="N871" s="71"/>
      <c r="O871" s="71"/>
      <c r="P871" s="67"/>
      <c r="R871" s="67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6"/>
      <c r="BY871" s="6"/>
      <c r="BZ871" s="6"/>
      <c r="CA871" s="6"/>
      <c r="CB871" s="6"/>
      <c r="CC871" s="6"/>
    </row>
    <row r="872" spans="2:81" x14ac:dyDescent="0.2">
      <c r="B872" s="68"/>
      <c r="C872" s="69"/>
      <c r="D872" s="70"/>
      <c r="F872" s="68"/>
      <c r="G872" s="69"/>
      <c r="H872" s="70"/>
      <c r="J872" s="71"/>
      <c r="K872" s="71"/>
      <c r="L872" s="67"/>
      <c r="N872" s="71"/>
      <c r="O872" s="71"/>
      <c r="P872" s="67"/>
      <c r="R872" s="67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6"/>
      <c r="BY872" s="6"/>
      <c r="BZ872" s="6"/>
      <c r="CA872" s="6"/>
      <c r="CB872" s="6"/>
      <c r="CC872" s="6"/>
    </row>
    <row r="873" spans="2:81" x14ac:dyDescent="0.2">
      <c r="B873" s="68"/>
      <c r="C873" s="69"/>
      <c r="D873" s="70"/>
      <c r="F873" s="68"/>
      <c r="G873" s="69"/>
      <c r="H873" s="70"/>
      <c r="J873" s="71"/>
      <c r="K873" s="71"/>
      <c r="L873" s="67"/>
      <c r="N873" s="71"/>
      <c r="O873" s="71"/>
      <c r="P873" s="67"/>
      <c r="R873" s="67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6"/>
      <c r="BY873" s="6"/>
      <c r="BZ873" s="6"/>
      <c r="CA873" s="6"/>
      <c r="CB873" s="6"/>
      <c r="CC873" s="6"/>
    </row>
    <row r="874" spans="2:81" x14ac:dyDescent="0.2">
      <c r="B874" s="68"/>
      <c r="C874" s="69"/>
      <c r="D874" s="70"/>
      <c r="F874" s="68"/>
      <c r="G874" s="69"/>
      <c r="H874" s="70"/>
      <c r="J874" s="71"/>
      <c r="K874" s="71"/>
      <c r="L874" s="67"/>
      <c r="N874" s="71"/>
      <c r="O874" s="71"/>
      <c r="P874" s="67"/>
      <c r="R874" s="67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6"/>
      <c r="BY874" s="6"/>
      <c r="BZ874" s="6"/>
      <c r="CA874" s="6"/>
      <c r="CB874" s="6"/>
      <c r="CC874" s="6"/>
    </row>
    <row r="875" spans="2:81" x14ac:dyDescent="0.2">
      <c r="B875" s="68"/>
      <c r="C875" s="69"/>
      <c r="D875" s="70"/>
      <c r="F875" s="68"/>
      <c r="G875" s="69"/>
      <c r="H875" s="70"/>
      <c r="J875" s="71"/>
      <c r="K875" s="71"/>
      <c r="L875" s="67"/>
      <c r="N875" s="71"/>
      <c r="O875" s="71"/>
      <c r="P875" s="67"/>
      <c r="R875" s="67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6"/>
      <c r="BY875" s="6"/>
      <c r="BZ875" s="6"/>
      <c r="CA875" s="6"/>
      <c r="CB875" s="6"/>
      <c r="CC875" s="6"/>
    </row>
    <row r="876" spans="2:81" x14ac:dyDescent="0.2">
      <c r="B876" s="68"/>
      <c r="C876" s="69"/>
      <c r="D876" s="70"/>
      <c r="F876" s="68"/>
      <c r="G876" s="69"/>
      <c r="H876" s="70"/>
      <c r="J876" s="71"/>
      <c r="K876" s="71"/>
      <c r="L876" s="67"/>
      <c r="N876" s="71"/>
      <c r="O876" s="71"/>
      <c r="P876" s="67"/>
      <c r="R876" s="67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6"/>
      <c r="BY876" s="6"/>
      <c r="BZ876" s="6"/>
      <c r="CA876" s="6"/>
      <c r="CB876" s="6"/>
      <c r="CC876" s="6"/>
    </row>
    <row r="877" spans="2:81" x14ac:dyDescent="0.2">
      <c r="B877" s="68"/>
      <c r="C877" s="69"/>
      <c r="D877" s="70"/>
      <c r="F877" s="68"/>
      <c r="G877" s="69"/>
      <c r="H877" s="70"/>
      <c r="J877" s="71"/>
      <c r="K877" s="71"/>
      <c r="L877" s="67"/>
      <c r="N877" s="71"/>
      <c r="O877" s="71"/>
      <c r="P877" s="67"/>
      <c r="R877" s="67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6"/>
      <c r="BY877" s="6"/>
      <c r="BZ877" s="6"/>
      <c r="CA877" s="6"/>
      <c r="CB877" s="6"/>
      <c r="CC877" s="6"/>
    </row>
    <row r="878" spans="2:81" x14ac:dyDescent="0.2">
      <c r="B878" s="68"/>
      <c r="C878" s="69"/>
      <c r="D878" s="70"/>
      <c r="F878" s="68"/>
      <c r="G878" s="69"/>
      <c r="H878" s="70"/>
      <c r="J878" s="71"/>
      <c r="K878" s="71"/>
      <c r="L878" s="67"/>
      <c r="N878" s="71"/>
      <c r="O878" s="71"/>
      <c r="P878" s="67"/>
      <c r="R878" s="67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6"/>
      <c r="BY878" s="6"/>
      <c r="BZ878" s="6"/>
      <c r="CA878" s="6"/>
      <c r="CB878" s="6"/>
      <c r="CC878" s="6"/>
    </row>
    <row r="879" spans="2:81" x14ac:dyDescent="0.2">
      <c r="B879" s="68"/>
      <c r="C879" s="69"/>
      <c r="D879" s="70"/>
      <c r="F879" s="68"/>
      <c r="G879" s="69"/>
      <c r="H879" s="70"/>
      <c r="J879" s="71"/>
      <c r="K879" s="71"/>
      <c r="L879" s="67"/>
      <c r="N879" s="71"/>
      <c r="O879" s="71"/>
      <c r="P879" s="67"/>
      <c r="R879" s="67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6"/>
      <c r="BY879" s="6"/>
      <c r="BZ879" s="6"/>
      <c r="CA879" s="6"/>
      <c r="CB879" s="6"/>
      <c r="CC879" s="6"/>
    </row>
    <row r="880" spans="2:81" x14ac:dyDescent="0.2">
      <c r="B880" s="68"/>
      <c r="C880" s="69"/>
      <c r="D880" s="70"/>
      <c r="F880" s="68"/>
      <c r="G880" s="69"/>
      <c r="H880" s="70"/>
      <c r="J880" s="71"/>
      <c r="K880" s="71"/>
      <c r="L880" s="67"/>
      <c r="N880" s="71"/>
      <c r="O880" s="71"/>
      <c r="P880" s="67"/>
      <c r="R880" s="67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6"/>
      <c r="BY880" s="6"/>
      <c r="BZ880" s="6"/>
      <c r="CA880" s="6"/>
      <c r="CB880" s="6"/>
      <c r="CC880" s="6"/>
    </row>
    <row r="881" spans="2:81" x14ac:dyDescent="0.2">
      <c r="B881" s="68"/>
      <c r="C881" s="69"/>
      <c r="D881" s="70"/>
      <c r="F881" s="68"/>
      <c r="G881" s="69"/>
      <c r="H881" s="70"/>
      <c r="J881" s="71"/>
      <c r="K881" s="71"/>
      <c r="L881" s="67"/>
      <c r="N881" s="71"/>
      <c r="O881" s="71"/>
      <c r="P881" s="67"/>
      <c r="R881" s="67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6"/>
      <c r="BY881" s="6"/>
      <c r="BZ881" s="6"/>
      <c r="CA881" s="6"/>
      <c r="CB881" s="6"/>
      <c r="CC881" s="6"/>
    </row>
    <row r="882" spans="2:81" x14ac:dyDescent="0.2">
      <c r="B882" s="68"/>
      <c r="C882" s="69"/>
      <c r="D882" s="70"/>
      <c r="F882" s="68"/>
      <c r="G882" s="69"/>
      <c r="H882" s="70"/>
      <c r="J882" s="71"/>
      <c r="K882" s="71"/>
      <c r="L882" s="67"/>
      <c r="N882" s="71"/>
      <c r="O882" s="71"/>
      <c r="P882" s="67"/>
      <c r="R882" s="67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6"/>
      <c r="BY882" s="6"/>
      <c r="BZ882" s="6"/>
      <c r="CA882" s="6"/>
      <c r="CB882" s="6"/>
      <c r="CC882" s="6"/>
    </row>
    <row r="883" spans="2:81" x14ac:dyDescent="0.2">
      <c r="B883" s="68"/>
      <c r="C883" s="69"/>
      <c r="D883" s="70"/>
      <c r="F883" s="68"/>
      <c r="G883" s="69"/>
      <c r="H883" s="70"/>
      <c r="J883" s="71"/>
      <c r="K883" s="71"/>
      <c r="L883" s="67"/>
      <c r="N883" s="71"/>
      <c r="O883" s="71"/>
      <c r="P883" s="67"/>
      <c r="R883" s="67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6"/>
      <c r="BY883" s="6"/>
      <c r="BZ883" s="6"/>
      <c r="CA883" s="6"/>
      <c r="CB883" s="6"/>
      <c r="CC883" s="6"/>
    </row>
    <row r="884" spans="2:81" x14ac:dyDescent="0.2">
      <c r="B884" s="68"/>
      <c r="C884" s="69"/>
      <c r="D884" s="70"/>
      <c r="F884" s="68"/>
      <c r="G884" s="69"/>
      <c r="H884" s="70"/>
      <c r="J884" s="71"/>
      <c r="K884" s="71"/>
      <c r="L884" s="67"/>
      <c r="N884" s="71"/>
      <c r="O884" s="71"/>
      <c r="P884" s="67"/>
      <c r="R884" s="67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6"/>
      <c r="BY884" s="6"/>
      <c r="BZ884" s="6"/>
      <c r="CA884" s="6"/>
      <c r="CB884" s="6"/>
      <c r="CC884" s="6"/>
    </row>
    <row r="885" spans="2:81" x14ac:dyDescent="0.2">
      <c r="B885" s="68"/>
      <c r="C885" s="69"/>
      <c r="D885" s="70"/>
      <c r="F885" s="68"/>
      <c r="G885" s="69"/>
      <c r="H885" s="70"/>
      <c r="J885" s="71"/>
      <c r="K885" s="71"/>
      <c r="L885" s="67"/>
      <c r="N885" s="71"/>
      <c r="O885" s="71"/>
      <c r="P885" s="67"/>
      <c r="R885" s="67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6"/>
      <c r="BY885" s="6"/>
      <c r="BZ885" s="6"/>
      <c r="CA885" s="6"/>
      <c r="CB885" s="6"/>
      <c r="CC885" s="6"/>
    </row>
    <row r="886" spans="2:81" x14ac:dyDescent="0.2">
      <c r="B886" s="68"/>
      <c r="C886" s="69"/>
      <c r="D886" s="70"/>
      <c r="F886" s="68"/>
      <c r="G886" s="69"/>
      <c r="H886" s="70"/>
      <c r="J886" s="71"/>
      <c r="K886" s="71"/>
      <c r="L886" s="67"/>
      <c r="N886" s="71"/>
      <c r="O886" s="71"/>
      <c r="P886" s="67"/>
      <c r="R886" s="67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6"/>
      <c r="BY886" s="6"/>
      <c r="BZ886" s="6"/>
      <c r="CA886" s="6"/>
      <c r="CB886" s="6"/>
      <c r="CC886" s="6"/>
    </row>
    <row r="887" spans="2:81" x14ac:dyDescent="0.2">
      <c r="B887" s="68"/>
      <c r="C887" s="69"/>
      <c r="D887" s="70"/>
      <c r="F887" s="68"/>
      <c r="G887" s="69"/>
      <c r="H887" s="70"/>
      <c r="J887" s="71"/>
      <c r="K887" s="71"/>
      <c r="L887" s="67"/>
      <c r="N887" s="71"/>
      <c r="O887" s="71"/>
      <c r="P887" s="67"/>
      <c r="R887" s="67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6"/>
      <c r="BY887" s="6"/>
      <c r="BZ887" s="6"/>
      <c r="CA887" s="6"/>
      <c r="CB887" s="6"/>
      <c r="CC887" s="6"/>
    </row>
    <row r="888" spans="2:81" x14ac:dyDescent="0.2">
      <c r="B888" s="68"/>
      <c r="C888" s="69"/>
      <c r="D888" s="70"/>
      <c r="F888" s="68"/>
      <c r="G888" s="69"/>
      <c r="H888" s="70"/>
      <c r="J888" s="71"/>
      <c r="K888" s="71"/>
      <c r="L888" s="67"/>
      <c r="N888" s="71"/>
      <c r="O888" s="71"/>
      <c r="P888" s="67"/>
      <c r="R888" s="67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6"/>
      <c r="BY888" s="6"/>
      <c r="BZ888" s="6"/>
      <c r="CA888" s="6"/>
      <c r="CB888" s="6"/>
      <c r="CC888" s="6"/>
    </row>
    <row r="889" spans="2:81" x14ac:dyDescent="0.2">
      <c r="B889" s="68"/>
      <c r="C889" s="69"/>
      <c r="D889" s="70"/>
      <c r="F889" s="68"/>
      <c r="G889" s="69"/>
      <c r="H889" s="70"/>
      <c r="J889" s="71"/>
      <c r="K889" s="71"/>
      <c r="L889" s="67"/>
      <c r="N889" s="71"/>
      <c r="O889" s="71"/>
      <c r="P889" s="67"/>
      <c r="R889" s="67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6"/>
      <c r="BY889" s="6"/>
      <c r="BZ889" s="6"/>
      <c r="CA889" s="6"/>
      <c r="CB889" s="6"/>
      <c r="CC889" s="6"/>
    </row>
    <row r="890" spans="2:81" x14ac:dyDescent="0.2">
      <c r="B890" s="68"/>
      <c r="C890" s="69"/>
      <c r="D890" s="70"/>
      <c r="F890" s="68"/>
      <c r="G890" s="69"/>
      <c r="H890" s="70"/>
      <c r="J890" s="71"/>
      <c r="K890" s="71"/>
      <c r="L890" s="67"/>
      <c r="N890" s="71"/>
      <c r="O890" s="71"/>
      <c r="P890" s="67"/>
      <c r="R890" s="67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6"/>
      <c r="BY890" s="6"/>
      <c r="BZ890" s="6"/>
      <c r="CA890" s="6"/>
      <c r="CB890" s="6"/>
      <c r="CC890" s="6"/>
    </row>
    <row r="891" spans="2:81" x14ac:dyDescent="0.2">
      <c r="B891" s="68"/>
      <c r="C891" s="69"/>
      <c r="D891" s="70"/>
      <c r="F891" s="68"/>
      <c r="G891" s="69"/>
      <c r="H891" s="70"/>
      <c r="J891" s="71"/>
      <c r="K891" s="71"/>
      <c r="L891" s="67"/>
      <c r="N891" s="71"/>
      <c r="O891" s="71"/>
      <c r="P891" s="67"/>
      <c r="R891" s="67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6"/>
      <c r="BY891" s="6"/>
      <c r="BZ891" s="6"/>
      <c r="CA891" s="6"/>
      <c r="CB891" s="6"/>
      <c r="CC891" s="6"/>
    </row>
    <row r="892" spans="2:81" x14ac:dyDescent="0.2">
      <c r="B892" s="68"/>
      <c r="C892" s="69"/>
      <c r="D892" s="70"/>
      <c r="F892" s="68"/>
      <c r="G892" s="69"/>
      <c r="H892" s="70"/>
      <c r="J892" s="71"/>
      <c r="K892" s="71"/>
      <c r="L892" s="67"/>
      <c r="N892" s="71"/>
      <c r="O892" s="71"/>
      <c r="P892" s="67"/>
      <c r="R892" s="67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6"/>
      <c r="BY892" s="6"/>
      <c r="BZ892" s="6"/>
      <c r="CA892" s="6"/>
      <c r="CB892" s="6"/>
      <c r="CC892" s="6"/>
    </row>
    <row r="893" spans="2:81" x14ac:dyDescent="0.2">
      <c r="B893" s="68"/>
      <c r="C893" s="69"/>
      <c r="D893" s="70"/>
      <c r="F893" s="68"/>
      <c r="G893" s="69"/>
      <c r="H893" s="70"/>
      <c r="J893" s="71"/>
      <c r="K893" s="71"/>
      <c r="L893" s="67"/>
      <c r="N893" s="71"/>
      <c r="O893" s="71"/>
      <c r="P893" s="67"/>
      <c r="R893" s="67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6"/>
      <c r="BY893" s="6"/>
      <c r="BZ893" s="6"/>
      <c r="CA893" s="6"/>
      <c r="CB893" s="6"/>
      <c r="CC893" s="6"/>
    </row>
    <row r="894" spans="2:81" x14ac:dyDescent="0.2">
      <c r="B894" s="68"/>
      <c r="C894" s="69"/>
      <c r="D894" s="70"/>
      <c r="F894" s="68"/>
      <c r="G894" s="69"/>
      <c r="H894" s="70"/>
      <c r="J894" s="71"/>
      <c r="K894" s="71"/>
      <c r="L894" s="67"/>
      <c r="N894" s="71"/>
      <c r="O894" s="71"/>
      <c r="P894" s="67"/>
      <c r="R894" s="67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6"/>
      <c r="BY894" s="6"/>
      <c r="BZ894" s="6"/>
      <c r="CA894" s="6"/>
      <c r="CB894" s="6"/>
      <c r="CC894" s="6"/>
    </row>
    <row r="895" spans="2:81" x14ac:dyDescent="0.2">
      <c r="B895" s="68"/>
      <c r="C895" s="69"/>
      <c r="D895" s="70"/>
      <c r="F895" s="68"/>
      <c r="G895" s="69"/>
      <c r="H895" s="70"/>
      <c r="J895" s="71"/>
      <c r="K895" s="71"/>
      <c r="L895" s="67"/>
      <c r="N895" s="71"/>
      <c r="O895" s="71"/>
      <c r="P895" s="67"/>
      <c r="R895" s="67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6"/>
      <c r="BY895" s="6"/>
      <c r="BZ895" s="6"/>
      <c r="CA895" s="6"/>
      <c r="CB895" s="6"/>
      <c r="CC895" s="6"/>
    </row>
    <row r="896" spans="2:81" x14ac:dyDescent="0.2">
      <c r="B896" s="68"/>
      <c r="C896" s="69"/>
      <c r="D896" s="70"/>
      <c r="F896" s="68"/>
      <c r="G896" s="69"/>
      <c r="H896" s="70"/>
      <c r="J896" s="71"/>
      <c r="K896" s="71"/>
      <c r="L896" s="67"/>
      <c r="N896" s="71"/>
      <c r="O896" s="71"/>
      <c r="P896" s="67"/>
      <c r="R896" s="67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6"/>
      <c r="BY896" s="6"/>
      <c r="BZ896" s="6"/>
      <c r="CA896" s="6"/>
      <c r="CB896" s="6"/>
      <c r="CC896" s="6"/>
    </row>
    <row r="897" spans="2:81" x14ac:dyDescent="0.2">
      <c r="B897" s="68"/>
      <c r="C897" s="69"/>
      <c r="D897" s="70"/>
      <c r="F897" s="68"/>
      <c r="G897" s="69"/>
      <c r="H897" s="70"/>
      <c r="J897" s="71"/>
      <c r="K897" s="71"/>
      <c r="L897" s="67"/>
      <c r="N897" s="71"/>
      <c r="O897" s="71"/>
      <c r="P897" s="67"/>
      <c r="R897" s="67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6"/>
      <c r="BY897" s="6"/>
      <c r="BZ897" s="6"/>
      <c r="CA897" s="6"/>
      <c r="CB897" s="6"/>
      <c r="CC897" s="6"/>
    </row>
    <row r="898" spans="2:81" x14ac:dyDescent="0.2">
      <c r="B898" s="68"/>
      <c r="C898" s="69"/>
      <c r="D898" s="70"/>
      <c r="F898" s="68"/>
      <c r="G898" s="69"/>
      <c r="H898" s="70"/>
      <c r="J898" s="71"/>
      <c r="K898" s="71"/>
      <c r="L898" s="67"/>
      <c r="N898" s="71"/>
      <c r="O898" s="71"/>
      <c r="P898" s="67"/>
      <c r="R898" s="67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6"/>
      <c r="BY898" s="6"/>
      <c r="BZ898" s="6"/>
      <c r="CA898" s="6"/>
      <c r="CB898" s="6"/>
      <c r="CC898" s="6"/>
    </row>
    <row r="899" spans="2:81" x14ac:dyDescent="0.2">
      <c r="B899" s="68"/>
      <c r="C899" s="69"/>
      <c r="D899" s="70"/>
      <c r="F899" s="68"/>
      <c r="G899" s="69"/>
      <c r="H899" s="70"/>
      <c r="J899" s="71"/>
      <c r="K899" s="71"/>
      <c r="L899" s="67"/>
      <c r="N899" s="71"/>
      <c r="O899" s="71"/>
      <c r="P899" s="67"/>
      <c r="R899" s="67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6"/>
      <c r="BY899" s="6"/>
      <c r="BZ899" s="6"/>
      <c r="CA899" s="6"/>
      <c r="CB899" s="6"/>
      <c r="CC899" s="6"/>
    </row>
    <row r="900" spans="2:81" x14ac:dyDescent="0.2">
      <c r="B900" s="68"/>
      <c r="C900" s="69"/>
      <c r="D900" s="70"/>
      <c r="F900" s="68"/>
      <c r="G900" s="69"/>
      <c r="H900" s="70"/>
      <c r="J900" s="71"/>
      <c r="K900" s="71"/>
      <c r="L900" s="67"/>
      <c r="N900" s="71"/>
      <c r="O900" s="71"/>
      <c r="P900" s="67"/>
      <c r="R900" s="67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6"/>
      <c r="BY900" s="6"/>
      <c r="BZ900" s="6"/>
      <c r="CA900" s="6"/>
      <c r="CB900" s="6"/>
      <c r="CC900" s="6"/>
    </row>
    <row r="901" spans="2:81" x14ac:dyDescent="0.2">
      <c r="B901" s="68"/>
      <c r="C901" s="69"/>
      <c r="D901" s="70"/>
      <c r="F901" s="68"/>
      <c r="G901" s="69"/>
      <c r="H901" s="70"/>
      <c r="J901" s="71"/>
      <c r="K901" s="71"/>
      <c r="L901" s="67"/>
      <c r="N901" s="71"/>
      <c r="O901" s="71"/>
      <c r="P901" s="67"/>
      <c r="R901" s="67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6"/>
      <c r="BY901" s="6"/>
      <c r="BZ901" s="6"/>
      <c r="CA901" s="6"/>
      <c r="CB901" s="6"/>
      <c r="CC901" s="6"/>
    </row>
    <row r="902" spans="2:81" x14ac:dyDescent="0.2">
      <c r="B902" s="68"/>
      <c r="C902" s="69"/>
      <c r="D902" s="70"/>
      <c r="F902" s="68"/>
      <c r="G902" s="69"/>
      <c r="H902" s="70"/>
      <c r="J902" s="71"/>
      <c r="K902" s="71"/>
      <c r="L902" s="67"/>
      <c r="N902" s="71"/>
      <c r="O902" s="71"/>
      <c r="P902" s="67"/>
      <c r="R902" s="67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6"/>
      <c r="BY902" s="6"/>
      <c r="BZ902" s="6"/>
      <c r="CA902" s="6"/>
      <c r="CB902" s="6"/>
      <c r="CC902" s="6"/>
    </row>
    <row r="903" spans="2:81" x14ac:dyDescent="0.2">
      <c r="B903" s="68"/>
      <c r="C903" s="69"/>
      <c r="D903" s="70"/>
      <c r="F903" s="68"/>
      <c r="G903" s="69"/>
      <c r="H903" s="70"/>
      <c r="J903" s="71"/>
      <c r="K903" s="71"/>
      <c r="L903" s="67"/>
      <c r="N903" s="71"/>
      <c r="O903" s="71"/>
      <c r="P903" s="67"/>
      <c r="R903" s="67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6"/>
      <c r="BY903" s="6"/>
      <c r="BZ903" s="6"/>
      <c r="CA903" s="6"/>
      <c r="CB903" s="6"/>
      <c r="CC903" s="6"/>
    </row>
    <row r="904" spans="2:81" x14ac:dyDescent="0.2">
      <c r="B904" s="68"/>
      <c r="C904" s="69"/>
      <c r="D904" s="70"/>
      <c r="F904" s="68"/>
      <c r="G904" s="69"/>
      <c r="H904" s="70"/>
      <c r="J904" s="71"/>
      <c r="K904" s="71"/>
      <c r="L904" s="67"/>
      <c r="N904" s="71"/>
      <c r="O904" s="71"/>
      <c r="P904" s="67"/>
      <c r="R904" s="67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6"/>
      <c r="BY904" s="6"/>
      <c r="BZ904" s="6"/>
      <c r="CA904" s="6"/>
      <c r="CB904" s="6"/>
      <c r="CC904" s="6"/>
    </row>
    <row r="905" spans="2:81" x14ac:dyDescent="0.2">
      <c r="B905" s="68"/>
      <c r="C905" s="69"/>
      <c r="D905" s="70"/>
      <c r="F905" s="68"/>
      <c r="G905" s="69"/>
      <c r="H905" s="70"/>
      <c r="J905" s="71"/>
      <c r="K905" s="71"/>
      <c r="L905" s="67"/>
      <c r="N905" s="71"/>
      <c r="O905" s="71"/>
      <c r="P905" s="67"/>
      <c r="R905" s="67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6"/>
      <c r="BY905" s="6"/>
      <c r="BZ905" s="6"/>
      <c r="CA905" s="6"/>
      <c r="CB905" s="6"/>
      <c r="CC905" s="6"/>
    </row>
    <row r="906" spans="2:81" x14ac:dyDescent="0.2">
      <c r="B906" s="68"/>
      <c r="C906" s="69"/>
      <c r="D906" s="70"/>
      <c r="F906" s="68"/>
      <c r="G906" s="69"/>
      <c r="H906" s="70"/>
      <c r="J906" s="71"/>
      <c r="K906" s="71"/>
      <c r="L906" s="67"/>
      <c r="N906" s="71"/>
      <c r="O906" s="71"/>
      <c r="P906" s="67"/>
      <c r="R906" s="67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6"/>
      <c r="BY906" s="6"/>
      <c r="BZ906" s="6"/>
      <c r="CA906" s="6"/>
      <c r="CB906" s="6"/>
      <c r="CC906" s="6"/>
    </row>
    <row r="907" spans="2:81" x14ac:dyDescent="0.2">
      <c r="B907" s="68"/>
      <c r="C907" s="69"/>
      <c r="D907" s="70"/>
      <c r="F907" s="68"/>
      <c r="G907" s="69"/>
      <c r="H907" s="70"/>
      <c r="J907" s="71"/>
      <c r="K907" s="71"/>
      <c r="L907" s="67"/>
      <c r="N907" s="71"/>
      <c r="O907" s="71"/>
      <c r="P907" s="67"/>
      <c r="R907" s="67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6"/>
      <c r="BY907" s="6"/>
      <c r="BZ907" s="6"/>
      <c r="CA907" s="6"/>
      <c r="CB907" s="6"/>
      <c r="CC907" s="6"/>
    </row>
    <row r="908" spans="2:81" x14ac:dyDescent="0.2">
      <c r="B908" s="68"/>
      <c r="C908" s="69"/>
      <c r="D908" s="70"/>
      <c r="F908" s="68"/>
      <c r="G908" s="69"/>
      <c r="H908" s="70"/>
      <c r="J908" s="71"/>
      <c r="K908" s="71"/>
      <c r="L908" s="67"/>
      <c r="N908" s="71"/>
      <c r="O908" s="71"/>
      <c r="P908" s="67"/>
      <c r="R908" s="67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6"/>
      <c r="BY908" s="6"/>
      <c r="BZ908" s="6"/>
      <c r="CA908" s="6"/>
      <c r="CB908" s="6"/>
      <c r="CC908" s="6"/>
    </row>
    <row r="909" spans="2:81" x14ac:dyDescent="0.2">
      <c r="B909" s="68"/>
      <c r="C909" s="69"/>
      <c r="D909" s="70"/>
      <c r="F909" s="68"/>
      <c r="G909" s="69"/>
      <c r="H909" s="70"/>
      <c r="J909" s="71"/>
      <c r="K909" s="71"/>
      <c r="L909" s="67"/>
      <c r="N909" s="71"/>
      <c r="O909" s="71"/>
      <c r="P909" s="67"/>
      <c r="R909" s="67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6"/>
      <c r="BY909" s="6"/>
      <c r="BZ909" s="6"/>
      <c r="CA909" s="6"/>
      <c r="CB909" s="6"/>
      <c r="CC909" s="6"/>
    </row>
    <row r="910" spans="2:81" x14ac:dyDescent="0.2">
      <c r="B910" s="68"/>
      <c r="C910" s="69"/>
      <c r="D910" s="70"/>
      <c r="F910" s="68"/>
      <c r="G910" s="69"/>
      <c r="H910" s="70"/>
      <c r="J910" s="71"/>
      <c r="K910" s="71"/>
      <c r="L910" s="67"/>
      <c r="N910" s="71"/>
      <c r="O910" s="71"/>
      <c r="P910" s="67"/>
      <c r="R910" s="67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6"/>
      <c r="BY910" s="6"/>
      <c r="BZ910" s="6"/>
      <c r="CA910" s="6"/>
      <c r="CB910" s="6"/>
      <c r="CC910" s="6"/>
    </row>
    <row r="911" spans="2:81" x14ac:dyDescent="0.2">
      <c r="B911" s="68"/>
      <c r="C911" s="69"/>
      <c r="D911" s="70"/>
      <c r="F911" s="68"/>
      <c r="G911" s="69"/>
      <c r="H911" s="70"/>
      <c r="J911" s="71"/>
      <c r="K911" s="71"/>
      <c r="L911" s="67"/>
      <c r="N911" s="71"/>
      <c r="O911" s="71"/>
      <c r="P911" s="67"/>
      <c r="R911" s="67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6"/>
      <c r="BY911" s="6"/>
      <c r="BZ911" s="6"/>
      <c r="CA911" s="6"/>
      <c r="CB911" s="6"/>
      <c r="CC911" s="6"/>
    </row>
    <row r="912" spans="2:81" x14ac:dyDescent="0.2">
      <c r="B912" s="68"/>
      <c r="C912" s="69"/>
      <c r="D912" s="70"/>
      <c r="F912" s="68"/>
      <c r="G912" s="69"/>
      <c r="H912" s="70"/>
      <c r="J912" s="71"/>
      <c r="K912" s="71"/>
      <c r="L912" s="67"/>
      <c r="N912" s="71"/>
      <c r="O912" s="71"/>
      <c r="P912" s="67"/>
      <c r="R912" s="67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6"/>
      <c r="BY912" s="6"/>
      <c r="BZ912" s="6"/>
      <c r="CA912" s="6"/>
      <c r="CB912" s="6"/>
      <c r="CC912" s="6"/>
    </row>
    <row r="913" spans="2:81" x14ac:dyDescent="0.2">
      <c r="B913" s="68"/>
      <c r="C913" s="69"/>
      <c r="D913" s="70"/>
      <c r="F913" s="68"/>
      <c r="G913" s="69"/>
      <c r="H913" s="70"/>
      <c r="J913" s="71"/>
      <c r="K913" s="71"/>
      <c r="L913" s="67"/>
      <c r="N913" s="71"/>
      <c r="O913" s="71"/>
      <c r="P913" s="67"/>
      <c r="R913" s="67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6"/>
      <c r="BY913" s="6"/>
      <c r="BZ913" s="6"/>
      <c r="CA913" s="6"/>
      <c r="CB913" s="6"/>
      <c r="CC913" s="6"/>
    </row>
    <row r="914" spans="2:81" x14ac:dyDescent="0.2">
      <c r="B914" s="68"/>
      <c r="C914" s="69"/>
      <c r="D914" s="70"/>
      <c r="F914" s="68"/>
      <c r="G914" s="69"/>
      <c r="H914" s="70"/>
      <c r="J914" s="71"/>
      <c r="K914" s="71"/>
      <c r="L914" s="67"/>
      <c r="N914" s="71"/>
      <c r="O914" s="71"/>
      <c r="P914" s="67"/>
      <c r="R914" s="67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6"/>
      <c r="BY914" s="6"/>
      <c r="BZ914" s="6"/>
      <c r="CA914" s="6"/>
      <c r="CB914" s="6"/>
      <c r="CC914" s="6"/>
    </row>
    <row r="915" spans="2:81" x14ac:dyDescent="0.2">
      <c r="B915" s="68"/>
      <c r="C915" s="69"/>
      <c r="D915" s="70"/>
      <c r="F915" s="68"/>
      <c r="G915" s="69"/>
      <c r="H915" s="70"/>
      <c r="J915" s="71"/>
      <c r="K915" s="71"/>
      <c r="L915" s="67"/>
      <c r="N915" s="71"/>
      <c r="O915" s="71"/>
      <c r="P915" s="67"/>
      <c r="R915" s="67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6"/>
      <c r="BY915" s="6"/>
      <c r="BZ915" s="6"/>
      <c r="CA915" s="6"/>
      <c r="CB915" s="6"/>
      <c r="CC915" s="6"/>
    </row>
    <row r="916" spans="2:81" x14ac:dyDescent="0.2">
      <c r="B916" s="68"/>
      <c r="C916" s="69"/>
      <c r="D916" s="70"/>
      <c r="F916" s="68"/>
      <c r="G916" s="69"/>
      <c r="H916" s="70"/>
      <c r="J916" s="71"/>
      <c r="K916" s="71"/>
      <c r="L916" s="67"/>
      <c r="N916" s="71"/>
      <c r="O916" s="71"/>
      <c r="P916" s="67"/>
      <c r="R916" s="67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6"/>
      <c r="BY916" s="6"/>
      <c r="BZ916" s="6"/>
      <c r="CA916" s="6"/>
      <c r="CB916" s="6"/>
      <c r="CC916" s="6"/>
    </row>
    <row r="917" spans="2:81" x14ac:dyDescent="0.2">
      <c r="B917" s="68"/>
      <c r="C917" s="69"/>
      <c r="D917" s="70"/>
      <c r="F917" s="68"/>
      <c r="G917" s="69"/>
      <c r="H917" s="70"/>
      <c r="J917" s="71"/>
      <c r="K917" s="71"/>
      <c r="L917" s="67"/>
      <c r="N917" s="71"/>
      <c r="O917" s="71"/>
      <c r="P917" s="67"/>
      <c r="R917" s="67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6"/>
      <c r="BY917" s="6"/>
      <c r="BZ917" s="6"/>
      <c r="CA917" s="6"/>
      <c r="CB917" s="6"/>
      <c r="CC917" s="6"/>
    </row>
    <row r="918" spans="2:81" x14ac:dyDescent="0.2">
      <c r="B918" s="68"/>
      <c r="C918" s="69"/>
      <c r="D918" s="70"/>
      <c r="F918" s="68"/>
      <c r="G918" s="69"/>
      <c r="H918" s="70"/>
      <c r="J918" s="71"/>
      <c r="K918" s="71"/>
      <c r="L918" s="67"/>
      <c r="N918" s="71"/>
      <c r="O918" s="71"/>
      <c r="P918" s="67"/>
      <c r="R918" s="67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6"/>
      <c r="BY918" s="6"/>
      <c r="BZ918" s="6"/>
      <c r="CA918" s="6"/>
      <c r="CB918" s="6"/>
      <c r="CC918" s="6"/>
    </row>
    <row r="919" spans="2:81" x14ac:dyDescent="0.2">
      <c r="B919" s="68"/>
      <c r="C919" s="69"/>
      <c r="D919" s="70"/>
      <c r="F919" s="68"/>
      <c r="G919" s="69"/>
      <c r="H919" s="70"/>
      <c r="J919" s="71"/>
      <c r="K919" s="71"/>
      <c r="L919" s="67"/>
      <c r="N919" s="71"/>
      <c r="O919" s="71"/>
      <c r="P919" s="67"/>
      <c r="R919" s="67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6"/>
      <c r="BY919" s="6"/>
      <c r="BZ919" s="6"/>
      <c r="CA919" s="6"/>
      <c r="CB919" s="6"/>
      <c r="CC919" s="6"/>
    </row>
    <row r="920" spans="2:81" x14ac:dyDescent="0.2">
      <c r="B920" s="68"/>
      <c r="C920" s="69"/>
      <c r="D920" s="70"/>
      <c r="F920" s="68"/>
      <c r="G920" s="69"/>
      <c r="H920" s="70"/>
      <c r="J920" s="71"/>
      <c r="K920" s="71"/>
      <c r="L920" s="67"/>
      <c r="N920" s="71"/>
      <c r="O920" s="71"/>
      <c r="P920" s="67"/>
      <c r="R920" s="67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6"/>
      <c r="BY920" s="6"/>
      <c r="BZ920" s="6"/>
      <c r="CA920" s="6"/>
      <c r="CB920" s="6"/>
      <c r="CC920" s="6"/>
    </row>
    <row r="921" spans="2:81" x14ac:dyDescent="0.2">
      <c r="B921" s="68"/>
      <c r="C921" s="69"/>
      <c r="D921" s="70"/>
      <c r="F921" s="68"/>
      <c r="G921" s="69"/>
      <c r="H921" s="70"/>
      <c r="J921" s="71"/>
      <c r="K921" s="71"/>
      <c r="L921" s="67"/>
      <c r="N921" s="71"/>
      <c r="O921" s="71"/>
      <c r="P921" s="67"/>
      <c r="R921" s="67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6"/>
      <c r="BY921" s="6"/>
      <c r="BZ921" s="6"/>
      <c r="CA921" s="6"/>
      <c r="CB921" s="6"/>
      <c r="CC921" s="6"/>
    </row>
    <row r="922" spans="2:81" x14ac:dyDescent="0.2">
      <c r="B922" s="68"/>
      <c r="C922" s="69"/>
      <c r="D922" s="70"/>
      <c r="F922" s="68"/>
      <c r="G922" s="69"/>
      <c r="H922" s="70"/>
      <c r="J922" s="71"/>
      <c r="K922" s="71"/>
      <c r="L922" s="67"/>
      <c r="N922" s="71"/>
      <c r="O922" s="71"/>
      <c r="P922" s="67"/>
      <c r="R922" s="67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6"/>
      <c r="BY922" s="6"/>
      <c r="BZ922" s="6"/>
      <c r="CA922" s="6"/>
      <c r="CB922" s="6"/>
      <c r="CC922" s="6"/>
    </row>
    <row r="923" spans="2:81" x14ac:dyDescent="0.2">
      <c r="B923" s="68"/>
      <c r="C923" s="69"/>
      <c r="D923" s="70"/>
      <c r="F923" s="68"/>
      <c r="G923" s="69"/>
      <c r="H923" s="70"/>
      <c r="J923" s="71"/>
      <c r="K923" s="71"/>
      <c r="L923" s="67"/>
      <c r="N923" s="71"/>
      <c r="O923" s="71"/>
      <c r="P923" s="67"/>
      <c r="R923" s="67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6"/>
      <c r="BY923" s="6"/>
      <c r="BZ923" s="6"/>
      <c r="CA923" s="6"/>
      <c r="CB923" s="6"/>
      <c r="CC923" s="6"/>
    </row>
    <row r="924" spans="2:81" x14ac:dyDescent="0.2">
      <c r="B924" s="68"/>
      <c r="C924" s="69"/>
      <c r="D924" s="70"/>
      <c r="F924" s="68"/>
      <c r="G924" s="69"/>
      <c r="H924" s="70"/>
      <c r="J924" s="71"/>
      <c r="K924" s="71"/>
      <c r="L924" s="67"/>
      <c r="N924" s="71"/>
      <c r="O924" s="71"/>
      <c r="P924" s="67"/>
      <c r="R924" s="67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6"/>
      <c r="BY924" s="6"/>
      <c r="BZ924" s="6"/>
      <c r="CA924" s="6"/>
      <c r="CB924" s="6"/>
      <c r="CC924" s="6"/>
    </row>
    <row r="925" spans="2:81" x14ac:dyDescent="0.2">
      <c r="B925" s="68"/>
      <c r="C925" s="69"/>
      <c r="D925" s="70"/>
      <c r="F925" s="68"/>
      <c r="G925" s="69"/>
      <c r="H925" s="70"/>
      <c r="J925" s="71"/>
      <c r="K925" s="71"/>
      <c r="L925" s="67"/>
      <c r="N925" s="71"/>
      <c r="O925" s="71"/>
      <c r="P925" s="67"/>
      <c r="R925" s="67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6"/>
      <c r="BY925" s="6"/>
      <c r="BZ925" s="6"/>
      <c r="CA925" s="6"/>
      <c r="CB925" s="6"/>
      <c r="CC925" s="6"/>
    </row>
    <row r="926" spans="2:81" x14ac:dyDescent="0.2">
      <c r="B926" s="68"/>
      <c r="C926" s="69"/>
      <c r="D926" s="70"/>
      <c r="F926" s="68"/>
      <c r="G926" s="69"/>
      <c r="H926" s="70"/>
      <c r="J926" s="71"/>
      <c r="K926" s="71"/>
      <c r="L926" s="67"/>
      <c r="N926" s="71"/>
      <c r="O926" s="71"/>
      <c r="P926" s="67"/>
      <c r="R926" s="67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6"/>
      <c r="BY926" s="6"/>
      <c r="BZ926" s="6"/>
      <c r="CA926" s="6"/>
      <c r="CB926" s="6"/>
      <c r="CC926" s="6"/>
    </row>
    <row r="927" spans="2:81" x14ac:dyDescent="0.2">
      <c r="B927" s="68"/>
      <c r="C927" s="69"/>
      <c r="D927" s="70"/>
      <c r="F927" s="68"/>
      <c r="G927" s="69"/>
      <c r="H927" s="70"/>
      <c r="J927" s="71"/>
      <c r="K927" s="71"/>
      <c r="L927" s="67"/>
      <c r="N927" s="71"/>
      <c r="O927" s="71"/>
      <c r="P927" s="67"/>
      <c r="R927" s="67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6"/>
      <c r="BY927" s="6"/>
      <c r="BZ927" s="6"/>
      <c r="CA927" s="6"/>
      <c r="CB927" s="6"/>
      <c r="CC927" s="6"/>
    </row>
    <row r="928" spans="2:81" x14ac:dyDescent="0.2">
      <c r="B928" s="68"/>
      <c r="C928" s="69"/>
      <c r="D928" s="70"/>
      <c r="F928" s="68"/>
      <c r="G928" s="69"/>
      <c r="H928" s="70"/>
      <c r="J928" s="71"/>
      <c r="K928" s="71"/>
      <c r="L928" s="67"/>
      <c r="N928" s="71"/>
      <c r="O928" s="71"/>
      <c r="P928" s="67"/>
      <c r="R928" s="67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6"/>
      <c r="BY928" s="6"/>
      <c r="BZ928" s="6"/>
      <c r="CA928" s="6"/>
      <c r="CB928" s="6"/>
      <c r="CC928" s="6"/>
    </row>
    <row r="929" spans="2:81" x14ac:dyDescent="0.2">
      <c r="B929" s="68"/>
      <c r="C929" s="69"/>
      <c r="D929" s="70"/>
      <c r="F929" s="68"/>
      <c r="G929" s="69"/>
      <c r="H929" s="70"/>
      <c r="J929" s="71"/>
      <c r="K929" s="71"/>
      <c r="L929" s="67"/>
      <c r="N929" s="71"/>
      <c r="O929" s="71"/>
      <c r="P929" s="67"/>
      <c r="R929" s="67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6"/>
      <c r="BY929" s="6"/>
      <c r="BZ929" s="6"/>
      <c r="CA929" s="6"/>
      <c r="CB929" s="6"/>
      <c r="CC929" s="6"/>
    </row>
    <row r="930" spans="2:81" x14ac:dyDescent="0.2">
      <c r="B930" s="68"/>
      <c r="C930" s="69"/>
      <c r="D930" s="70"/>
      <c r="F930" s="68"/>
      <c r="G930" s="69"/>
      <c r="H930" s="70"/>
      <c r="J930" s="71"/>
      <c r="K930" s="71"/>
      <c r="L930" s="67"/>
      <c r="N930" s="71"/>
      <c r="O930" s="71"/>
      <c r="P930" s="67"/>
      <c r="R930" s="67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6"/>
      <c r="BY930" s="6"/>
      <c r="BZ930" s="6"/>
      <c r="CA930" s="6"/>
      <c r="CB930" s="6"/>
      <c r="CC930" s="6"/>
    </row>
    <row r="931" spans="2:81" x14ac:dyDescent="0.2">
      <c r="B931" s="68"/>
      <c r="C931" s="69"/>
      <c r="D931" s="70"/>
      <c r="F931" s="68"/>
      <c r="G931" s="69"/>
      <c r="H931" s="70"/>
      <c r="J931" s="71"/>
      <c r="K931" s="71"/>
      <c r="L931" s="67"/>
      <c r="N931" s="71"/>
      <c r="O931" s="71"/>
      <c r="P931" s="67"/>
      <c r="R931" s="67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6"/>
      <c r="BY931" s="6"/>
      <c r="BZ931" s="6"/>
      <c r="CA931" s="6"/>
      <c r="CB931" s="6"/>
      <c r="CC931" s="6"/>
    </row>
    <row r="932" spans="2:81" x14ac:dyDescent="0.2">
      <c r="B932" s="68"/>
      <c r="C932" s="69"/>
      <c r="D932" s="70"/>
      <c r="F932" s="68"/>
      <c r="G932" s="69"/>
      <c r="H932" s="70"/>
      <c r="J932" s="71"/>
      <c r="K932" s="71"/>
      <c r="L932" s="67"/>
      <c r="N932" s="71"/>
      <c r="O932" s="71"/>
      <c r="P932" s="67"/>
      <c r="R932" s="67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6"/>
      <c r="BY932" s="6"/>
      <c r="BZ932" s="6"/>
      <c r="CA932" s="6"/>
      <c r="CB932" s="6"/>
      <c r="CC932" s="6"/>
    </row>
    <row r="933" spans="2:81" x14ac:dyDescent="0.2">
      <c r="B933" s="68"/>
      <c r="C933" s="69"/>
      <c r="D933" s="70"/>
      <c r="F933" s="68"/>
      <c r="G933" s="69"/>
      <c r="H933" s="70"/>
      <c r="J933" s="71"/>
      <c r="K933" s="71"/>
      <c r="L933" s="67"/>
      <c r="N933" s="71"/>
      <c r="O933" s="71"/>
      <c r="P933" s="67"/>
      <c r="R933" s="67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6"/>
      <c r="BY933" s="6"/>
      <c r="BZ933" s="6"/>
      <c r="CA933" s="6"/>
      <c r="CB933" s="6"/>
      <c r="CC933" s="6"/>
    </row>
    <row r="934" spans="2:81" x14ac:dyDescent="0.2">
      <c r="B934" s="68"/>
      <c r="C934" s="69"/>
      <c r="D934" s="70"/>
      <c r="F934" s="68"/>
      <c r="G934" s="69"/>
      <c r="H934" s="70"/>
      <c r="J934" s="71"/>
      <c r="K934" s="71"/>
      <c r="L934" s="67"/>
      <c r="N934" s="71"/>
      <c r="O934" s="71"/>
      <c r="P934" s="67"/>
      <c r="R934" s="67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6"/>
      <c r="BY934" s="6"/>
      <c r="BZ934" s="6"/>
      <c r="CA934" s="6"/>
      <c r="CB934" s="6"/>
      <c r="CC934" s="6"/>
    </row>
    <row r="935" spans="2:81" x14ac:dyDescent="0.2">
      <c r="B935" s="68"/>
      <c r="C935" s="69"/>
      <c r="D935" s="70"/>
      <c r="F935" s="68"/>
      <c r="G935" s="69"/>
      <c r="H935" s="70"/>
      <c r="J935" s="71"/>
      <c r="K935" s="71"/>
      <c r="L935" s="67"/>
      <c r="N935" s="71"/>
      <c r="O935" s="71"/>
      <c r="P935" s="67"/>
      <c r="R935" s="67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6"/>
      <c r="BY935" s="6"/>
      <c r="BZ935" s="6"/>
      <c r="CA935" s="6"/>
      <c r="CB935" s="6"/>
      <c r="CC935" s="6"/>
    </row>
    <row r="936" spans="2:81" x14ac:dyDescent="0.2">
      <c r="B936" s="68"/>
      <c r="C936" s="69"/>
      <c r="D936" s="70"/>
      <c r="F936" s="68"/>
      <c r="G936" s="69"/>
      <c r="H936" s="70"/>
      <c r="J936" s="71"/>
      <c r="K936" s="71"/>
      <c r="L936" s="67"/>
      <c r="N936" s="71"/>
      <c r="O936" s="71"/>
      <c r="P936" s="67"/>
      <c r="R936" s="67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6"/>
      <c r="BY936" s="6"/>
      <c r="BZ936" s="6"/>
      <c r="CA936" s="6"/>
      <c r="CB936" s="6"/>
      <c r="CC936" s="6"/>
    </row>
    <row r="937" spans="2:81" x14ac:dyDescent="0.2">
      <c r="B937" s="68"/>
      <c r="C937" s="69"/>
      <c r="D937" s="70"/>
      <c r="F937" s="68"/>
      <c r="G937" s="69"/>
      <c r="H937" s="70"/>
      <c r="J937" s="71"/>
      <c r="K937" s="71"/>
      <c r="L937" s="67"/>
      <c r="N937" s="71"/>
      <c r="O937" s="71"/>
      <c r="P937" s="67"/>
      <c r="R937" s="67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6"/>
      <c r="BY937" s="6"/>
      <c r="BZ937" s="6"/>
      <c r="CA937" s="6"/>
      <c r="CB937" s="6"/>
      <c r="CC937" s="6"/>
    </row>
    <row r="938" spans="2:81" x14ac:dyDescent="0.2">
      <c r="B938" s="68"/>
      <c r="C938" s="69"/>
      <c r="D938" s="70"/>
      <c r="F938" s="68"/>
      <c r="G938" s="69"/>
      <c r="H938" s="70"/>
      <c r="J938" s="71"/>
      <c r="K938" s="71"/>
      <c r="L938" s="67"/>
      <c r="N938" s="71"/>
      <c r="O938" s="71"/>
      <c r="P938" s="67"/>
      <c r="R938" s="67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6"/>
      <c r="BY938" s="6"/>
      <c r="BZ938" s="6"/>
      <c r="CA938" s="6"/>
      <c r="CB938" s="6"/>
      <c r="CC938" s="6"/>
    </row>
    <row r="939" spans="2:81" x14ac:dyDescent="0.2">
      <c r="B939" s="68"/>
      <c r="C939" s="69"/>
      <c r="D939" s="70"/>
      <c r="F939" s="68"/>
      <c r="G939" s="69"/>
      <c r="H939" s="70"/>
      <c r="J939" s="71"/>
      <c r="K939" s="71"/>
      <c r="L939" s="67"/>
      <c r="N939" s="71"/>
      <c r="O939" s="71"/>
      <c r="P939" s="67"/>
      <c r="R939" s="67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  <c r="AZ939" s="6"/>
      <c r="BA939" s="6"/>
      <c r="BB939" s="6"/>
      <c r="BC939" s="6"/>
      <c r="BD939" s="6"/>
      <c r="BE939" s="6"/>
      <c r="BF939" s="6"/>
      <c r="BG939" s="6"/>
      <c r="BH939" s="6"/>
      <c r="BI939" s="6"/>
      <c r="BJ939" s="6"/>
      <c r="BK939" s="6"/>
      <c r="BL939" s="6"/>
      <c r="BM939" s="6"/>
      <c r="BN939" s="6"/>
      <c r="BO939" s="6"/>
      <c r="BP939" s="6"/>
      <c r="BQ939" s="6"/>
      <c r="BR939" s="6"/>
      <c r="BS939" s="6"/>
      <c r="BT939" s="6"/>
      <c r="BU939" s="6"/>
      <c r="BV939" s="6"/>
      <c r="BW939" s="6"/>
      <c r="BX939" s="6"/>
      <c r="BY939" s="6"/>
      <c r="BZ939" s="6"/>
      <c r="CA939" s="6"/>
      <c r="CB939" s="6"/>
      <c r="CC939" s="6"/>
    </row>
    <row r="940" spans="2:81" x14ac:dyDescent="0.2">
      <c r="B940" s="68"/>
      <c r="C940" s="69"/>
      <c r="D940" s="70"/>
      <c r="F940" s="68"/>
      <c r="G940" s="69"/>
      <c r="H940" s="70"/>
      <c r="J940" s="71"/>
      <c r="K940" s="71"/>
      <c r="L940" s="67"/>
      <c r="N940" s="71"/>
      <c r="O940" s="71"/>
      <c r="P940" s="67"/>
      <c r="R940" s="67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  <c r="AZ940" s="6"/>
      <c r="BA940" s="6"/>
      <c r="BB940" s="6"/>
      <c r="BC940" s="6"/>
      <c r="BD940" s="6"/>
      <c r="BE940" s="6"/>
      <c r="BF940" s="6"/>
      <c r="BG940" s="6"/>
      <c r="BH940" s="6"/>
      <c r="BI940" s="6"/>
      <c r="BJ940" s="6"/>
      <c r="BK940" s="6"/>
      <c r="BL940" s="6"/>
      <c r="BM940" s="6"/>
      <c r="BN940" s="6"/>
      <c r="BO940" s="6"/>
      <c r="BP940" s="6"/>
      <c r="BQ940" s="6"/>
      <c r="BR940" s="6"/>
      <c r="BS940" s="6"/>
      <c r="BT940" s="6"/>
      <c r="BU940" s="6"/>
      <c r="BV940" s="6"/>
      <c r="BW940" s="6"/>
      <c r="BX940" s="6"/>
      <c r="BY940" s="6"/>
      <c r="BZ940" s="6"/>
      <c r="CA940" s="6"/>
      <c r="CB940" s="6"/>
      <c r="CC940" s="6"/>
    </row>
    <row r="941" spans="2:81" x14ac:dyDescent="0.2">
      <c r="B941" s="68"/>
      <c r="C941" s="69"/>
      <c r="D941" s="70"/>
      <c r="F941" s="68"/>
      <c r="G941" s="69"/>
      <c r="H941" s="70"/>
      <c r="J941" s="71"/>
      <c r="K941" s="71"/>
      <c r="L941" s="67"/>
      <c r="N941" s="71"/>
      <c r="O941" s="71"/>
      <c r="P941" s="67"/>
      <c r="R941" s="67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  <c r="AZ941" s="6"/>
      <c r="BA941" s="6"/>
      <c r="BB941" s="6"/>
      <c r="BC941" s="6"/>
      <c r="BD941" s="6"/>
      <c r="BE941" s="6"/>
      <c r="BF941" s="6"/>
      <c r="BG941" s="6"/>
      <c r="BH941" s="6"/>
      <c r="BI941" s="6"/>
      <c r="BJ941" s="6"/>
      <c r="BK941" s="6"/>
      <c r="BL941" s="6"/>
      <c r="BM941" s="6"/>
      <c r="BN941" s="6"/>
      <c r="BO941" s="6"/>
      <c r="BP941" s="6"/>
      <c r="BQ941" s="6"/>
      <c r="BR941" s="6"/>
      <c r="BS941" s="6"/>
      <c r="BT941" s="6"/>
      <c r="BU941" s="6"/>
      <c r="BV941" s="6"/>
      <c r="BW941" s="6"/>
      <c r="BX941" s="6"/>
      <c r="BY941" s="6"/>
      <c r="BZ941" s="6"/>
      <c r="CA941" s="6"/>
      <c r="CB941" s="6"/>
      <c r="CC941" s="6"/>
    </row>
    <row r="942" spans="2:81" x14ac:dyDescent="0.2">
      <c r="B942" s="68"/>
      <c r="C942" s="69"/>
      <c r="D942" s="70"/>
      <c r="F942" s="68"/>
      <c r="G942" s="69"/>
      <c r="H942" s="70"/>
      <c r="J942" s="71"/>
      <c r="K942" s="71"/>
      <c r="L942" s="67"/>
      <c r="N942" s="71"/>
      <c r="O942" s="71"/>
      <c r="P942" s="67"/>
      <c r="R942" s="67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  <c r="AZ942" s="6"/>
      <c r="BA942" s="6"/>
      <c r="BB942" s="6"/>
      <c r="BC942" s="6"/>
      <c r="BD942" s="6"/>
      <c r="BE942" s="6"/>
      <c r="BF942" s="6"/>
      <c r="BG942" s="6"/>
      <c r="BH942" s="6"/>
      <c r="BI942" s="6"/>
      <c r="BJ942" s="6"/>
      <c r="BK942" s="6"/>
      <c r="BL942" s="6"/>
      <c r="BM942" s="6"/>
      <c r="BN942" s="6"/>
      <c r="BO942" s="6"/>
      <c r="BP942" s="6"/>
      <c r="BQ942" s="6"/>
      <c r="BR942" s="6"/>
      <c r="BS942" s="6"/>
      <c r="BT942" s="6"/>
      <c r="BU942" s="6"/>
      <c r="BV942" s="6"/>
      <c r="BW942" s="6"/>
      <c r="BX942" s="6"/>
      <c r="BY942" s="6"/>
      <c r="BZ942" s="6"/>
      <c r="CA942" s="6"/>
      <c r="CB942" s="6"/>
      <c r="CC942" s="6"/>
    </row>
    <row r="943" spans="2:81" x14ac:dyDescent="0.2">
      <c r="B943" s="68"/>
      <c r="C943" s="69"/>
      <c r="D943" s="70"/>
      <c r="F943" s="68"/>
      <c r="G943" s="69"/>
      <c r="H943" s="70"/>
      <c r="J943" s="71"/>
      <c r="K943" s="71"/>
      <c r="L943" s="67"/>
      <c r="N943" s="71"/>
      <c r="O943" s="71"/>
      <c r="P943" s="67"/>
      <c r="R943" s="67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  <c r="AZ943" s="6"/>
      <c r="BA943" s="6"/>
      <c r="BB943" s="6"/>
      <c r="BC943" s="6"/>
      <c r="BD943" s="6"/>
      <c r="BE943" s="6"/>
      <c r="BF943" s="6"/>
      <c r="BG943" s="6"/>
      <c r="BH943" s="6"/>
      <c r="BI943" s="6"/>
      <c r="BJ943" s="6"/>
      <c r="BK943" s="6"/>
      <c r="BL943" s="6"/>
      <c r="BM943" s="6"/>
      <c r="BN943" s="6"/>
      <c r="BO943" s="6"/>
      <c r="BP943" s="6"/>
      <c r="BQ943" s="6"/>
      <c r="BR943" s="6"/>
      <c r="BS943" s="6"/>
      <c r="BT943" s="6"/>
      <c r="BU943" s="6"/>
      <c r="BV943" s="6"/>
      <c r="BW943" s="6"/>
      <c r="BX943" s="6"/>
      <c r="BY943" s="6"/>
      <c r="BZ943" s="6"/>
      <c r="CA943" s="6"/>
      <c r="CB943" s="6"/>
      <c r="CC943" s="6"/>
    </row>
    <row r="944" spans="2:81" x14ac:dyDescent="0.2">
      <c r="B944" s="68"/>
      <c r="C944" s="69"/>
      <c r="D944" s="70"/>
      <c r="F944" s="68"/>
      <c r="G944" s="69"/>
      <c r="H944" s="70"/>
      <c r="J944" s="71"/>
      <c r="K944" s="71"/>
      <c r="L944" s="67"/>
      <c r="N944" s="71"/>
      <c r="O944" s="71"/>
      <c r="P944" s="67"/>
      <c r="R944" s="67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  <c r="AZ944" s="6"/>
      <c r="BA944" s="6"/>
      <c r="BB944" s="6"/>
      <c r="BC944" s="6"/>
      <c r="BD944" s="6"/>
      <c r="BE944" s="6"/>
      <c r="BF944" s="6"/>
      <c r="BG944" s="6"/>
      <c r="BH944" s="6"/>
      <c r="BI944" s="6"/>
      <c r="BJ944" s="6"/>
      <c r="BK944" s="6"/>
      <c r="BL944" s="6"/>
      <c r="BM944" s="6"/>
      <c r="BN944" s="6"/>
      <c r="BO944" s="6"/>
      <c r="BP944" s="6"/>
      <c r="BQ944" s="6"/>
      <c r="BR944" s="6"/>
      <c r="BS944" s="6"/>
      <c r="BT944" s="6"/>
      <c r="BU944" s="6"/>
      <c r="BV944" s="6"/>
      <c r="BW944" s="6"/>
      <c r="BX944" s="6"/>
      <c r="BY944" s="6"/>
      <c r="BZ944" s="6"/>
      <c r="CA944" s="6"/>
      <c r="CB944" s="6"/>
      <c r="CC944" s="6"/>
    </row>
    <row r="945" spans="2:81" x14ac:dyDescent="0.2">
      <c r="B945" s="68"/>
      <c r="C945" s="69"/>
      <c r="D945" s="70"/>
      <c r="F945" s="68"/>
      <c r="G945" s="69"/>
      <c r="H945" s="70"/>
      <c r="J945" s="71"/>
      <c r="K945" s="71"/>
      <c r="L945" s="67"/>
      <c r="N945" s="71"/>
      <c r="O945" s="71"/>
      <c r="P945" s="67"/>
      <c r="R945" s="67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  <c r="AZ945" s="6"/>
      <c r="BA945" s="6"/>
      <c r="BB945" s="6"/>
      <c r="BC945" s="6"/>
      <c r="BD945" s="6"/>
      <c r="BE945" s="6"/>
      <c r="BF945" s="6"/>
      <c r="BG945" s="6"/>
      <c r="BH945" s="6"/>
      <c r="BI945" s="6"/>
      <c r="BJ945" s="6"/>
      <c r="BK945" s="6"/>
      <c r="BL945" s="6"/>
      <c r="BM945" s="6"/>
      <c r="BN945" s="6"/>
      <c r="BO945" s="6"/>
      <c r="BP945" s="6"/>
      <c r="BQ945" s="6"/>
      <c r="BR945" s="6"/>
      <c r="BS945" s="6"/>
      <c r="BT945" s="6"/>
      <c r="BU945" s="6"/>
      <c r="BV945" s="6"/>
      <c r="BW945" s="6"/>
      <c r="BX945" s="6"/>
      <c r="BY945" s="6"/>
      <c r="BZ945" s="6"/>
      <c r="CA945" s="6"/>
      <c r="CB945" s="6"/>
      <c r="CC945" s="6"/>
    </row>
    <row r="946" spans="2:81" x14ac:dyDescent="0.2">
      <c r="B946" s="68"/>
      <c r="C946" s="69"/>
      <c r="D946" s="70"/>
      <c r="F946" s="68"/>
      <c r="G946" s="69"/>
      <c r="H946" s="70"/>
      <c r="J946" s="71"/>
      <c r="K946" s="71"/>
      <c r="L946" s="67"/>
      <c r="N946" s="71"/>
      <c r="O946" s="71"/>
      <c r="P946" s="67"/>
      <c r="R946" s="67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  <c r="AZ946" s="6"/>
      <c r="BA946" s="6"/>
      <c r="BB946" s="6"/>
      <c r="BC946" s="6"/>
      <c r="BD946" s="6"/>
      <c r="BE946" s="6"/>
      <c r="BF946" s="6"/>
      <c r="BG946" s="6"/>
      <c r="BH946" s="6"/>
      <c r="BI946" s="6"/>
      <c r="BJ946" s="6"/>
      <c r="BK946" s="6"/>
      <c r="BL946" s="6"/>
      <c r="BM946" s="6"/>
      <c r="BN946" s="6"/>
      <c r="BO946" s="6"/>
      <c r="BP946" s="6"/>
      <c r="BQ946" s="6"/>
      <c r="BR946" s="6"/>
      <c r="BS946" s="6"/>
      <c r="BT946" s="6"/>
      <c r="BU946" s="6"/>
      <c r="BV946" s="6"/>
      <c r="BW946" s="6"/>
      <c r="BX946" s="6"/>
      <c r="BY946" s="6"/>
      <c r="BZ946" s="6"/>
      <c r="CA946" s="6"/>
      <c r="CB946" s="6"/>
      <c r="CC946" s="6"/>
    </row>
    <row r="947" spans="2:81" x14ac:dyDescent="0.2">
      <c r="B947" s="68"/>
      <c r="C947" s="69"/>
      <c r="D947" s="70"/>
      <c r="F947" s="68"/>
      <c r="G947" s="69"/>
      <c r="H947" s="70"/>
      <c r="J947" s="71"/>
      <c r="K947" s="71"/>
      <c r="L947" s="67"/>
      <c r="N947" s="71"/>
      <c r="O947" s="71"/>
      <c r="P947" s="67"/>
      <c r="R947" s="67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  <c r="AZ947" s="6"/>
      <c r="BA947" s="6"/>
      <c r="BB947" s="6"/>
      <c r="BC947" s="6"/>
      <c r="BD947" s="6"/>
      <c r="BE947" s="6"/>
      <c r="BF947" s="6"/>
      <c r="BG947" s="6"/>
      <c r="BH947" s="6"/>
      <c r="BI947" s="6"/>
      <c r="BJ947" s="6"/>
      <c r="BK947" s="6"/>
      <c r="BL947" s="6"/>
      <c r="BM947" s="6"/>
      <c r="BN947" s="6"/>
      <c r="BO947" s="6"/>
      <c r="BP947" s="6"/>
      <c r="BQ947" s="6"/>
      <c r="BR947" s="6"/>
      <c r="BS947" s="6"/>
      <c r="BT947" s="6"/>
      <c r="BU947" s="6"/>
      <c r="BV947" s="6"/>
      <c r="BW947" s="6"/>
      <c r="BX947" s="6"/>
      <c r="BY947" s="6"/>
      <c r="BZ947" s="6"/>
      <c r="CA947" s="6"/>
      <c r="CB947" s="6"/>
      <c r="CC947" s="6"/>
    </row>
    <row r="948" spans="2:81" x14ac:dyDescent="0.2">
      <c r="B948" s="68"/>
      <c r="C948" s="69"/>
      <c r="D948" s="70"/>
      <c r="F948" s="68"/>
      <c r="G948" s="69"/>
      <c r="H948" s="70"/>
      <c r="J948" s="71"/>
      <c r="K948" s="71"/>
      <c r="L948" s="67"/>
      <c r="N948" s="71"/>
      <c r="O948" s="71"/>
      <c r="P948" s="67"/>
      <c r="R948" s="67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  <c r="AZ948" s="6"/>
      <c r="BA948" s="6"/>
      <c r="BB948" s="6"/>
      <c r="BC948" s="6"/>
      <c r="BD948" s="6"/>
      <c r="BE948" s="6"/>
      <c r="BF948" s="6"/>
      <c r="BG948" s="6"/>
      <c r="BH948" s="6"/>
      <c r="BI948" s="6"/>
      <c r="BJ948" s="6"/>
      <c r="BK948" s="6"/>
      <c r="BL948" s="6"/>
      <c r="BM948" s="6"/>
      <c r="BN948" s="6"/>
      <c r="BO948" s="6"/>
      <c r="BP948" s="6"/>
      <c r="BQ948" s="6"/>
      <c r="BR948" s="6"/>
      <c r="BS948" s="6"/>
      <c r="BT948" s="6"/>
      <c r="BU948" s="6"/>
      <c r="BV948" s="6"/>
      <c r="BW948" s="6"/>
      <c r="BX948" s="6"/>
      <c r="BY948" s="6"/>
      <c r="BZ948" s="6"/>
      <c r="CA948" s="6"/>
      <c r="CB948" s="6"/>
      <c r="CC948" s="6"/>
    </row>
    <row r="949" spans="2:81" x14ac:dyDescent="0.2">
      <c r="B949" s="68"/>
      <c r="C949" s="69"/>
      <c r="D949" s="70"/>
      <c r="F949" s="68"/>
      <c r="G949" s="69"/>
      <c r="H949" s="70"/>
      <c r="J949" s="71"/>
      <c r="K949" s="71"/>
      <c r="L949" s="67"/>
      <c r="N949" s="71"/>
      <c r="O949" s="71"/>
      <c r="P949" s="67"/>
      <c r="R949" s="67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  <c r="AZ949" s="6"/>
      <c r="BA949" s="6"/>
      <c r="BB949" s="6"/>
      <c r="BC949" s="6"/>
      <c r="BD949" s="6"/>
      <c r="BE949" s="6"/>
      <c r="BF949" s="6"/>
      <c r="BG949" s="6"/>
      <c r="BH949" s="6"/>
      <c r="BI949" s="6"/>
      <c r="BJ949" s="6"/>
      <c r="BK949" s="6"/>
      <c r="BL949" s="6"/>
      <c r="BM949" s="6"/>
      <c r="BN949" s="6"/>
      <c r="BO949" s="6"/>
      <c r="BP949" s="6"/>
      <c r="BQ949" s="6"/>
      <c r="BR949" s="6"/>
      <c r="BS949" s="6"/>
      <c r="BT949" s="6"/>
      <c r="BU949" s="6"/>
      <c r="BV949" s="6"/>
      <c r="BW949" s="6"/>
      <c r="BX949" s="6"/>
      <c r="BY949" s="6"/>
      <c r="BZ949" s="6"/>
      <c r="CA949" s="6"/>
      <c r="CB949" s="6"/>
      <c r="CC949" s="6"/>
    </row>
    <row r="950" spans="2:81" x14ac:dyDescent="0.2">
      <c r="B950" s="68"/>
      <c r="C950" s="69"/>
      <c r="D950" s="70"/>
      <c r="F950" s="68"/>
      <c r="G950" s="69"/>
      <c r="H950" s="70"/>
      <c r="J950" s="71"/>
      <c r="K950" s="71"/>
      <c r="L950" s="67"/>
      <c r="N950" s="71"/>
      <c r="O950" s="71"/>
      <c r="P950" s="67"/>
      <c r="R950" s="67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  <c r="AZ950" s="6"/>
      <c r="BA950" s="6"/>
      <c r="BB950" s="6"/>
      <c r="BC950" s="6"/>
      <c r="BD950" s="6"/>
      <c r="BE950" s="6"/>
      <c r="BF950" s="6"/>
      <c r="BG950" s="6"/>
      <c r="BH950" s="6"/>
      <c r="BI950" s="6"/>
      <c r="BJ950" s="6"/>
      <c r="BK950" s="6"/>
      <c r="BL950" s="6"/>
      <c r="BM950" s="6"/>
      <c r="BN950" s="6"/>
      <c r="BO950" s="6"/>
      <c r="BP950" s="6"/>
      <c r="BQ950" s="6"/>
      <c r="BR950" s="6"/>
      <c r="BS950" s="6"/>
      <c r="BT950" s="6"/>
      <c r="BU950" s="6"/>
      <c r="BV950" s="6"/>
      <c r="BW950" s="6"/>
      <c r="BX950" s="6"/>
      <c r="BY950" s="6"/>
      <c r="BZ950" s="6"/>
      <c r="CA950" s="6"/>
      <c r="CB950" s="6"/>
      <c r="CC950" s="6"/>
    </row>
    <row r="951" spans="2:81" x14ac:dyDescent="0.2">
      <c r="B951" s="68"/>
      <c r="C951" s="69"/>
      <c r="D951" s="70"/>
      <c r="F951" s="68"/>
      <c r="G951" s="69"/>
      <c r="H951" s="70"/>
      <c r="J951" s="71"/>
      <c r="K951" s="71"/>
      <c r="L951" s="67"/>
      <c r="N951" s="71"/>
      <c r="O951" s="71"/>
      <c r="P951" s="67"/>
      <c r="R951" s="67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  <c r="AZ951" s="6"/>
      <c r="BA951" s="6"/>
      <c r="BB951" s="6"/>
      <c r="BC951" s="6"/>
      <c r="BD951" s="6"/>
      <c r="BE951" s="6"/>
      <c r="BF951" s="6"/>
      <c r="BG951" s="6"/>
      <c r="BH951" s="6"/>
      <c r="BI951" s="6"/>
      <c r="BJ951" s="6"/>
      <c r="BK951" s="6"/>
      <c r="BL951" s="6"/>
      <c r="BM951" s="6"/>
      <c r="BN951" s="6"/>
      <c r="BO951" s="6"/>
      <c r="BP951" s="6"/>
      <c r="BQ951" s="6"/>
      <c r="BR951" s="6"/>
      <c r="BS951" s="6"/>
      <c r="BT951" s="6"/>
      <c r="BU951" s="6"/>
      <c r="BV951" s="6"/>
      <c r="BW951" s="6"/>
      <c r="BX951" s="6"/>
      <c r="BY951" s="6"/>
      <c r="BZ951" s="6"/>
      <c r="CA951" s="6"/>
      <c r="CB951" s="6"/>
      <c r="CC951" s="6"/>
    </row>
    <row r="952" spans="2:81" x14ac:dyDescent="0.2">
      <c r="B952" s="68"/>
      <c r="C952" s="69"/>
      <c r="D952" s="70"/>
      <c r="F952" s="68"/>
      <c r="G952" s="69"/>
      <c r="H952" s="70"/>
      <c r="J952" s="71"/>
      <c r="K952" s="71"/>
      <c r="L952" s="67"/>
      <c r="N952" s="71"/>
      <c r="O952" s="71"/>
      <c r="P952" s="67"/>
      <c r="R952" s="67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  <c r="AL952" s="6"/>
      <c r="AM952" s="6"/>
      <c r="AN952" s="6"/>
      <c r="AO952" s="6"/>
      <c r="AP952" s="6"/>
      <c r="AQ952" s="6"/>
      <c r="AR952" s="6"/>
      <c r="AS952" s="6"/>
      <c r="AT952" s="6"/>
      <c r="AU952" s="6"/>
      <c r="AV952" s="6"/>
      <c r="AW952" s="6"/>
      <c r="AX952" s="6"/>
      <c r="AY952" s="6"/>
      <c r="AZ952" s="6"/>
      <c r="BA952" s="6"/>
      <c r="BB952" s="6"/>
      <c r="BC952" s="6"/>
      <c r="BD952" s="6"/>
      <c r="BE952" s="6"/>
      <c r="BF952" s="6"/>
      <c r="BG952" s="6"/>
      <c r="BH952" s="6"/>
      <c r="BI952" s="6"/>
      <c r="BJ952" s="6"/>
      <c r="BK952" s="6"/>
      <c r="BL952" s="6"/>
      <c r="BM952" s="6"/>
      <c r="BN952" s="6"/>
      <c r="BO952" s="6"/>
      <c r="BP952" s="6"/>
      <c r="BQ952" s="6"/>
      <c r="BR952" s="6"/>
      <c r="BS952" s="6"/>
      <c r="BT952" s="6"/>
      <c r="BU952" s="6"/>
      <c r="BV952" s="6"/>
      <c r="BW952" s="6"/>
      <c r="BX952" s="6"/>
      <c r="BY952" s="6"/>
      <c r="BZ952" s="6"/>
      <c r="CA952" s="6"/>
      <c r="CB952" s="6"/>
      <c r="CC952" s="6"/>
    </row>
    <row r="953" spans="2:81" x14ac:dyDescent="0.2">
      <c r="B953" s="68"/>
      <c r="C953" s="69"/>
      <c r="D953" s="70"/>
      <c r="F953" s="68"/>
      <c r="G953" s="69"/>
      <c r="H953" s="70"/>
      <c r="J953" s="71"/>
      <c r="K953" s="71"/>
      <c r="L953" s="67"/>
      <c r="N953" s="71"/>
      <c r="O953" s="71"/>
      <c r="P953" s="67"/>
      <c r="R953" s="67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  <c r="AL953" s="6"/>
      <c r="AM953" s="6"/>
      <c r="AN953" s="6"/>
      <c r="AO953" s="6"/>
      <c r="AP953" s="6"/>
      <c r="AQ953" s="6"/>
      <c r="AR953" s="6"/>
      <c r="AS953" s="6"/>
      <c r="AT953" s="6"/>
      <c r="AU953" s="6"/>
      <c r="AV953" s="6"/>
      <c r="AW953" s="6"/>
      <c r="AX953" s="6"/>
      <c r="AY953" s="6"/>
      <c r="AZ953" s="6"/>
      <c r="BA953" s="6"/>
      <c r="BB953" s="6"/>
      <c r="BC953" s="6"/>
      <c r="BD953" s="6"/>
      <c r="BE953" s="6"/>
      <c r="BF953" s="6"/>
      <c r="BG953" s="6"/>
      <c r="BH953" s="6"/>
      <c r="BI953" s="6"/>
      <c r="BJ953" s="6"/>
      <c r="BK953" s="6"/>
      <c r="BL953" s="6"/>
      <c r="BM953" s="6"/>
      <c r="BN953" s="6"/>
      <c r="BO953" s="6"/>
      <c r="BP953" s="6"/>
      <c r="BQ953" s="6"/>
      <c r="BR953" s="6"/>
      <c r="BS953" s="6"/>
      <c r="BT953" s="6"/>
      <c r="BU953" s="6"/>
      <c r="BV953" s="6"/>
      <c r="BW953" s="6"/>
      <c r="BX953" s="6"/>
      <c r="BY953" s="6"/>
      <c r="BZ953" s="6"/>
      <c r="CA953" s="6"/>
      <c r="CB953" s="6"/>
      <c r="CC953" s="6"/>
    </row>
    <row r="954" spans="2:81" x14ac:dyDescent="0.2">
      <c r="B954" s="68"/>
      <c r="C954" s="69"/>
      <c r="D954" s="70"/>
      <c r="F954" s="68"/>
      <c r="G954" s="69"/>
      <c r="H954" s="70"/>
      <c r="J954" s="71"/>
      <c r="K954" s="71"/>
      <c r="L954" s="67"/>
      <c r="N954" s="71"/>
      <c r="O954" s="71"/>
      <c r="P954" s="67"/>
      <c r="R954" s="67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  <c r="AL954" s="6"/>
      <c r="AM954" s="6"/>
      <c r="AN954" s="6"/>
      <c r="AO954" s="6"/>
      <c r="AP954" s="6"/>
      <c r="AQ954" s="6"/>
      <c r="AR954" s="6"/>
      <c r="AS954" s="6"/>
      <c r="AT954" s="6"/>
      <c r="AU954" s="6"/>
      <c r="AV954" s="6"/>
      <c r="AW954" s="6"/>
      <c r="AX954" s="6"/>
      <c r="AY954" s="6"/>
      <c r="AZ954" s="6"/>
      <c r="BA954" s="6"/>
      <c r="BB954" s="6"/>
      <c r="BC954" s="6"/>
      <c r="BD954" s="6"/>
      <c r="BE954" s="6"/>
      <c r="BF954" s="6"/>
      <c r="BG954" s="6"/>
      <c r="BH954" s="6"/>
      <c r="BI954" s="6"/>
      <c r="BJ954" s="6"/>
      <c r="BK954" s="6"/>
      <c r="BL954" s="6"/>
      <c r="BM954" s="6"/>
      <c r="BN954" s="6"/>
      <c r="BO954" s="6"/>
      <c r="BP954" s="6"/>
      <c r="BQ954" s="6"/>
      <c r="BR954" s="6"/>
      <c r="BS954" s="6"/>
      <c r="BT954" s="6"/>
      <c r="BU954" s="6"/>
      <c r="BV954" s="6"/>
      <c r="BW954" s="6"/>
      <c r="BX954" s="6"/>
      <c r="BY954" s="6"/>
      <c r="BZ954" s="6"/>
      <c r="CA954" s="6"/>
      <c r="CB954" s="6"/>
      <c r="CC954" s="6"/>
    </row>
    <row r="955" spans="2:81" x14ac:dyDescent="0.2">
      <c r="B955" s="68"/>
      <c r="C955" s="69"/>
      <c r="D955" s="70"/>
      <c r="F955" s="68"/>
      <c r="G955" s="69"/>
      <c r="H955" s="70"/>
      <c r="J955" s="71"/>
      <c r="K955" s="71"/>
      <c r="L955" s="67"/>
      <c r="N955" s="71"/>
      <c r="O955" s="71"/>
      <c r="P955" s="67"/>
      <c r="R955" s="67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  <c r="AL955" s="6"/>
      <c r="AM955" s="6"/>
      <c r="AN955" s="6"/>
      <c r="AO955" s="6"/>
      <c r="AP955" s="6"/>
      <c r="AQ955" s="6"/>
      <c r="AR955" s="6"/>
      <c r="AS955" s="6"/>
      <c r="AT955" s="6"/>
      <c r="AU955" s="6"/>
      <c r="AV955" s="6"/>
      <c r="AW955" s="6"/>
      <c r="AX955" s="6"/>
      <c r="AY955" s="6"/>
      <c r="AZ955" s="6"/>
      <c r="BA955" s="6"/>
      <c r="BB955" s="6"/>
      <c r="BC955" s="6"/>
      <c r="BD955" s="6"/>
      <c r="BE955" s="6"/>
      <c r="BF955" s="6"/>
      <c r="BG955" s="6"/>
      <c r="BH955" s="6"/>
      <c r="BI955" s="6"/>
      <c r="BJ955" s="6"/>
      <c r="BK955" s="6"/>
      <c r="BL955" s="6"/>
      <c r="BM955" s="6"/>
      <c r="BN955" s="6"/>
      <c r="BO955" s="6"/>
      <c r="BP955" s="6"/>
      <c r="BQ955" s="6"/>
      <c r="BR955" s="6"/>
      <c r="BS955" s="6"/>
      <c r="BT955" s="6"/>
      <c r="BU955" s="6"/>
      <c r="BV955" s="6"/>
      <c r="BW955" s="6"/>
      <c r="BX955" s="6"/>
      <c r="BY955" s="6"/>
      <c r="BZ955" s="6"/>
      <c r="CA955" s="6"/>
      <c r="CB955" s="6"/>
      <c r="CC955" s="6"/>
    </row>
    <row r="956" spans="2:81" x14ac:dyDescent="0.2">
      <c r="B956" s="68"/>
      <c r="C956" s="69"/>
      <c r="D956" s="70"/>
      <c r="F956" s="68"/>
      <c r="G956" s="69"/>
      <c r="H956" s="70"/>
      <c r="J956" s="71"/>
      <c r="K956" s="71"/>
      <c r="L956" s="67"/>
      <c r="N956" s="71"/>
      <c r="O956" s="71"/>
      <c r="P956" s="67"/>
      <c r="R956" s="67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  <c r="AL956" s="6"/>
      <c r="AM956" s="6"/>
      <c r="AN956" s="6"/>
      <c r="AO956" s="6"/>
      <c r="AP956" s="6"/>
      <c r="AQ956" s="6"/>
      <c r="AR956" s="6"/>
      <c r="AS956" s="6"/>
      <c r="AT956" s="6"/>
      <c r="AU956" s="6"/>
      <c r="AV956" s="6"/>
      <c r="AW956" s="6"/>
      <c r="AX956" s="6"/>
      <c r="AY956" s="6"/>
      <c r="AZ956" s="6"/>
      <c r="BA956" s="6"/>
      <c r="BB956" s="6"/>
      <c r="BC956" s="6"/>
      <c r="BD956" s="6"/>
      <c r="BE956" s="6"/>
      <c r="BF956" s="6"/>
      <c r="BG956" s="6"/>
      <c r="BH956" s="6"/>
      <c r="BI956" s="6"/>
      <c r="BJ956" s="6"/>
      <c r="BK956" s="6"/>
      <c r="BL956" s="6"/>
      <c r="BM956" s="6"/>
      <c r="BN956" s="6"/>
      <c r="BO956" s="6"/>
      <c r="BP956" s="6"/>
      <c r="BQ956" s="6"/>
      <c r="BR956" s="6"/>
      <c r="BS956" s="6"/>
      <c r="BT956" s="6"/>
      <c r="BU956" s="6"/>
      <c r="BV956" s="6"/>
      <c r="BW956" s="6"/>
      <c r="BX956" s="6"/>
      <c r="BY956" s="6"/>
      <c r="BZ956" s="6"/>
      <c r="CA956" s="6"/>
      <c r="CB956" s="6"/>
      <c r="CC956" s="6"/>
    </row>
    <row r="957" spans="2:81" x14ac:dyDescent="0.2">
      <c r="B957" s="68"/>
      <c r="C957" s="69"/>
      <c r="D957" s="70"/>
      <c r="F957" s="68"/>
      <c r="G957" s="69"/>
      <c r="H957" s="70"/>
      <c r="J957" s="71"/>
      <c r="K957" s="71"/>
      <c r="L957" s="67"/>
      <c r="N957" s="71"/>
      <c r="O957" s="71"/>
      <c r="P957" s="67"/>
      <c r="R957" s="67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  <c r="AL957" s="6"/>
      <c r="AM957" s="6"/>
      <c r="AN957" s="6"/>
      <c r="AO957" s="6"/>
      <c r="AP957" s="6"/>
      <c r="AQ957" s="6"/>
      <c r="AR957" s="6"/>
      <c r="AS957" s="6"/>
      <c r="AT957" s="6"/>
      <c r="AU957" s="6"/>
      <c r="AV957" s="6"/>
      <c r="AW957" s="6"/>
      <c r="AX957" s="6"/>
      <c r="AY957" s="6"/>
      <c r="AZ957" s="6"/>
      <c r="BA957" s="6"/>
      <c r="BB957" s="6"/>
      <c r="BC957" s="6"/>
      <c r="BD957" s="6"/>
      <c r="BE957" s="6"/>
      <c r="BF957" s="6"/>
      <c r="BG957" s="6"/>
      <c r="BH957" s="6"/>
      <c r="BI957" s="6"/>
      <c r="BJ957" s="6"/>
      <c r="BK957" s="6"/>
      <c r="BL957" s="6"/>
      <c r="BM957" s="6"/>
      <c r="BN957" s="6"/>
      <c r="BO957" s="6"/>
      <c r="BP957" s="6"/>
      <c r="BQ957" s="6"/>
      <c r="BR957" s="6"/>
      <c r="BS957" s="6"/>
      <c r="BT957" s="6"/>
      <c r="BU957" s="6"/>
      <c r="BV957" s="6"/>
      <c r="BW957" s="6"/>
      <c r="BX957" s="6"/>
      <c r="BY957" s="6"/>
      <c r="BZ957" s="6"/>
      <c r="CA957" s="6"/>
      <c r="CB957" s="6"/>
      <c r="CC957" s="6"/>
    </row>
    <row r="958" spans="2:81" x14ac:dyDescent="0.2">
      <c r="B958" s="68"/>
      <c r="C958" s="69"/>
      <c r="D958" s="70"/>
      <c r="F958" s="68"/>
      <c r="G958" s="69"/>
      <c r="H958" s="70"/>
      <c r="J958" s="71"/>
      <c r="K958" s="71"/>
      <c r="L958" s="67"/>
      <c r="N958" s="71"/>
      <c r="O958" s="71"/>
      <c r="P958" s="67"/>
      <c r="R958" s="67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  <c r="AL958" s="6"/>
      <c r="AM958" s="6"/>
      <c r="AN958" s="6"/>
      <c r="AO958" s="6"/>
      <c r="AP958" s="6"/>
      <c r="AQ958" s="6"/>
      <c r="AR958" s="6"/>
      <c r="AS958" s="6"/>
      <c r="AT958" s="6"/>
      <c r="AU958" s="6"/>
      <c r="AV958" s="6"/>
      <c r="AW958" s="6"/>
      <c r="AX958" s="6"/>
      <c r="AY958" s="6"/>
      <c r="AZ958" s="6"/>
      <c r="BA958" s="6"/>
      <c r="BB958" s="6"/>
      <c r="BC958" s="6"/>
      <c r="BD958" s="6"/>
      <c r="BE958" s="6"/>
      <c r="BF958" s="6"/>
      <c r="BG958" s="6"/>
      <c r="BH958" s="6"/>
      <c r="BI958" s="6"/>
      <c r="BJ958" s="6"/>
      <c r="BK958" s="6"/>
      <c r="BL958" s="6"/>
      <c r="BM958" s="6"/>
      <c r="BN958" s="6"/>
      <c r="BO958" s="6"/>
      <c r="BP958" s="6"/>
      <c r="BQ958" s="6"/>
      <c r="BR958" s="6"/>
      <c r="BS958" s="6"/>
      <c r="BT958" s="6"/>
      <c r="BU958" s="6"/>
      <c r="BV958" s="6"/>
      <c r="BW958" s="6"/>
      <c r="BX958" s="6"/>
      <c r="BY958" s="6"/>
      <c r="BZ958" s="6"/>
      <c r="CA958" s="6"/>
      <c r="CB958" s="6"/>
      <c r="CC958" s="6"/>
    </row>
    <row r="959" spans="2:81" x14ac:dyDescent="0.2">
      <c r="B959" s="68"/>
      <c r="C959" s="69"/>
      <c r="D959" s="70"/>
      <c r="F959" s="68"/>
      <c r="G959" s="69"/>
      <c r="H959" s="70"/>
      <c r="J959" s="71"/>
      <c r="K959" s="71"/>
      <c r="L959" s="67"/>
      <c r="N959" s="71"/>
      <c r="O959" s="71"/>
      <c r="P959" s="67"/>
      <c r="R959" s="67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  <c r="AL959" s="6"/>
      <c r="AM959" s="6"/>
      <c r="AN959" s="6"/>
      <c r="AO959" s="6"/>
      <c r="AP959" s="6"/>
      <c r="AQ959" s="6"/>
      <c r="AR959" s="6"/>
      <c r="AS959" s="6"/>
      <c r="AT959" s="6"/>
      <c r="AU959" s="6"/>
      <c r="AV959" s="6"/>
      <c r="AW959" s="6"/>
      <c r="AX959" s="6"/>
      <c r="AY959" s="6"/>
      <c r="AZ959" s="6"/>
      <c r="BA959" s="6"/>
      <c r="BB959" s="6"/>
      <c r="BC959" s="6"/>
      <c r="BD959" s="6"/>
      <c r="BE959" s="6"/>
      <c r="BF959" s="6"/>
      <c r="BG959" s="6"/>
      <c r="BH959" s="6"/>
      <c r="BI959" s="6"/>
      <c r="BJ959" s="6"/>
      <c r="BK959" s="6"/>
      <c r="BL959" s="6"/>
      <c r="BM959" s="6"/>
      <c r="BN959" s="6"/>
      <c r="BO959" s="6"/>
      <c r="BP959" s="6"/>
      <c r="BQ959" s="6"/>
      <c r="BR959" s="6"/>
      <c r="BS959" s="6"/>
      <c r="BT959" s="6"/>
      <c r="BU959" s="6"/>
      <c r="BV959" s="6"/>
      <c r="BW959" s="6"/>
      <c r="BX959" s="6"/>
      <c r="BY959" s="6"/>
      <c r="BZ959" s="6"/>
      <c r="CA959" s="6"/>
      <c r="CB959" s="6"/>
      <c r="CC959" s="6"/>
    </row>
    <row r="960" spans="2:81" x14ac:dyDescent="0.2">
      <c r="B960" s="68"/>
      <c r="C960" s="69"/>
      <c r="D960" s="70"/>
      <c r="F960" s="68"/>
      <c r="G960" s="69"/>
      <c r="H960" s="70"/>
      <c r="J960" s="71"/>
      <c r="K960" s="71"/>
      <c r="L960" s="67"/>
      <c r="N960" s="71"/>
      <c r="O960" s="71"/>
      <c r="P960" s="67"/>
      <c r="R960" s="67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  <c r="AL960" s="6"/>
      <c r="AM960" s="6"/>
      <c r="AN960" s="6"/>
      <c r="AO960" s="6"/>
      <c r="AP960" s="6"/>
      <c r="AQ960" s="6"/>
      <c r="AR960" s="6"/>
      <c r="AS960" s="6"/>
      <c r="AT960" s="6"/>
      <c r="AU960" s="6"/>
      <c r="AV960" s="6"/>
      <c r="AW960" s="6"/>
      <c r="AX960" s="6"/>
      <c r="AY960" s="6"/>
      <c r="AZ960" s="6"/>
      <c r="BA960" s="6"/>
      <c r="BB960" s="6"/>
      <c r="BC960" s="6"/>
      <c r="BD960" s="6"/>
      <c r="BE960" s="6"/>
      <c r="BF960" s="6"/>
      <c r="BG960" s="6"/>
      <c r="BH960" s="6"/>
      <c r="BI960" s="6"/>
      <c r="BJ960" s="6"/>
      <c r="BK960" s="6"/>
      <c r="BL960" s="6"/>
      <c r="BM960" s="6"/>
      <c r="BN960" s="6"/>
      <c r="BO960" s="6"/>
      <c r="BP960" s="6"/>
      <c r="BQ960" s="6"/>
      <c r="BR960" s="6"/>
      <c r="BS960" s="6"/>
      <c r="BT960" s="6"/>
      <c r="BU960" s="6"/>
      <c r="BV960" s="6"/>
      <c r="BW960" s="6"/>
      <c r="BX960" s="6"/>
      <c r="BY960" s="6"/>
      <c r="BZ960" s="6"/>
      <c r="CA960" s="6"/>
      <c r="CB960" s="6"/>
      <c r="CC960" s="6"/>
    </row>
    <row r="961" spans="2:81" x14ac:dyDescent="0.2">
      <c r="B961" s="68"/>
      <c r="C961" s="69"/>
      <c r="D961" s="70"/>
      <c r="F961" s="68"/>
      <c r="G961" s="69"/>
      <c r="H961" s="70"/>
      <c r="J961" s="71"/>
      <c r="K961" s="71"/>
      <c r="L961" s="67"/>
      <c r="N961" s="71"/>
      <c r="O961" s="71"/>
      <c r="P961" s="67"/>
      <c r="R961" s="67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  <c r="AL961" s="6"/>
      <c r="AM961" s="6"/>
      <c r="AN961" s="6"/>
      <c r="AO961" s="6"/>
      <c r="AP961" s="6"/>
      <c r="AQ961" s="6"/>
      <c r="AR961" s="6"/>
      <c r="AS961" s="6"/>
      <c r="AT961" s="6"/>
      <c r="AU961" s="6"/>
      <c r="AV961" s="6"/>
      <c r="AW961" s="6"/>
      <c r="AX961" s="6"/>
      <c r="AY961" s="6"/>
      <c r="AZ961" s="6"/>
      <c r="BA961" s="6"/>
      <c r="BB961" s="6"/>
      <c r="BC961" s="6"/>
      <c r="BD961" s="6"/>
      <c r="BE961" s="6"/>
      <c r="BF961" s="6"/>
      <c r="BG961" s="6"/>
      <c r="BH961" s="6"/>
      <c r="BI961" s="6"/>
      <c r="BJ961" s="6"/>
      <c r="BK961" s="6"/>
      <c r="BL961" s="6"/>
      <c r="BM961" s="6"/>
      <c r="BN961" s="6"/>
      <c r="BO961" s="6"/>
      <c r="BP961" s="6"/>
      <c r="BQ961" s="6"/>
      <c r="BR961" s="6"/>
      <c r="BS961" s="6"/>
      <c r="BT961" s="6"/>
      <c r="BU961" s="6"/>
      <c r="BV961" s="6"/>
      <c r="BW961" s="6"/>
      <c r="BX961" s="6"/>
      <c r="BY961" s="6"/>
      <c r="BZ961" s="6"/>
      <c r="CA961" s="6"/>
      <c r="CB961" s="6"/>
      <c r="CC961" s="6"/>
    </row>
    <row r="962" spans="2:81" x14ac:dyDescent="0.2">
      <c r="B962" s="68"/>
      <c r="C962" s="69"/>
      <c r="D962" s="70"/>
      <c r="F962" s="68"/>
      <c r="G962" s="69"/>
      <c r="H962" s="70"/>
      <c r="J962" s="71"/>
      <c r="K962" s="71"/>
      <c r="L962" s="67"/>
      <c r="N962" s="71"/>
      <c r="O962" s="71"/>
      <c r="P962" s="67"/>
      <c r="R962" s="67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  <c r="AL962" s="6"/>
      <c r="AM962" s="6"/>
      <c r="AN962" s="6"/>
      <c r="AO962" s="6"/>
      <c r="AP962" s="6"/>
      <c r="AQ962" s="6"/>
      <c r="AR962" s="6"/>
      <c r="AS962" s="6"/>
      <c r="AT962" s="6"/>
      <c r="AU962" s="6"/>
      <c r="AV962" s="6"/>
      <c r="AW962" s="6"/>
      <c r="AX962" s="6"/>
      <c r="AY962" s="6"/>
      <c r="AZ962" s="6"/>
      <c r="BA962" s="6"/>
      <c r="BB962" s="6"/>
      <c r="BC962" s="6"/>
      <c r="BD962" s="6"/>
      <c r="BE962" s="6"/>
      <c r="BF962" s="6"/>
      <c r="BG962" s="6"/>
      <c r="BH962" s="6"/>
      <c r="BI962" s="6"/>
      <c r="BJ962" s="6"/>
      <c r="BK962" s="6"/>
      <c r="BL962" s="6"/>
      <c r="BM962" s="6"/>
      <c r="BN962" s="6"/>
      <c r="BO962" s="6"/>
      <c r="BP962" s="6"/>
      <c r="BQ962" s="6"/>
      <c r="BR962" s="6"/>
      <c r="BS962" s="6"/>
      <c r="BT962" s="6"/>
      <c r="BU962" s="6"/>
      <c r="BV962" s="6"/>
      <c r="BW962" s="6"/>
      <c r="BX962" s="6"/>
      <c r="BY962" s="6"/>
      <c r="BZ962" s="6"/>
      <c r="CA962" s="6"/>
      <c r="CB962" s="6"/>
      <c r="CC962" s="6"/>
    </row>
    <row r="963" spans="2:81" x14ac:dyDescent="0.2">
      <c r="B963" s="68"/>
      <c r="C963" s="69"/>
      <c r="D963" s="70"/>
      <c r="F963" s="68"/>
      <c r="G963" s="69"/>
      <c r="H963" s="70"/>
      <c r="J963" s="71"/>
      <c r="K963" s="71"/>
      <c r="L963" s="67"/>
      <c r="N963" s="71"/>
      <c r="O963" s="71"/>
      <c r="P963" s="67"/>
      <c r="R963" s="67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  <c r="AL963" s="6"/>
      <c r="AM963" s="6"/>
      <c r="AN963" s="6"/>
      <c r="AO963" s="6"/>
      <c r="AP963" s="6"/>
      <c r="AQ963" s="6"/>
      <c r="AR963" s="6"/>
      <c r="AS963" s="6"/>
      <c r="AT963" s="6"/>
      <c r="AU963" s="6"/>
      <c r="AV963" s="6"/>
      <c r="AW963" s="6"/>
      <c r="AX963" s="6"/>
      <c r="AY963" s="6"/>
      <c r="AZ963" s="6"/>
      <c r="BA963" s="6"/>
      <c r="BB963" s="6"/>
      <c r="BC963" s="6"/>
      <c r="BD963" s="6"/>
      <c r="BE963" s="6"/>
      <c r="BF963" s="6"/>
      <c r="BG963" s="6"/>
      <c r="BH963" s="6"/>
      <c r="BI963" s="6"/>
      <c r="BJ963" s="6"/>
      <c r="BK963" s="6"/>
      <c r="BL963" s="6"/>
      <c r="BM963" s="6"/>
      <c r="BN963" s="6"/>
      <c r="BO963" s="6"/>
      <c r="BP963" s="6"/>
      <c r="BQ963" s="6"/>
      <c r="BR963" s="6"/>
      <c r="BS963" s="6"/>
      <c r="BT963" s="6"/>
      <c r="BU963" s="6"/>
      <c r="BV963" s="6"/>
      <c r="BW963" s="6"/>
      <c r="BX963" s="6"/>
      <c r="BY963" s="6"/>
      <c r="BZ963" s="6"/>
      <c r="CA963" s="6"/>
      <c r="CB963" s="6"/>
      <c r="CC963" s="6"/>
    </row>
    <row r="964" spans="2:81" x14ac:dyDescent="0.2">
      <c r="B964" s="68"/>
      <c r="C964" s="69"/>
      <c r="D964" s="70"/>
      <c r="F964" s="68"/>
      <c r="G964" s="69"/>
      <c r="H964" s="70"/>
      <c r="J964" s="71"/>
      <c r="K964" s="71"/>
      <c r="L964" s="67"/>
      <c r="N964" s="71"/>
      <c r="O964" s="71"/>
      <c r="P964" s="67"/>
      <c r="R964" s="67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  <c r="AL964" s="6"/>
      <c r="AM964" s="6"/>
      <c r="AN964" s="6"/>
      <c r="AO964" s="6"/>
      <c r="AP964" s="6"/>
      <c r="AQ964" s="6"/>
      <c r="AR964" s="6"/>
      <c r="AS964" s="6"/>
      <c r="AT964" s="6"/>
      <c r="AU964" s="6"/>
      <c r="AV964" s="6"/>
      <c r="AW964" s="6"/>
      <c r="AX964" s="6"/>
      <c r="AY964" s="6"/>
      <c r="AZ964" s="6"/>
      <c r="BA964" s="6"/>
      <c r="BB964" s="6"/>
      <c r="BC964" s="6"/>
      <c r="BD964" s="6"/>
      <c r="BE964" s="6"/>
      <c r="BF964" s="6"/>
      <c r="BG964" s="6"/>
      <c r="BH964" s="6"/>
      <c r="BI964" s="6"/>
      <c r="BJ964" s="6"/>
      <c r="BK964" s="6"/>
      <c r="BL964" s="6"/>
      <c r="BM964" s="6"/>
      <c r="BN964" s="6"/>
      <c r="BO964" s="6"/>
      <c r="BP964" s="6"/>
      <c r="BQ964" s="6"/>
      <c r="BR964" s="6"/>
      <c r="BS964" s="6"/>
      <c r="BT964" s="6"/>
      <c r="BU964" s="6"/>
      <c r="BV964" s="6"/>
      <c r="BW964" s="6"/>
      <c r="BX964" s="6"/>
      <c r="BY964" s="6"/>
      <c r="BZ964" s="6"/>
      <c r="CA964" s="6"/>
      <c r="CB964" s="6"/>
      <c r="CC964" s="6"/>
    </row>
    <row r="965" spans="2:81" x14ac:dyDescent="0.2">
      <c r="B965" s="68"/>
      <c r="C965" s="69"/>
      <c r="D965" s="70"/>
      <c r="F965" s="68"/>
      <c r="G965" s="69"/>
      <c r="H965" s="70"/>
      <c r="J965" s="71"/>
      <c r="K965" s="71"/>
      <c r="L965" s="67"/>
      <c r="N965" s="71"/>
      <c r="O965" s="71"/>
      <c r="P965" s="67"/>
      <c r="R965" s="67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  <c r="AL965" s="6"/>
      <c r="AM965" s="6"/>
      <c r="AN965" s="6"/>
      <c r="AO965" s="6"/>
      <c r="AP965" s="6"/>
      <c r="AQ965" s="6"/>
      <c r="AR965" s="6"/>
      <c r="AS965" s="6"/>
      <c r="AT965" s="6"/>
      <c r="AU965" s="6"/>
      <c r="AV965" s="6"/>
      <c r="AW965" s="6"/>
      <c r="AX965" s="6"/>
      <c r="AY965" s="6"/>
      <c r="AZ965" s="6"/>
      <c r="BA965" s="6"/>
      <c r="BB965" s="6"/>
      <c r="BC965" s="6"/>
      <c r="BD965" s="6"/>
      <c r="BE965" s="6"/>
      <c r="BF965" s="6"/>
      <c r="BG965" s="6"/>
      <c r="BH965" s="6"/>
      <c r="BI965" s="6"/>
      <c r="BJ965" s="6"/>
      <c r="BK965" s="6"/>
      <c r="BL965" s="6"/>
      <c r="BM965" s="6"/>
      <c r="BN965" s="6"/>
      <c r="BO965" s="6"/>
      <c r="BP965" s="6"/>
      <c r="BQ965" s="6"/>
      <c r="BR965" s="6"/>
      <c r="BS965" s="6"/>
      <c r="BT965" s="6"/>
      <c r="BU965" s="6"/>
      <c r="BV965" s="6"/>
      <c r="BW965" s="6"/>
      <c r="BX965" s="6"/>
      <c r="BY965" s="6"/>
      <c r="BZ965" s="6"/>
      <c r="CA965" s="6"/>
      <c r="CB965" s="6"/>
      <c r="CC965" s="6"/>
    </row>
    <row r="966" spans="2:81" x14ac:dyDescent="0.2">
      <c r="B966" s="68"/>
      <c r="C966" s="69"/>
      <c r="D966" s="70"/>
      <c r="F966" s="68"/>
      <c r="G966" s="69"/>
      <c r="H966" s="70"/>
      <c r="J966" s="71"/>
      <c r="K966" s="71"/>
      <c r="L966" s="67"/>
      <c r="N966" s="71"/>
      <c r="O966" s="71"/>
      <c r="P966" s="67"/>
      <c r="R966" s="67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  <c r="AL966" s="6"/>
      <c r="AM966" s="6"/>
      <c r="AN966" s="6"/>
      <c r="AO966" s="6"/>
      <c r="AP966" s="6"/>
      <c r="AQ966" s="6"/>
      <c r="AR966" s="6"/>
      <c r="AS966" s="6"/>
      <c r="AT966" s="6"/>
      <c r="AU966" s="6"/>
      <c r="AV966" s="6"/>
      <c r="AW966" s="6"/>
      <c r="AX966" s="6"/>
      <c r="AY966" s="6"/>
      <c r="AZ966" s="6"/>
      <c r="BA966" s="6"/>
      <c r="BB966" s="6"/>
      <c r="BC966" s="6"/>
      <c r="BD966" s="6"/>
      <c r="BE966" s="6"/>
      <c r="BF966" s="6"/>
      <c r="BG966" s="6"/>
      <c r="BH966" s="6"/>
      <c r="BI966" s="6"/>
      <c r="BJ966" s="6"/>
      <c r="BK966" s="6"/>
      <c r="BL966" s="6"/>
      <c r="BM966" s="6"/>
      <c r="BN966" s="6"/>
      <c r="BO966" s="6"/>
      <c r="BP966" s="6"/>
      <c r="BQ966" s="6"/>
      <c r="BR966" s="6"/>
      <c r="BS966" s="6"/>
      <c r="BT966" s="6"/>
      <c r="BU966" s="6"/>
      <c r="BV966" s="6"/>
      <c r="BW966" s="6"/>
      <c r="BX966" s="6"/>
      <c r="BY966" s="6"/>
      <c r="BZ966" s="6"/>
      <c r="CA966" s="6"/>
      <c r="CB966" s="6"/>
      <c r="CC966" s="6"/>
    </row>
    <row r="967" spans="2:81" x14ac:dyDescent="0.2">
      <c r="B967" s="68"/>
      <c r="C967" s="69"/>
      <c r="D967" s="70"/>
      <c r="F967" s="68"/>
      <c r="G967" s="69"/>
      <c r="H967" s="70"/>
      <c r="J967" s="71"/>
      <c r="K967" s="71"/>
      <c r="L967" s="67"/>
      <c r="N967" s="71"/>
      <c r="O967" s="71"/>
      <c r="P967" s="67"/>
      <c r="R967" s="67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  <c r="AL967" s="6"/>
      <c r="AM967" s="6"/>
      <c r="AN967" s="6"/>
      <c r="AO967" s="6"/>
      <c r="AP967" s="6"/>
      <c r="AQ967" s="6"/>
      <c r="AR967" s="6"/>
      <c r="AS967" s="6"/>
      <c r="AT967" s="6"/>
      <c r="AU967" s="6"/>
      <c r="AV967" s="6"/>
      <c r="AW967" s="6"/>
      <c r="AX967" s="6"/>
      <c r="AY967" s="6"/>
      <c r="AZ967" s="6"/>
      <c r="BA967" s="6"/>
      <c r="BB967" s="6"/>
      <c r="BC967" s="6"/>
      <c r="BD967" s="6"/>
      <c r="BE967" s="6"/>
      <c r="BF967" s="6"/>
      <c r="BG967" s="6"/>
      <c r="BH967" s="6"/>
      <c r="BI967" s="6"/>
      <c r="BJ967" s="6"/>
      <c r="BK967" s="6"/>
      <c r="BL967" s="6"/>
      <c r="BM967" s="6"/>
      <c r="BN967" s="6"/>
      <c r="BO967" s="6"/>
      <c r="BP967" s="6"/>
      <c r="BQ967" s="6"/>
      <c r="BR967" s="6"/>
      <c r="BS967" s="6"/>
      <c r="BT967" s="6"/>
      <c r="BU967" s="6"/>
      <c r="BV967" s="6"/>
      <c r="BW967" s="6"/>
      <c r="BX967" s="6"/>
      <c r="BY967" s="6"/>
      <c r="BZ967" s="6"/>
      <c r="CA967" s="6"/>
      <c r="CB967" s="6"/>
      <c r="CC967" s="6"/>
    </row>
    <row r="968" spans="2:81" x14ac:dyDescent="0.2">
      <c r="B968" s="68"/>
      <c r="C968" s="69"/>
      <c r="D968" s="70"/>
      <c r="F968" s="68"/>
      <c r="G968" s="69"/>
      <c r="H968" s="70"/>
      <c r="J968" s="71"/>
      <c r="K968" s="71"/>
      <c r="L968" s="67"/>
      <c r="N968" s="71"/>
      <c r="O968" s="71"/>
      <c r="P968" s="67"/>
      <c r="R968" s="67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  <c r="AL968" s="6"/>
      <c r="AM968" s="6"/>
      <c r="AN968" s="6"/>
      <c r="AO968" s="6"/>
      <c r="AP968" s="6"/>
      <c r="AQ968" s="6"/>
      <c r="AR968" s="6"/>
      <c r="AS968" s="6"/>
      <c r="AT968" s="6"/>
      <c r="AU968" s="6"/>
      <c r="AV968" s="6"/>
      <c r="AW968" s="6"/>
      <c r="AX968" s="6"/>
      <c r="AY968" s="6"/>
      <c r="AZ968" s="6"/>
      <c r="BA968" s="6"/>
      <c r="BB968" s="6"/>
      <c r="BC968" s="6"/>
      <c r="BD968" s="6"/>
      <c r="BE968" s="6"/>
      <c r="BF968" s="6"/>
      <c r="BG968" s="6"/>
      <c r="BH968" s="6"/>
      <c r="BI968" s="6"/>
      <c r="BJ968" s="6"/>
      <c r="BK968" s="6"/>
      <c r="BL968" s="6"/>
      <c r="BM968" s="6"/>
      <c r="BN968" s="6"/>
      <c r="BO968" s="6"/>
      <c r="BP968" s="6"/>
      <c r="BQ968" s="6"/>
      <c r="BR968" s="6"/>
      <c r="BS968" s="6"/>
      <c r="BT968" s="6"/>
      <c r="BU968" s="6"/>
      <c r="BV968" s="6"/>
      <c r="BW968" s="6"/>
      <c r="BX968" s="6"/>
      <c r="BY968" s="6"/>
      <c r="BZ968" s="6"/>
      <c r="CA968" s="6"/>
      <c r="CB968" s="6"/>
      <c r="CC968" s="6"/>
    </row>
    <row r="969" spans="2:81" x14ac:dyDescent="0.2">
      <c r="B969" s="68"/>
      <c r="C969" s="69"/>
      <c r="D969" s="70"/>
      <c r="F969" s="68"/>
      <c r="G969" s="69"/>
      <c r="H969" s="70"/>
      <c r="J969" s="71"/>
      <c r="K969" s="71"/>
      <c r="L969" s="67"/>
      <c r="N969" s="71"/>
      <c r="O969" s="71"/>
      <c r="P969" s="67"/>
      <c r="R969" s="67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  <c r="AL969" s="6"/>
      <c r="AM969" s="6"/>
      <c r="AN969" s="6"/>
      <c r="AO969" s="6"/>
      <c r="AP969" s="6"/>
      <c r="AQ969" s="6"/>
      <c r="AR969" s="6"/>
      <c r="AS969" s="6"/>
      <c r="AT969" s="6"/>
      <c r="AU969" s="6"/>
      <c r="AV969" s="6"/>
      <c r="AW969" s="6"/>
      <c r="AX969" s="6"/>
      <c r="AY969" s="6"/>
      <c r="AZ969" s="6"/>
      <c r="BA969" s="6"/>
      <c r="BB969" s="6"/>
      <c r="BC969" s="6"/>
      <c r="BD969" s="6"/>
      <c r="BE969" s="6"/>
      <c r="BF969" s="6"/>
      <c r="BG969" s="6"/>
      <c r="BH969" s="6"/>
      <c r="BI969" s="6"/>
      <c r="BJ969" s="6"/>
      <c r="BK969" s="6"/>
      <c r="BL969" s="6"/>
      <c r="BM969" s="6"/>
      <c r="BN969" s="6"/>
      <c r="BO969" s="6"/>
      <c r="BP969" s="6"/>
      <c r="BQ969" s="6"/>
      <c r="BR969" s="6"/>
      <c r="BS969" s="6"/>
      <c r="BT969" s="6"/>
      <c r="BU969" s="6"/>
      <c r="BV969" s="6"/>
      <c r="BW969" s="6"/>
      <c r="BX969" s="6"/>
      <c r="BY969" s="6"/>
      <c r="BZ969" s="6"/>
      <c r="CA969" s="6"/>
      <c r="CB969" s="6"/>
      <c r="CC969" s="6"/>
    </row>
    <row r="970" spans="2:81" x14ac:dyDescent="0.2">
      <c r="B970" s="68"/>
      <c r="C970" s="69"/>
      <c r="D970" s="70"/>
      <c r="F970" s="68"/>
      <c r="G970" s="69"/>
      <c r="H970" s="70"/>
      <c r="J970" s="71"/>
      <c r="K970" s="71"/>
      <c r="L970" s="67"/>
      <c r="N970" s="71"/>
      <c r="O970" s="71"/>
      <c r="P970" s="67"/>
      <c r="R970" s="67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  <c r="AL970" s="6"/>
      <c r="AM970" s="6"/>
      <c r="AN970" s="6"/>
      <c r="AO970" s="6"/>
      <c r="AP970" s="6"/>
      <c r="AQ970" s="6"/>
      <c r="AR970" s="6"/>
      <c r="AS970" s="6"/>
      <c r="AT970" s="6"/>
      <c r="AU970" s="6"/>
      <c r="AV970" s="6"/>
      <c r="AW970" s="6"/>
      <c r="AX970" s="6"/>
      <c r="AY970" s="6"/>
      <c r="AZ970" s="6"/>
      <c r="BA970" s="6"/>
      <c r="BB970" s="6"/>
      <c r="BC970" s="6"/>
      <c r="BD970" s="6"/>
      <c r="BE970" s="6"/>
      <c r="BF970" s="6"/>
      <c r="BG970" s="6"/>
      <c r="BH970" s="6"/>
      <c r="BI970" s="6"/>
      <c r="BJ970" s="6"/>
      <c r="BK970" s="6"/>
      <c r="BL970" s="6"/>
      <c r="BM970" s="6"/>
      <c r="BN970" s="6"/>
      <c r="BO970" s="6"/>
      <c r="BP970" s="6"/>
      <c r="BQ970" s="6"/>
      <c r="BR970" s="6"/>
      <c r="BS970" s="6"/>
      <c r="BT970" s="6"/>
      <c r="BU970" s="6"/>
      <c r="BV970" s="6"/>
      <c r="BW970" s="6"/>
      <c r="BX970" s="6"/>
      <c r="BY970" s="6"/>
      <c r="BZ970" s="6"/>
      <c r="CA970" s="6"/>
      <c r="CB970" s="6"/>
      <c r="CC970" s="6"/>
    </row>
    <row r="971" spans="2:81" x14ac:dyDescent="0.2">
      <c r="B971" s="68"/>
      <c r="C971" s="69"/>
      <c r="D971" s="70"/>
      <c r="F971" s="68"/>
      <c r="G971" s="69"/>
      <c r="H971" s="70"/>
      <c r="J971" s="71"/>
      <c r="K971" s="71"/>
      <c r="L971" s="67"/>
      <c r="N971" s="71"/>
      <c r="O971" s="71"/>
      <c r="P971" s="67"/>
      <c r="R971" s="67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  <c r="AL971" s="6"/>
      <c r="AM971" s="6"/>
      <c r="AN971" s="6"/>
      <c r="AO971" s="6"/>
      <c r="AP971" s="6"/>
      <c r="AQ971" s="6"/>
      <c r="AR971" s="6"/>
      <c r="AS971" s="6"/>
      <c r="AT971" s="6"/>
      <c r="AU971" s="6"/>
      <c r="AV971" s="6"/>
      <c r="AW971" s="6"/>
      <c r="AX971" s="6"/>
      <c r="AY971" s="6"/>
      <c r="AZ971" s="6"/>
      <c r="BA971" s="6"/>
      <c r="BB971" s="6"/>
      <c r="BC971" s="6"/>
      <c r="BD971" s="6"/>
      <c r="BE971" s="6"/>
      <c r="BF971" s="6"/>
      <c r="BG971" s="6"/>
      <c r="BH971" s="6"/>
      <c r="BI971" s="6"/>
      <c r="BJ971" s="6"/>
      <c r="BK971" s="6"/>
      <c r="BL971" s="6"/>
      <c r="BM971" s="6"/>
      <c r="BN971" s="6"/>
      <c r="BO971" s="6"/>
      <c r="BP971" s="6"/>
      <c r="BQ971" s="6"/>
      <c r="BR971" s="6"/>
      <c r="BS971" s="6"/>
      <c r="BT971" s="6"/>
      <c r="BU971" s="6"/>
      <c r="BV971" s="6"/>
      <c r="BW971" s="6"/>
      <c r="BX971" s="6"/>
      <c r="BY971" s="6"/>
      <c r="BZ971" s="6"/>
      <c r="CA971" s="6"/>
      <c r="CB971" s="6"/>
      <c r="CC971" s="6"/>
    </row>
    <row r="972" spans="2:81" x14ac:dyDescent="0.2">
      <c r="B972" s="68"/>
      <c r="C972" s="69"/>
      <c r="D972" s="70"/>
      <c r="F972" s="68"/>
      <c r="G972" s="69"/>
      <c r="H972" s="70"/>
      <c r="J972" s="71"/>
      <c r="K972" s="71"/>
      <c r="L972" s="67"/>
      <c r="N972" s="71"/>
      <c r="O972" s="71"/>
      <c r="P972" s="67"/>
      <c r="R972" s="67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  <c r="AL972" s="6"/>
      <c r="AM972" s="6"/>
      <c r="AN972" s="6"/>
      <c r="AO972" s="6"/>
      <c r="AP972" s="6"/>
      <c r="AQ972" s="6"/>
      <c r="AR972" s="6"/>
      <c r="AS972" s="6"/>
      <c r="AT972" s="6"/>
      <c r="AU972" s="6"/>
      <c r="AV972" s="6"/>
      <c r="AW972" s="6"/>
      <c r="AX972" s="6"/>
      <c r="AY972" s="6"/>
      <c r="AZ972" s="6"/>
      <c r="BA972" s="6"/>
      <c r="BB972" s="6"/>
      <c r="BC972" s="6"/>
      <c r="BD972" s="6"/>
      <c r="BE972" s="6"/>
      <c r="BF972" s="6"/>
      <c r="BG972" s="6"/>
      <c r="BH972" s="6"/>
      <c r="BI972" s="6"/>
      <c r="BJ972" s="6"/>
      <c r="BK972" s="6"/>
      <c r="BL972" s="6"/>
      <c r="BM972" s="6"/>
      <c r="BN972" s="6"/>
      <c r="BO972" s="6"/>
      <c r="BP972" s="6"/>
      <c r="BQ972" s="6"/>
      <c r="BR972" s="6"/>
      <c r="BS972" s="6"/>
      <c r="BT972" s="6"/>
      <c r="BU972" s="6"/>
      <c r="BV972" s="6"/>
      <c r="BW972" s="6"/>
      <c r="BX972" s="6"/>
      <c r="BY972" s="6"/>
      <c r="BZ972" s="6"/>
      <c r="CA972" s="6"/>
      <c r="CB972" s="6"/>
      <c r="CC972" s="6"/>
    </row>
    <row r="973" spans="2:81" x14ac:dyDescent="0.2">
      <c r="B973" s="68"/>
      <c r="C973" s="69"/>
      <c r="D973" s="70"/>
      <c r="F973" s="68"/>
      <c r="G973" s="69"/>
      <c r="H973" s="70"/>
      <c r="J973" s="71"/>
      <c r="K973" s="71"/>
      <c r="L973" s="67"/>
      <c r="N973" s="71"/>
      <c r="O973" s="71"/>
      <c r="P973" s="67"/>
      <c r="R973" s="67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  <c r="AL973" s="6"/>
      <c r="AM973" s="6"/>
      <c r="AN973" s="6"/>
      <c r="AO973" s="6"/>
      <c r="AP973" s="6"/>
      <c r="AQ973" s="6"/>
      <c r="AR973" s="6"/>
      <c r="AS973" s="6"/>
      <c r="AT973" s="6"/>
      <c r="AU973" s="6"/>
      <c r="AV973" s="6"/>
      <c r="AW973" s="6"/>
      <c r="AX973" s="6"/>
      <c r="AY973" s="6"/>
      <c r="AZ973" s="6"/>
      <c r="BA973" s="6"/>
      <c r="BB973" s="6"/>
      <c r="BC973" s="6"/>
      <c r="BD973" s="6"/>
      <c r="BE973" s="6"/>
      <c r="BF973" s="6"/>
      <c r="BG973" s="6"/>
      <c r="BH973" s="6"/>
      <c r="BI973" s="6"/>
      <c r="BJ973" s="6"/>
      <c r="BK973" s="6"/>
      <c r="BL973" s="6"/>
      <c r="BM973" s="6"/>
      <c r="BN973" s="6"/>
      <c r="BO973" s="6"/>
      <c r="BP973" s="6"/>
      <c r="BQ973" s="6"/>
      <c r="BR973" s="6"/>
      <c r="BS973" s="6"/>
      <c r="BT973" s="6"/>
      <c r="BU973" s="6"/>
      <c r="BV973" s="6"/>
      <c r="BW973" s="6"/>
      <c r="BX973" s="6"/>
      <c r="BY973" s="6"/>
      <c r="BZ973" s="6"/>
      <c r="CA973" s="6"/>
      <c r="CB973" s="6"/>
      <c r="CC973" s="6"/>
    </row>
    <row r="974" spans="2:81" x14ac:dyDescent="0.2">
      <c r="B974" s="68"/>
      <c r="C974" s="69"/>
      <c r="D974" s="70"/>
      <c r="F974" s="68"/>
      <c r="G974" s="69"/>
      <c r="H974" s="70"/>
      <c r="J974" s="71"/>
      <c r="K974" s="71"/>
      <c r="L974" s="67"/>
      <c r="N974" s="71"/>
      <c r="O974" s="71"/>
      <c r="P974" s="67"/>
      <c r="R974" s="67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  <c r="AL974" s="6"/>
      <c r="AM974" s="6"/>
      <c r="AN974" s="6"/>
      <c r="AO974" s="6"/>
      <c r="AP974" s="6"/>
      <c r="AQ974" s="6"/>
      <c r="AR974" s="6"/>
      <c r="AS974" s="6"/>
      <c r="AT974" s="6"/>
      <c r="AU974" s="6"/>
      <c r="AV974" s="6"/>
      <c r="AW974" s="6"/>
      <c r="AX974" s="6"/>
      <c r="AY974" s="6"/>
      <c r="AZ974" s="6"/>
      <c r="BA974" s="6"/>
      <c r="BB974" s="6"/>
      <c r="BC974" s="6"/>
      <c r="BD974" s="6"/>
      <c r="BE974" s="6"/>
      <c r="BF974" s="6"/>
      <c r="BG974" s="6"/>
      <c r="BH974" s="6"/>
      <c r="BI974" s="6"/>
      <c r="BJ974" s="6"/>
      <c r="BK974" s="6"/>
      <c r="BL974" s="6"/>
      <c r="BM974" s="6"/>
      <c r="BN974" s="6"/>
      <c r="BO974" s="6"/>
      <c r="BP974" s="6"/>
      <c r="BQ974" s="6"/>
      <c r="BR974" s="6"/>
      <c r="BS974" s="6"/>
      <c r="BT974" s="6"/>
      <c r="BU974" s="6"/>
      <c r="BV974" s="6"/>
      <c r="BW974" s="6"/>
      <c r="BX974" s="6"/>
      <c r="BY974" s="6"/>
      <c r="BZ974" s="6"/>
      <c r="CA974" s="6"/>
      <c r="CB974" s="6"/>
      <c r="CC974" s="6"/>
    </row>
    <row r="975" spans="2:81" x14ac:dyDescent="0.2">
      <c r="B975" s="68"/>
      <c r="C975" s="69"/>
      <c r="D975" s="70"/>
      <c r="F975" s="68"/>
      <c r="G975" s="69"/>
      <c r="H975" s="70"/>
      <c r="J975" s="71"/>
      <c r="K975" s="71"/>
      <c r="L975" s="67"/>
      <c r="N975" s="71"/>
      <c r="O975" s="71"/>
      <c r="P975" s="67"/>
      <c r="R975" s="67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  <c r="AL975" s="6"/>
      <c r="AM975" s="6"/>
      <c r="AN975" s="6"/>
      <c r="AO975" s="6"/>
      <c r="AP975" s="6"/>
      <c r="AQ975" s="6"/>
      <c r="AR975" s="6"/>
      <c r="AS975" s="6"/>
      <c r="AT975" s="6"/>
      <c r="AU975" s="6"/>
      <c r="AV975" s="6"/>
      <c r="AW975" s="6"/>
      <c r="AX975" s="6"/>
      <c r="AY975" s="6"/>
      <c r="AZ975" s="6"/>
      <c r="BA975" s="6"/>
      <c r="BB975" s="6"/>
      <c r="BC975" s="6"/>
      <c r="BD975" s="6"/>
      <c r="BE975" s="6"/>
      <c r="BF975" s="6"/>
      <c r="BG975" s="6"/>
      <c r="BH975" s="6"/>
      <c r="BI975" s="6"/>
      <c r="BJ975" s="6"/>
      <c r="BK975" s="6"/>
      <c r="BL975" s="6"/>
      <c r="BM975" s="6"/>
      <c r="BN975" s="6"/>
      <c r="BO975" s="6"/>
      <c r="BP975" s="6"/>
      <c r="BQ975" s="6"/>
      <c r="BR975" s="6"/>
      <c r="BS975" s="6"/>
      <c r="BT975" s="6"/>
      <c r="BU975" s="6"/>
      <c r="BV975" s="6"/>
      <c r="BW975" s="6"/>
      <c r="BX975" s="6"/>
      <c r="BY975" s="6"/>
      <c r="BZ975" s="6"/>
      <c r="CA975" s="6"/>
      <c r="CB975" s="6"/>
      <c r="CC975" s="6"/>
    </row>
    <row r="976" spans="2:81" x14ac:dyDescent="0.2">
      <c r="B976" s="68"/>
      <c r="C976" s="69"/>
      <c r="D976" s="70"/>
      <c r="F976" s="68"/>
      <c r="G976" s="69"/>
      <c r="H976" s="70"/>
      <c r="J976" s="71"/>
      <c r="K976" s="71"/>
      <c r="L976" s="67"/>
      <c r="N976" s="71"/>
      <c r="O976" s="71"/>
      <c r="P976" s="67"/>
      <c r="R976" s="67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  <c r="AL976" s="6"/>
      <c r="AM976" s="6"/>
      <c r="AN976" s="6"/>
      <c r="AO976" s="6"/>
      <c r="AP976" s="6"/>
      <c r="AQ976" s="6"/>
      <c r="AR976" s="6"/>
      <c r="AS976" s="6"/>
      <c r="AT976" s="6"/>
      <c r="AU976" s="6"/>
      <c r="AV976" s="6"/>
      <c r="AW976" s="6"/>
      <c r="AX976" s="6"/>
      <c r="AY976" s="6"/>
      <c r="AZ976" s="6"/>
      <c r="BA976" s="6"/>
      <c r="BB976" s="6"/>
      <c r="BC976" s="6"/>
      <c r="BD976" s="6"/>
      <c r="BE976" s="6"/>
      <c r="BF976" s="6"/>
      <c r="BG976" s="6"/>
      <c r="BH976" s="6"/>
      <c r="BI976" s="6"/>
      <c r="BJ976" s="6"/>
      <c r="BK976" s="6"/>
      <c r="BL976" s="6"/>
      <c r="BM976" s="6"/>
      <c r="BN976" s="6"/>
      <c r="BO976" s="6"/>
      <c r="BP976" s="6"/>
      <c r="BQ976" s="6"/>
      <c r="BR976" s="6"/>
      <c r="BS976" s="6"/>
      <c r="BT976" s="6"/>
      <c r="BU976" s="6"/>
      <c r="BV976" s="6"/>
      <c r="BW976" s="6"/>
      <c r="BX976" s="6"/>
      <c r="BY976" s="6"/>
      <c r="BZ976" s="6"/>
      <c r="CA976" s="6"/>
      <c r="CB976" s="6"/>
      <c r="CC976" s="6"/>
    </row>
    <row r="977" spans="2:81" x14ac:dyDescent="0.2">
      <c r="B977" s="68"/>
      <c r="C977" s="69"/>
      <c r="D977" s="70"/>
      <c r="F977" s="68"/>
      <c r="G977" s="69"/>
      <c r="H977" s="70"/>
      <c r="J977" s="71"/>
      <c r="K977" s="71"/>
      <c r="L977" s="67"/>
      <c r="N977" s="71"/>
      <c r="O977" s="71"/>
      <c r="P977" s="67"/>
      <c r="R977" s="67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  <c r="AL977" s="6"/>
      <c r="AM977" s="6"/>
      <c r="AN977" s="6"/>
      <c r="AO977" s="6"/>
      <c r="AP977" s="6"/>
      <c r="AQ977" s="6"/>
      <c r="AR977" s="6"/>
      <c r="AS977" s="6"/>
      <c r="AT977" s="6"/>
      <c r="AU977" s="6"/>
      <c r="AV977" s="6"/>
      <c r="AW977" s="6"/>
      <c r="AX977" s="6"/>
      <c r="AY977" s="6"/>
      <c r="AZ977" s="6"/>
      <c r="BA977" s="6"/>
      <c r="BB977" s="6"/>
      <c r="BC977" s="6"/>
      <c r="BD977" s="6"/>
      <c r="BE977" s="6"/>
      <c r="BF977" s="6"/>
      <c r="BG977" s="6"/>
      <c r="BH977" s="6"/>
      <c r="BI977" s="6"/>
      <c r="BJ977" s="6"/>
      <c r="BK977" s="6"/>
      <c r="BL977" s="6"/>
      <c r="BM977" s="6"/>
      <c r="BN977" s="6"/>
      <c r="BO977" s="6"/>
      <c r="BP977" s="6"/>
      <c r="BQ977" s="6"/>
      <c r="BR977" s="6"/>
      <c r="BS977" s="6"/>
      <c r="BT977" s="6"/>
      <c r="BU977" s="6"/>
      <c r="BV977" s="6"/>
      <c r="BW977" s="6"/>
      <c r="BX977" s="6"/>
      <c r="BY977" s="6"/>
      <c r="BZ977" s="6"/>
      <c r="CA977" s="6"/>
      <c r="CB977" s="6"/>
      <c r="CC977" s="6"/>
    </row>
    <row r="978" spans="2:81" x14ac:dyDescent="0.2">
      <c r="B978" s="68"/>
      <c r="C978" s="69"/>
      <c r="D978" s="70"/>
      <c r="F978" s="68"/>
      <c r="G978" s="69"/>
      <c r="H978" s="70"/>
      <c r="J978" s="71"/>
      <c r="K978" s="71"/>
      <c r="L978" s="67"/>
      <c r="N978" s="71"/>
      <c r="O978" s="71"/>
      <c r="P978" s="67"/>
      <c r="R978" s="67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  <c r="AL978" s="6"/>
      <c r="AM978" s="6"/>
      <c r="AN978" s="6"/>
      <c r="AO978" s="6"/>
      <c r="AP978" s="6"/>
      <c r="AQ978" s="6"/>
      <c r="AR978" s="6"/>
      <c r="AS978" s="6"/>
      <c r="AT978" s="6"/>
      <c r="AU978" s="6"/>
      <c r="AV978" s="6"/>
      <c r="AW978" s="6"/>
      <c r="AX978" s="6"/>
      <c r="AY978" s="6"/>
      <c r="AZ978" s="6"/>
      <c r="BA978" s="6"/>
      <c r="BB978" s="6"/>
      <c r="BC978" s="6"/>
      <c r="BD978" s="6"/>
      <c r="BE978" s="6"/>
      <c r="BF978" s="6"/>
      <c r="BG978" s="6"/>
      <c r="BH978" s="6"/>
      <c r="BI978" s="6"/>
      <c r="BJ978" s="6"/>
      <c r="BK978" s="6"/>
      <c r="BL978" s="6"/>
      <c r="BM978" s="6"/>
      <c r="BN978" s="6"/>
      <c r="BO978" s="6"/>
      <c r="BP978" s="6"/>
      <c r="BQ978" s="6"/>
      <c r="BR978" s="6"/>
      <c r="BS978" s="6"/>
      <c r="BT978" s="6"/>
      <c r="BU978" s="6"/>
      <c r="BV978" s="6"/>
      <c r="BW978" s="6"/>
      <c r="BX978" s="6"/>
      <c r="BY978" s="6"/>
      <c r="BZ978" s="6"/>
      <c r="CA978" s="6"/>
      <c r="CB978" s="6"/>
      <c r="CC978" s="6"/>
    </row>
    <row r="979" spans="2:81" x14ac:dyDescent="0.2">
      <c r="B979" s="68"/>
      <c r="C979" s="69"/>
      <c r="D979" s="70"/>
      <c r="F979" s="68"/>
      <c r="G979" s="69"/>
      <c r="H979" s="70"/>
      <c r="J979" s="71"/>
      <c r="K979" s="71"/>
      <c r="L979" s="67"/>
      <c r="N979" s="71"/>
      <c r="O979" s="71"/>
      <c r="P979" s="67"/>
      <c r="R979" s="67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  <c r="AL979" s="6"/>
      <c r="AM979" s="6"/>
      <c r="AN979" s="6"/>
      <c r="AO979" s="6"/>
      <c r="AP979" s="6"/>
      <c r="AQ979" s="6"/>
      <c r="AR979" s="6"/>
      <c r="AS979" s="6"/>
      <c r="AT979" s="6"/>
      <c r="AU979" s="6"/>
      <c r="AV979" s="6"/>
      <c r="AW979" s="6"/>
      <c r="AX979" s="6"/>
      <c r="AY979" s="6"/>
      <c r="AZ979" s="6"/>
      <c r="BA979" s="6"/>
      <c r="BB979" s="6"/>
      <c r="BC979" s="6"/>
      <c r="BD979" s="6"/>
      <c r="BE979" s="6"/>
      <c r="BF979" s="6"/>
      <c r="BG979" s="6"/>
      <c r="BH979" s="6"/>
      <c r="BI979" s="6"/>
      <c r="BJ979" s="6"/>
      <c r="BK979" s="6"/>
      <c r="BL979" s="6"/>
      <c r="BM979" s="6"/>
      <c r="BN979" s="6"/>
      <c r="BO979" s="6"/>
      <c r="BP979" s="6"/>
      <c r="BQ979" s="6"/>
      <c r="BR979" s="6"/>
      <c r="BS979" s="6"/>
      <c r="BT979" s="6"/>
      <c r="BU979" s="6"/>
      <c r="BV979" s="6"/>
      <c r="BW979" s="6"/>
      <c r="BX979" s="6"/>
      <c r="BY979" s="6"/>
      <c r="BZ979" s="6"/>
      <c r="CA979" s="6"/>
      <c r="CB979" s="6"/>
      <c r="CC979" s="6"/>
    </row>
    <row r="980" spans="2:81" x14ac:dyDescent="0.2">
      <c r="B980" s="68"/>
      <c r="C980" s="69"/>
      <c r="D980" s="70"/>
      <c r="F980" s="68"/>
      <c r="G980" s="69"/>
      <c r="H980" s="70"/>
      <c r="J980" s="71"/>
      <c r="K980" s="71"/>
      <c r="L980" s="67"/>
      <c r="N980" s="71"/>
      <c r="O980" s="71"/>
      <c r="P980" s="67"/>
      <c r="R980" s="67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  <c r="AL980" s="6"/>
      <c r="AM980" s="6"/>
      <c r="AN980" s="6"/>
      <c r="AO980" s="6"/>
      <c r="AP980" s="6"/>
      <c r="AQ980" s="6"/>
      <c r="AR980" s="6"/>
      <c r="AS980" s="6"/>
      <c r="AT980" s="6"/>
      <c r="AU980" s="6"/>
      <c r="AV980" s="6"/>
      <c r="AW980" s="6"/>
      <c r="AX980" s="6"/>
      <c r="AY980" s="6"/>
      <c r="AZ980" s="6"/>
      <c r="BA980" s="6"/>
      <c r="BB980" s="6"/>
      <c r="BC980" s="6"/>
      <c r="BD980" s="6"/>
      <c r="BE980" s="6"/>
      <c r="BF980" s="6"/>
      <c r="BG980" s="6"/>
      <c r="BH980" s="6"/>
      <c r="BI980" s="6"/>
      <c r="BJ980" s="6"/>
      <c r="BK980" s="6"/>
      <c r="BL980" s="6"/>
      <c r="BM980" s="6"/>
      <c r="BN980" s="6"/>
      <c r="BO980" s="6"/>
      <c r="BP980" s="6"/>
      <c r="BQ980" s="6"/>
      <c r="BR980" s="6"/>
      <c r="BS980" s="6"/>
      <c r="BT980" s="6"/>
      <c r="BU980" s="6"/>
      <c r="BV980" s="6"/>
      <c r="BW980" s="6"/>
      <c r="BX980" s="6"/>
      <c r="BY980" s="6"/>
      <c r="BZ980" s="6"/>
      <c r="CA980" s="6"/>
      <c r="CB980" s="6"/>
      <c r="CC980" s="6"/>
    </row>
    <row r="981" spans="2:81" x14ac:dyDescent="0.2">
      <c r="B981" s="68"/>
      <c r="C981" s="69"/>
      <c r="D981" s="70"/>
      <c r="F981" s="68"/>
      <c r="G981" s="69"/>
      <c r="H981" s="70"/>
      <c r="J981" s="71"/>
      <c r="K981" s="71"/>
      <c r="L981" s="67"/>
      <c r="N981" s="71"/>
      <c r="O981" s="71"/>
      <c r="P981" s="67"/>
      <c r="R981" s="67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  <c r="AL981" s="6"/>
      <c r="AM981" s="6"/>
      <c r="AN981" s="6"/>
      <c r="AO981" s="6"/>
      <c r="AP981" s="6"/>
      <c r="AQ981" s="6"/>
      <c r="AR981" s="6"/>
      <c r="AS981" s="6"/>
      <c r="AT981" s="6"/>
      <c r="AU981" s="6"/>
      <c r="AV981" s="6"/>
      <c r="AW981" s="6"/>
      <c r="AX981" s="6"/>
      <c r="AY981" s="6"/>
      <c r="AZ981" s="6"/>
      <c r="BA981" s="6"/>
      <c r="BB981" s="6"/>
      <c r="BC981" s="6"/>
      <c r="BD981" s="6"/>
      <c r="BE981" s="6"/>
      <c r="BF981" s="6"/>
      <c r="BG981" s="6"/>
      <c r="BH981" s="6"/>
      <c r="BI981" s="6"/>
      <c r="BJ981" s="6"/>
      <c r="BK981" s="6"/>
      <c r="BL981" s="6"/>
      <c r="BM981" s="6"/>
      <c r="BN981" s="6"/>
      <c r="BO981" s="6"/>
      <c r="BP981" s="6"/>
      <c r="BQ981" s="6"/>
      <c r="BR981" s="6"/>
      <c r="BS981" s="6"/>
      <c r="BT981" s="6"/>
      <c r="BU981" s="6"/>
      <c r="BV981" s="6"/>
      <c r="BW981" s="6"/>
      <c r="BX981" s="6"/>
      <c r="BY981" s="6"/>
      <c r="BZ981" s="6"/>
      <c r="CA981" s="6"/>
      <c r="CB981" s="6"/>
      <c r="CC981" s="6"/>
    </row>
    <row r="982" spans="2:81" x14ac:dyDescent="0.2">
      <c r="B982" s="68"/>
      <c r="C982" s="69"/>
      <c r="D982" s="70"/>
      <c r="F982" s="68"/>
      <c r="G982" s="69"/>
      <c r="H982" s="70"/>
      <c r="J982" s="71"/>
      <c r="K982" s="71"/>
      <c r="L982" s="67"/>
      <c r="N982" s="71"/>
      <c r="O982" s="71"/>
      <c r="P982" s="67"/>
      <c r="R982" s="67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  <c r="AI982" s="6"/>
      <c r="AJ982" s="6"/>
      <c r="AK982" s="6"/>
      <c r="AL982" s="6"/>
      <c r="AM982" s="6"/>
      <c r="AN982" s="6"/>
      <c r="AO982" s="6"/>
      <c r="AP982" s="6"/>
      <c r="AQ982" s="6"/>
      <c r="AR982" s="6"/>
      <c r="AS982" s="6"/>
      <c r="AT982" s="6"/>
      <c r="AU982" s="6"/>
      <c r="AV982" s="6"/>
      <c r="AW982" s="6"/>
      <c r="AX982" s="6"/>
      <c r="AY982" s="6"/>
      <c r="AZ982" s="6"/>
      <c r="BA982" s="6"/>
      <c r="BB982" s="6"/>
      <c r="BC982" s="6"/>
      <c r="BD982" s="6"/>
      <c r="BE982" s="6"/>
      <c r="BF982" s="6"/>
      <c r="BG982" s="6"/>
      <c r="BH982" s="6"/>
      <c r="BI982" s="6"/>
      <c r="BJ982" s="6"/>
      <c r="BK982" s="6"/>
      <c r="BL982" s="6"/>
      <c r="BM982" s="6"/>
      <c r="BN982" s="6"/>
      <c r="BO982" s="6"/>
      <c r="BP982" s="6"/>
      <c r="BQ982" s="6"/>
      <c r="BR982" s="6"/>
      <c r="BS982" s="6"/>
      <c r="BT982" s="6"/>
      <c r="BU982" s="6"/>
      <c r="BV982" s="6"/>
      <c r="BW982" s="6"/>
      <c r="BX982" s="6"/>
      <c r="BY982" s="6"/>
      <c r="BZ982" s="6"/>
      <c r="CA982" s="6"/>
      <c r="CB982" s="6"/>
      <c r="CC982" s="6"/>
    </row>
    <row r="983" spans="2:81" x14ac:dyDescent="0.2">
      <c r="B983" s="68"/>
      <c r="C983" s="69"/>
      <c r="D983" s="70"/>
      <c r="F983" s="68"/>
      <c r="G983" s="69"/>
      <c r="H983" s="70"/>
      <c r="J983" s="71"/>
      <c r="K983" s="71"/>
      <c r="L983" s="67"/>
      <c r="N983" s="71"/>
      <c r="O983" s="71"/>
      <c r="P983" s="67"/>
      <c r="R983" s="67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  <c r="AI983" s="6"/>
      <c r="AJ983" s="6"/>
      <c r="AK983" s="6"/>
      <c r="AL983" s="6"/>
      <c r="AM983" s="6"/>
      <c r="AN983" s="6"/>
      <c r="AO983" s="6"/>
      <c r="AP983" s="6"/>
      <c r="AQ983" s="6"/>
      <c r="AR983" s="6"/>
      <c r="AS983" s="6"/>
      <c r="AT983" s="6"/>
      <c r="AU983" s="6"/>
      <c r="AV983" s="6"/>
      <c r="AW983" s="6"/>
      <c r="AX983" s="6"/>
      <c r="AY983" s="6"/>
      <c r="AZ983" s="6"/>
      <c r="BA983" s="6"/>
      <c r="BB983" s="6"/>
      <c r="BC983" s="6"/>
      <c r="BD983" s="6"/>
      <c r="BE983" s="6"/>
      <c r="BF983" s="6"/>
      <c r="BG983" s="6"/>
      <c r="BH983" s="6"/>
      <c r="BI983" s="6"/>
      <c r="BJ983" s="6"/>
      <c r="BK983" s="6"/>
      <c r="BL983" s="6"/>
      <c r="BM983" s="6"/>
      <c r="BN983" s="6"/>
      <c r="BO983" s="6"/>
      <c r="BP983" s="6"/>
      <c r="BQ983" s="6"/>
      <c r="BR983" s="6"/>
      <c r="BS983" s="6"/>
      <c r="BT983" s="6"/>
      <c r="BU983" s="6"/>
      <c r="BV983" s="6"/>
      <c r="BW983" s="6"/>
      <c r="BX983" s="6"/>
      <c r="BY983" s="6"/>
      <c r="BZ983" s="6"/>
      <c r="CA983" s="6"/>
      <c r="CB983" s="6"/>
      <c r="CC983" s="6"/>
    </row>
    <row r="984" spans="2:81" x14ac:dyDescent="0.2">
      <c r="B984" s="68"/>
      <c r="C984" s="69"/>
      <c r="D984" s="70"/>
      <c r="F984" s="68"/>
      <c r="G984" s="69"/>
      <c r="H984" s="70"/>
      <c r="J984" s="71"/>
      <c r="K984" s="71"/>
      <c r="L984" s="67"/>
      <c r="N984" s="71"/>
      <c r="O984" s="71"/>
      <c r="P984" s="67"/>
      <c r="R984" s="67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  <c r="AI984" s="6"/>
      <c r="AJ984" s="6"/>
      <c r="AK984" s="6"/>
      <c r="AL984" s="6"/>
      <c r="AM984" s="6"/>
      <c r="AN984" s="6"/>
      <c r="AO984" s="6"/>
      <c r="AP984" s="6"/>
      <c r="AQ984" s="6"/>
      <c r="AR984" s="6"/>
      <c r="AS984" s="6"/>
      <c r="AT984" s="6"/>
      <c r="AU984" s="6"/>
      <c r="AV984" s="6"/>
      <c r="AW984" s="6"/>
      <c r="AX984" s="6"/>
      <c r="AY984" s="6"/>
      <c r="AZ984" s="6"/>
      <c r="BA984" s="6"/>
      <c r="BB984" s="6"/>
      <c r="BC984" s="6"/>
      <c r="BD984" s="6"/>
      <c r="BE984" s="6"/>
      <c r="BF984" s="6"/>
      <c r="BG984" s="6"/>
      <c r="BH984" s="6"/>
      <c r="BI984" s="6"/>
      <c r="BJ984" s="6"/>
      <c r="BK984" s="6"/>
      <c r="BL984" s="6"/>
      <c r="BM984" s="6"/>
      <c r="BN984" s="6"/>
      <c r="BO984" s="6"/>
      <c r="BP984" s="6"/>
      <c r="BQ984" s="6"/>
      <c r="BR984" s="6"/>
      <c r="BS984" s="6"/>
      <c r="BT984" s="6"/>
      <c r="BU984" s="6"/>
      <c r="BV984" s="6"/>
      <c r="BW984" s="6"/>
      <c r="BX984" s="6"/>
      <c r="BY984" s="6"/>
      <c r="BZ984" s="6"/>
      <c r="CA984" s="6"/>
      <c r="CB984" s="6"/>
      <c r="CC984" s="6"/>
    </row>
    <row r="985" spans="2:81" x14ac:dyDescent="0.2">
      <c r="B985" s="68"/>
      <c r="C985" s="69"/>
      <c r="D985" s="70"/>
      <c r="F985" s="68"/>
      <c r="G985" s="69"/>
      <c r="H985" s="70"/>
      <c r="J985" s="71"/>
      <c r="K985" s="71"/>
      <c r="L985" s="67"/>
      <c r="N985" s="71"/>
      <c r="O985" s="71"/>
      <c r="P985" s="67"/>
      <c r="R985" s="67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  <c r="AI985" s="6"/>
      <c r="AJ985" s="6"/>
      <c r="AK985" s="6"/>
      <c r="AL985" s="6"/>
      <c r="AM985" s="6"/>
      <c r="AN985" s="6"/>
      <c r="AO985" s="6"/>
      <c r="AP985" s="6"/>
      <c r="AQ985" s="6"/>
      <c r="AR985" s="6"/>
      <c r="AS985" s="6"/>
      <c r="AT985" s="6"/>
      <c r="AU985" s="6"/>
      <c r="AV985" s="6"/>
      <c r="AW985" s="6"/>
      <c r="AX985" s="6"/>
      <c r="AY985" s="6"/>
      <c r="AZ985" s="6"/>
      <c r="BA985" s="6"/>
      <c r="BB985" s="6"/>
      <c r="BC985" s="6"/>
      <c r="BD985" s="6"/>
      <c r="BE985" s="6"/>
      <c r="BF985" s="6"/>
      <c r="BG985" s="6"/>
      <c r="BH985" s="6"/>
      <c r="BI985" s="6"/>
      <c r="BJ985" s="6"/>
      <c r="BK985" s="6"/>
      <c r="BL985" s="6"/>
      <c r="BM985" s="6"/>
      <c r="BN985" s="6"/>
      <c r="BO985" s="6"/>
      <c r="BP985" s="6"/>
      <c r="BQ985" s="6"/>
      <c r="BR985" s="6"/>
      <c r="BS985" s="6"/>
      <c r="BT985" s="6"/>
      <c r="BU985" s="6"/>
      <c r="BV985" s="6"/>
      <c r="BW985" s="6"/>
      <c r="BX985" s="6"/>
      <c r="BY985" s="6"/>
      <c r="BZ985" s="6"/>
      <c r="CA985" s="6"/>
      <c r="CB985" s="6"/>
      <c r="CC985" s="6"/>
    </row>
    <row r="986" spans="2:81" x14ac:dyDescent="0.2">
      <c r="B986" s="68"/>
      <c r="C986" s="69"/>
      <c r="D986" s="70"/>
      <c r="F986" s="68"/>
      <c r="G986" s="69"/>
      <c r="H986" s="70"/>
      <c r="J986" s="71"/>
      <c r="K986" s="71"/>
      <c r="L986" s="67"/>
      <c r="N986" s="71"/>
      <c r="O986" s="71"/>
      <c r="P986" s="67"/>
      <c r="R986" s="67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  <c r="AI986" s="6"/>
      <c r="AJ986" s="6"/>
      <c r="AK986" s="6"/>
      <c r="AL986" s="6"/>
      <c r="AM986" s="6"/>
      <c r="AN986" s="6"/>
      <c r="AO986" s="6"/>
      <c r="AP986" s="6"/>
      <c r="AQ986" s="6"/>
      <c r="AR986" s="6"/>
      <c r="AS986" s="6"/>
      <c r="AT986" s="6"/>
      <c r="AU986" s="6"/>
      <c r="AV986" s="6"/>
      <c r="AW986" s="6"/>
      <c r="AX986" s="6"/>
      <c r="AY986" s="6"/>
      <c r="AZ986" s="6"/>
      <c r="BA986" s="6"/>
      <c r="BB986" s="6"/>
      <c r="BC986" s="6"/>
      <c r="BD986" s="6"/>
      <c r="BE986" s="6"/>
      <c r="BF986" s="6"/>
      <c r="BG986" s="6"/>
      <c r="BH986" s="6"/>
      <c r="BI986" s="6"/>
      <c r="BJ986" s="6"/>
      <c r="BK986" s="6"/>
      <c r="BL986" s="6"/>
      <c r="BM986" s="6"/>
      <c r="BN986" s="6"/>
      <c r="BO986" s="6"/>
      <c r="BP986" s="6"/>
      <c r="BQ986" s="6"/>
      <c r="BR986" s="6"/>
      <c r="BS986" s="6"/>
      <c r="BT986" s="6"/>
      <c r="BU986" s="6"/>
      <c r="BV986" s="6"/>
      <c r="BW986" s="6"/>
      <c r="BX986" s="6"/>
      <c r="BY986" s="6"/>
      <c r="BZ986" s="6"/>
      <c r="CA986" s="6"/>
      <c r="CB986" s="6"/>
      <c r="CC986" s="6"/>
    </row>
    <row r="987" spans="2:81" x14ac:dyDescent="0.2">
      <c r="B987" s="68"/>
      <c r="C987" s="69"/>
      <c r="D987" s="70"/>
      <c r="F987" s="68"/>
      <c r="G987" s="69"/>
      <c r="H987" s="70"/>
      <c r="J987" s="71"/>
      <c r="K987" s="71"/>
      <c r="L987" s="67"/>
      <c r="N987" s="71"/>
      <c r="O987" s="71"/>
      <c r="P987" s="67"/>
      <c r="R987" s="67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  <c r="AI987" s="6"/>
      <c r="AJ987" s="6"/>
      <c r="AK987" s="6"/>
      <c r="AL987" s="6"/>
      <c r="AM987" s="6"/>
      <c r="AN987" s="6"/>
      <c r="AO987" s="6"/>
      <c r="AP987" s="6"/>
      <c r="AQ987" s="6"/>
      <c r="AR987" s="6"/>
      <c r="AS987" s="6"/>
      <c r="AT987" s="6"/>
      <c r="AU987" s="6"/>
      <c r="AV987" s="6"/>
      <c r="AW987" s="6"/>
      <c r="AX987" s="6"/>
      <c r="AY987" s="6"/>
      <c r="AZ987" s="6"/>
      <c r="BA987" s="6"/>
      <c r="BB987" s="6"/>
      <c r="BC987" s="6"/>
      <c r="BD987" s="6"/>
      <c r="BE987" s="6"/>
      <c r="BF987" s="6"/>
      <c r="BG987" s="6"/>
      <c r="BH987" s="6"/>
      <c r="BI987" s="6"/>
      <c r="BJ987" s="6"/>
      <c r="BK987" s="6"/>
      <c r="BL987" s="6"/>
      <c r="BM987" s="6"/>
      <c r="BN987" s="6"/>
      <c r="BO987" s="6"/>
      <c r="BP987" s="6"/>
      <c r="BQ987" s="6"/>
      <c r="BR987" s="6"/>
      <c r="BS987" s="6"/>
      <c r="BT987" s="6"/>
      <c r="BU987" s="6"/>
      <c r="BV987" s="6"/>
      <c r="BW987" s="6"/>
      <c r="BX987" s="6"/>
      <c r="BY987" s="6"/>
      <c r="BZ987" s="6"/>
      <c r="CA987" s="6"/>
      <c r="CB987" s="6"/>
      <c r="CC987" s="6"/>
    </row>
    <row r="988" spans="2:81" x14ac:dyDescent="0.2">
      <c r="B988" s="68"/>
      <c r="C988" s="69"/>
      <c r="D988" s="70"/>
      <c r="F988" s="68"/>
      <c r="G988" s="69"/>
      <c r="H988" s="70"/>
      <c r="J988" s="71"/>
      <c r="K988" s="71"/>
      <c r="L988" s="67"/>
      <c r="N988" s="71"/>
      <c r="O988" s="71"/>
      <c r="P988" s="67"/>
      <c r="R988" s="67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  <c r="AI988" s="6"/>
      <c r="AJ988" s="6"/>
      <c r="AK988" s="6"/>
      <c r="AL988" s="6"/>
      <c r="AM988" s="6"/>
      <c r="AN988" s="6"/>
      <c r="AO988" s="6"/>
      <c r="AP988" s="6"/>
      <c r="AQ988" s="6"/>
      <c r="AR988" s="6"/>
      <c r="AS988" s="6"/>
      <c r="AT988" s="6"/>
      <c r="AU988" s="6"/>
      <c r="AV988" s="6"/>
      <c r="AW988" s="6"/>
      <c r="AX988" s="6"/>
      <c r="AY988" s="6"/>
      <c r="AZ988" s="6"/>
      <c r="BA988" s="6"/>
      <c r="BB988" s="6"/>
      <c r="BC988" s="6"/>
      <c r="BD988" s="6"/>
      <c r="BE988" s="6"/>
      <c r="BF988" s="6"/>
      <c r="BG988" s="6"/>
      <c r="BH988" s="6"/>
      <c r="BI988" s="6"/>
      <c r="BJ988" s="6"/>
      <c r="BK988" s="6"/>
      <c r="BL988" s="6"/>
      <c r="BM988" s="6"/>
      <c r="BN988" s="6"/>
      <c r="BO988" s="6"/>
      <c r="BP988" s="6"/>
      <c r="BQ988" s="6"/>
      <c r="BR988" s="6"/>
      <c r="BS988" s="6"/>
      <c r="BT988" s="6"/>
      <c r="BU988" s="6"/>
      <c r="BV988" s="6"/>
      <c r="BW988" s="6"/>
      <c r="BX988" s="6"/>
      <c r="BY988" s="6"/>
      <c r="BZ988" s="6"/>
      <c r="CA988" s="6"/>
      <c r="CB988" s="6"/>
      <c r="CC988" s="6"/>
    </row>
    <row r="989" spans="2:81" x14ac:dyDescent="0.2">
      <c r="B989" s="68"/>
      <c r="C989" s="69"/>
      <c r="D989" s="70"/>
      <c r="F989" s="68"/>
      <c r="G989" s="69"/>
      <c r="H989" s="70"/>
      <c r="J989" s="71"/>
      <c r="K989" s="71"/>
      <c r="L989" s="67"/>
      <c r="N989" s="71"/>
      <c r="O989" s="71"/>
      <c r="P989" s="67"/>
      <c r="R989" s="67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  <c r="AI989" s="6"/>
      <c r="AJ989" s="6"/>
      <c r="AK989" s="6"/>
      <c r="AL989" s="6"/>
      <c r="AM989" s="6"/>
      <c r="AN989" s="6"/>
      <c r="AO989" s="6"/>
      <c r="AP989" s="6"/>
      <c r="AQ989" s="6"/>
      <c r="AR989" s="6"/>
      <c r="AS989" s="6"/>
      <c r="AT989" s="6"/>
      <c r="AU989" s="6"/>
      <c r="AV989" s="6"/>
      <c r="AW989" s="6"/>
      <c r="AX989" s="6"/>
      <c r="AY989" s="6"/>
      <c r="AZ989" s="6"/>
      <c r="BA989" s="6"/>
      <c r="BB989" s="6"/>
      <c r="BC989" s="6"/>
      <c r="BD989" s="6"/>
      <c r="BE989" s="6"/>
      <c r="BF989" s="6"/>
      <c r="BG989" s="6"/>
      <c r="BH989" s="6"/>
      <c r="BI989" s="6"/>
      <c r="BJ989" s="6"/>
      <c r="BK989" s="6"/>
      <c r="BL989" s="6"/>
      <c r="BM989" s="6"/>
      <c r="BN989" s="6"/>
      <c r="BO989" s="6"/>
      <c r="BP989" s="6"/>
      <c r="BQ989" s="6"/>
      <c r="BR989" s="6"/>
      <c r="BS989" s="6"/>
      <c r="BT989" s="6"/>
      <c r="BU989" s="6"/>
      <c r="BV989" s="6"/>
      <c r="BW989" s="6"/>
      <c r="BX989" s="6"/>
      <c r="BY989" s="6"/>
      <c r="BZ989" s="6"/>
      <c r="CA989" s="6"/>
      <c r="CB989" s="6"/>
      <c r="CC989" s="6"/>
    </row>
    <row r="990" spans="2:81" x14ac:dyDescent="0.2">
      <c r="B990" s="68"/>
      <c r="C990" s="69"/>
      <c r="D990" s="70"/>
      <c r="F990" s="68"/>
      <c r="G990" s="69"/>
      <c r="H990" s="70"/>
      <c r="J990" s="71"/>
      <c r="K990" s="71"/>
      <c r="L990" s="67"/>
      <c r="N990" s="71"/>
      <c r="O990" s="71"/>
      <c r="P990" s="67"/>
      <c r="R990" s="67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  <c r="AI990" s="6"/>
      <c r="AJ990" s="6"/>
      <c r="AK990" s="6"/>
      <c r="AL990" s="6"/>
      <c r="AM990" s="6"/>
      <c r="AN990" s="6"/>
      <c r="AO990" s="6"/>
      <c r="AP990" s="6"/>
      <c r="AQ990" s="6"/>
      <c r="AR990" s="6"/>
      <c r="AS990" s="6"/>
      <c r="AT990" s="6"/>
      <c r="AU990" s="6"/>
      <c r="AV990" s="6"/>
      <c r="AW990" s="6"/>
      <c r="AX990" s="6"/>
      <c r="AY990" s="6"/>
      <c r="AZ990" s="6"/>
      <c r="BA990" s="6"/>
      <c r="BB990" s="6"/>
      <c r="BC990" s="6"/>
      <c r="BD990" s="6"/>
      <c r="BE990" s="6"/>
      <c r="BF990" s="6"/>
      <c r="BG990" s="6"/>
      <c r="BH990" s="6"/>
      <c r="BI990" s="6"/>
      <c r="BJ990" s="6"/>
      <c r="BK990" s="6"/>
      <c r="BL990" s="6"/>
      <c r="BM990" s="6"/>
      <c r="BN990" s="6"/>
      <c r="BO990" s="6"/>
      <c r="BP990" s="6"/>
      <c r="BQ990" s="6"/>
      <c r="BR990" s="6"/>
      <c r="BS990" s="6"/>
      <c r="BT990" s="6"/>
      <c r="BU990" s="6"/>
      <c r="BV990" s="6"/>
      <c r="BW990" s="6"/>
      <c r="BX990" s="6"/>
      <c r="BY990" s="6"/>
      <c r="BZ990" s="6"/>
      <c r="CA990" s="6"/>
      <c r="CB990" s="6"/>
      <c r="CC990" s="6"/>
    </row>
    <row r="991" spans="2:81" x14ac:dyDescent="0.2">
      <c r="B991" s="68"/>
      <c r="C991" s="69"/>
      <c r="D991" s="70"/>
      <c r="F991" s="68"/>
      <c r="G991" s="69"/>
      <c r="H991" s="70"/>
      <c r="J991" s="71"/>
      <c r="K991" s="71"/>
      <c r="L991" s="67"/>
      <c r="N991" s="71"/>
      <c r="O991" s="71"/>
      <c r="P991" s="67"/>
      <c r="R991" s="67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  <c r="AI991" s="6"/>
      <c r="AJ991" s="6"/>
      <c r="AK991" s="6"/>
      <c r="AL991" s="6"/>
      <c r="AM991" s="6"/>
      <c r="AN991" s="6"/>
      <c r="AO991" s="6"/>
      <c r="AP991" s="6"/>
      <c r="AQ991" s="6"/>
      <c r="AR991" s="6"/>
      <c r="AS991" s="6"/>
      <c r="AT991" s="6"/>
      <c r="AU991" s="6"/>
      <c r="AV991" s="6"/>
      <c r="AW991" s="6"/>
      <c r="AX991" s="6"/>
      <c r="AY991" s="6"/>
      <c r="AZ991" s="6"/>
      <c r="BA991" s="6"/>
      <c r="BB991" s="6"/>
      <c r="BC991" s="6"/>
      <c r="BD991" s="6"/>
      <c r="BE991" s="6"/>
      <c r="BF991" s="6"/>
      <c r="BG991" s="6"/>
      <c r="BH991" s="6"/>
      <c r="BI991" s="6"/>
      <c r="BJ991" s="6"/>
      <c r="BK991" s="6"/>
      <c r="BL991" s="6"/>
      <c r="BM991" s="6"/>
      <c r="BN991" s="6"/>
      <c r="BO991" s="6"/>
      <c r="BP991" s="6"/>
      <c r="BQ991" s="6"/>
      <c r="BR991" s="6"/>
      <c r="BS991" s="6"/>
      <c r="BT991" s="6"/>
      <c r="BU991" s="6"/>
      <c r="BV991" s="6"/>
      <c r="BW991" s="6"/>
      <c r="BX991" s="6"/>
      <c r="BY991" s="6"/>
      <c r="BZ991" s="6"/>
      <c r="CA991" s="6"/>
      <c r="CB991" s="6"/>
      <c r="CC991" s="6"/>
    </row>
    <row r="992" spans="2:81" x14ac:dyDescent="0.2">
      <c r="B992" s="68"/>
      <c r="C992" s="69"/>
      <c r="D992" s="70"/>
      <c r="F992" s="68"/>
      <c r="G992" s="69"/>
      <c r="H992" s="70"/>
      <c r="J992" s="71"/>
      <c r="K992" s="71"/>
      <c r="L992" s="67"/>
      <c r="N992" s="71"/>
      <c r="O992" s="71"/>
      <c r="P992" s="67"/>
      <c r="R992" s="67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  <c r="AI992" s="6"/>
      <c r="AJ992" s="6"/>
      <c r="AK992" s="6"/>
      <c r="AL992" s="6"/>
      <c r="AM992" s="6"/>
      <c r="AN992" s="6"/>
      <c r="AO992" s="6"/>
      <c r="AP992" s="6"/>
      <c r="AQ992" s="6"/>
      <c r="AR992" s="6"/>
      <c r="AS992" s="6"/>
      <c r="AT992" s="6"/>
      <c r="AU992" s="6"/>
      <c r="AV992" s="6"/>
      <c r="AW992" s="6"/>
      <c r="AX992" s="6"/>
      <c r="AY992" s="6"/>
      <c r="AZ992" s="6"/>
      <c r="BA992" s="6"/>
      <c r="BB992" s="6"/>
      <c r="BC992" s="6"/>
      <c r="BD992" s="6"/>
      <c r="BE992" s="6"/>
      <c r="BF992" s="6"/>
      <c r="BG992" s="6"/>
      <c r="BH992" s="6"/>
      <c r="BI992" s="6"/>
      <c r="BJ992" s="6"/>
      <c r="BK992" s="6"/>
      <c r="BL992" s="6"/>
      <c r="BM992" s="6"/>
      <c r="BN992" s="6"/>
      <c r="BO992" s="6"/>
      <c r="BP992" s="6"/>
      <c r="BQ992" s="6"/>
      <c r="BR992" s="6"/>
      <c r="BS992" s="6"/>
      <c r="BT992" s="6"/>
      <c r="BU992" s="6"/>
      <c r="BV992" s="6"/>
      <c r="BW992" s="6"/>
      <c r="BX992" s="6"/>
      <c r="BY992" s="6"/>
      <c r="BZ992" s="6"/>
      <c r="CA992" s="6"/>
      <c r="CB992" s="6"/>
      <c r="CC992" s="6"/>
    </row>
    <row r="993" spans="2:81" x14ac:dyDescent="0.2">
      <c r="B993" s="68"/>
      <c r="C993" s="69"/>
      <c r="D993" s="70"/>
      <c r="F993" s="68"/>
      <c r="G993" s="69"/>
      <c r="H993" s="70"/>
      <c r="J993" s="71"/>
      <c r="K993" s="71"/>
      <c r="L993" s="67"/>
      <c r="N993" s="71"/>
      <c r="O993" s="71"/>
      <c r="P993" s="67"/>
      <c r="R993" s="67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  <c r="AI993" s="6"/>
      <c r="AJ993" s="6"/>
      <c r="AK993" s="6"/>
      <c r="AL993" s="6"/>
      <c r="AM993" s="6"/>
      <c r="AN993" s="6"/>
      <c r="AO993" s="6"/>
      <c r="AP993" s="6"/>
      <c r="AQ993" s="6"/>
      <c r="AR993" s="6"/>
      <c r="AS993" s="6"/>
      <c r="AT993" s="6"/>
      <c r="AU993" s="6"/>
      <c r="AV993" s="6"/>
      <c r="AW993" s="6"/>
      <c r="AX993" s="6"/>
      <c r="AY993" s="6"/>
      <c r="AZ993" s="6"/>
      <c r="BA993" s="6"/>
      <c r="BB993" s="6"/>
      <c r="BC993" s="6"/>
      <c r="BD993" s="6"/>
      <c r="BE993" s="6"/>
      <c r="BF993" s="6"/>
      <c r="BG993" s="6"/>
      <c r="BH993" s="6"/>
      <c r="BI993" s="6"/>
      <c r="BJ993" s="6"/>
      <c r="BK993" s="6"/>
      <c r="BL993" s="6"/>
      <c r="BM993" s="6"/>
      <c r="BN993" s="6"/>
      <c r="BO993" s="6"/>
      <c r="BP993" s="6"/>
      <c r="BQ993" s="6"/>
      <c r="BR993" s="6"/>
      <c r="BS993" s="6"/>
      <c r="BT993" s="6"/>
      <c r="BU993" s="6"/>
      <c r="BV993" s="6"/>
      <c r="BW993" s="6"/>
      <c r="BX993" s="6"/>
      <c r="BY993" s="6"/>
      <c r="BZ993" s="6"/>
      <c r="CA993" s="6"/>
      <c r="CB993" s="6"/>
      <c r="CC993" s="6"/>
    </row>
    <row r="994" spans="2:81" x14ac:dyDescent="0.2">
      <c r="B994" s="68"/>
      <c r="C994" s="69"/>
      <c r="D994" s="70"/>
      <c r="F994" s="68"/>
      <c r="G994" s="69"/>
      <c r="H994" s="70"/>
      <c r="J994" s="71"/>
      <c r="K994" s="71"/>
      <c r="L994" s="67"/>
      <c r="N994" s="71"/>
      <c r="O994" s="71"/>
      <c r="P994" s="67"/>
      <c r="R994" s="67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  <c r="AI994" s="6"/>
      <c r="AJ994" s="6"/>
      <c r="AK994" s="6"/>
      <c r="AL994" s="6"/>
      <c r="AM994" s="6"/>
      <c r="AN994" s="6"/>
      <c r="AO994" s="6"/>
      <c r="AP994" s="6"/>
      <c r="AQ994" s="6"/>
      <c r="AR994" s="6"/>
      <c r="AS994" s="6"/>
      <c r="AT994" s="6"/>
      <c r="AU994" s="6"/>
      <c r="AV994" s="6"/>
      <c r="AW994" s="6"/>
      <c r="AX994" s="6"/>
      <c r="AY994" s="6"/>
      <c r="AZ994" s="6"/>
      <c r="BA994" s="6"/>
      <c r="BB994" s="6"/>
      <c r="BC994" s="6"/>
      <c r="BD994" s="6"/>
      <c r="BE994" s="6"/>
      <c r="BF994" s="6"/>
      <c r="BG994" s="6"/>
      <c r="BH994" s="6"/>
      <c r="BI994" s="6"/>
      <c r="BJ994" s="6"/>
      <c r="BK994" s="6"/>
      <c r="BL994" s="6"/>
      <c r="BM994" s="6"/>
      <c r="BN994" s="6"/>
      <c r="BO994" s="6"/>
      <c r="BP994" s="6"/>
      <c r="BQ994" s="6"/>
      <c r="BR994" s="6"/>
      <c r="BS994" s="6"/>
      <c r="BT994" s="6"/>
      <c r="BU994" s="6"/>
      <c r="BV994" s="6"/>
      <c r="BW994" s="6"/>
      <c r="BX994" s="6"/>
      <c r="BY994" s="6"/>
      <c r="BZ994" s="6"/>
      <c r="CA994" s="6"/>
      <c r="CB994" s="6"/>
      <c r="CC994" s="6"/>
    </row>
    <row r="995" spans="2:81" x14ac:dyDescent="0.2">
      <c r="B995" s="68"/>
      <c r="C995" s="69"/>
      <c r="D995" s="70"/>
      <c r="F995" s="68"/>
      <c r="G995" s="69"/>
      <c r="H995" s="70"/>
      <c r="J995" s="71"/>
      <c r="K995" s="71"/>
      <c r="L995" s="67"/>
      <c r="N995" s="71"/>
      <c r="O995" s="71"/>
      <c r="P995" s="67"/>
      <c r="R995" s="67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  <c r="AI995" s="6"/>
      <c r="AJ995" s="6"/>
      <c r="AK995" s="6"/>
      <c r="AL995" s="6"/>
      <c r="AM995" s="6"/>
      <c r="AN995" s="6"/>
      <c r="AO995" s="6"/>
      <c r="AP995" s="6"/>
      <c r="AQ995" s="6"/>
      <c r="AR995" s="6"/>
      <c r="AS995" s="6"/>
      <c r="AT995" s="6"/>
      <c r="AU995" s="6"/>
      <c r="AV995" s="6"/>
      <c r="AW995" s="6"/>
      <c r="AX995" s="6"/>
      <c r="AY995" s="6"/>
      <c r="AZ995" s="6"/>
      <c r="BA995" s="6"/>
      <c r="BB995" s="6"/>
      <c r="BC995" s="6"/>
      <c r="BD995" s="6"/>
      <c r="BE995" s="6"/>
      <c r="BF995" s="6"/>
      <c r="BG995" s="6"/>
      <c r="BH995" s="6"/>
      <c r="BI995" s="6"/>
      <c r="BJ995" s="6"/>
      <c r="BK995" s="6"/>
      <c r="BL995" s="6"/>
      <c r="BM995" s="6"/>
      <c r="BN995" s="6"/>
      <c r="BO995" s="6"/>
      <c r="BP995" s="6"/>
      <c r="BQ995" s="6"/>
      <c r="BR995" s="6"/>
      <c r="BS995" s="6"/>
      <c r="BT995" s="6"/>
      <c r="BU995" s="6"/>
      <c r="BV995" s="6"/>
      <c r="BW995" s="6"/>
      <c r="BX995" s="6"/>
      <c r="BY995" s="6"/>
      <c r="BZ995" s="6"/>
      <c r="CA995" s="6"/>
      <c r="CB995" s="6"/>
      <c r="CC995" s="6"/>
    </row>
    <row r="996" spans="2:81" x14ac:dyDescent="0.2">
      <c r="B996" s="68"/>
      <c r="C996" s="69"/>
      <c r="D996" s="70"/>
      <c r="F996" s="68"/>
      <c r="G996" s="69"/>
      <c r="H996" s="70"/>
      <c r="J996" s="71"/>
      <c r="K996" s="71"/>
      <c r="L996" s="67"/>
      <c r="N996" s="71"/>
      <c r="O996" s="71"/>
      <c r="P996" s="67"/>
      <c r="R996" s="67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  <c r="AI996" s="6"/>
      <c r="AJ996" s="6"/>
      <c r="AK996" s="6"/>
      <c r="AL996" s="6"/>
      <c r="AM996" s="6"/>
      <c r="AN996" s="6"/>
      <c r="AO996" s="6"/>
      <c r="AP996" s="6"/>
      <c r="AQ996" s="6"/>
      <c r="AR996" s="6"/>
      <c r="AS996" s="6"/>
      <c r="AT996" s="6"/>
      <c r="AU996" s="6"/>
      <c r="AV996" s="6"/>
      <c r="AW996" s="6"/>
      <c r="AX996" s="6"/>
      <c r="AY996" s="6"/>
      <c r="AZ996" s="6"/>
      <c r="BA996" s="6"/>
      <c r="BB996" s="6"/>
      <c r="BC996" s="6"/>
      <c r="BD996" s="6"/>
      <c r="BE996" s="6"/>
      <c r="BF996" s="6"/>
      <c r="BG996" s="6"/>
      <c r="BH996" s="6"/>
      <c r="BI996" s="6"/>
      <c r="BJ996" s="6"/>
      <c r="BK996" s="6"/>
      <c r="BL996" s="6"/>
      <c r="BM996" s="6"/>
      <c r="BN996" s="6"/>
      <c r="BO996" s="6"/>
      <c r="BP996" s="6"/>
      <c r="BQ996" s="6"/>
      <c r="BR996" s="6"/>
      <c r="BS996" s="6"/>
      <c r="BT996" s="6"/>
      <c r="BU996" s="6"/>
      <c r="BV996" s="6"/>
      <c r="BW996" s="6"/>
      <c r="BX996" s="6"/>
      <c r="BY996" s="6"/>
      <c r="BZ996" s="6"/>
      <c r="CA996" s="6"/>
      <c r="CB996" s="6"/>
      <c r="CC996" s="6"/>
    </row>
    <row r="997" spans="2:81" x14ac:dyDescent="0.2">
      <c r="B997" s="68"/>
      <c r="C997" s="69"/>
      <c r="D997" s="70"/>
      <c r="F997" s="68"/>
      <c r="G997" s="69"/>
      <c r="H997" s="70"/>
      <c r="J997" s="71"/>
      <c r="K997" s="71"/>
      <c r="L997" s="67"/>
      <c r="N997" s="71"/>
      <c r="O997" s="71"/>
      <c r="P997" s="67"/>
      <c r="R997" s="67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  <c r="AI997" s="6"/>
      <c r="AJ997" s="6"/>
      <c r="AK997" s="6"/>
      <c r="AL997" s="6"/>
      <c r="AM997" s="6"/>
      <c r="AN997" s="6"/>
      <c r="AO997" s="6"/>
      <c r="AP997" s="6"/>
      <c r="AQ997" s="6"/>
      <c r="AR997" s="6"/>
      <c r="AS997" s="6"/>
      <c r="AT997" s="6"/>
      <c r="AU997" s="6"/>
      <c r="AV997" s="6"/>
      <c r="AW997" s="6"/>
      <c r="AX997" s="6"/>
      <c r="AY997" s="6"/>
      <c r="AZ997" s="6"/>
      <c r="BA997" s="6"/>
      <c r="BB997" s="6"/>
      <c r="BC997" s="6"/>
      <c r="BD997" s="6"/>
      <c r="BE997" s="6"/>
      <c r="BF997" s="6"/>
      <c r="BG997" s="6"/>
      <c r="BH997" s="6"/>
      <c r="BI997" s="6"/>
      <c r="BJ997" s="6"/>
      <c r="BK997" s="6"/>
      <c r="BL997" s="6"/>
      <c r="BM997" s="6"/>
      <c r="BN997" s="6"/>
      <c r="BO997" s="6"/>
      <c r="BP997" s="6"/>
      <c r="BQ997" s="6"/>
      <c r="BR997" s="6"/>
      <c r="BS997" s="6"/>
      <c r="BT997" s="6"/>
      <c r="BU997" s="6"/>
      <c r="BV997" s="6"/>
      <c r="BW997" s="6"/>
      <c r="BX997" s="6"/>
      <c r="BY997" s="6"/>
      <c r="BZ997" s="6"/>
      <c r="CA997" s="6"/>
      <c r="CB997" s="6"/>
      <c r="CC997" s="6"/>
    </row>
    <row r="998" spans="2:81" x14ac:dyDescent="0.2">
      <c r="B998" s="68"/>
      <c r="C998" s="69"/>
      <c r="D998" s="70"/>
      <c r="F998" s="68"/>
      <c r="G998" s="69"/>
      <c r="H998" s="70"/>
      <c r="J998" s="71"/>
      <c r="K998" s="71"/>
      <c r="L998" s="67"/>
      <c r="N998" s="71"/>
      <c r="O998" s="71"/>
      <c r="P998" s="67"/>
      <c r="R998" s="67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  <c r="AI998" s="6"/>
      <c r="AJ998" s="6"/>
      <c r="AK998" s="6"/>
      <c r="AL998" s="6"/>
      <c r="AM998" s="6"/>
      <c r="AN998" s="6"/>
      <c r="AO998" s="6"/>
      <c r="AP998" s="6"/>
      <c r="AQ998" s="6"/>
      <c r="AR998" s="6"/>
      <c r="AS998" s="6"/>
      <c r="AT998" s="6"/>
      <c r="AU998" s="6"/>
      <c r="AV998" s="6"/>
      <c r="AW998" s="6"/>
      <c r="AX998" s="6"/>
      <c r="AY998" s="6"/>
      <c r="AZ998" s="6"/>
      <c r="BA998" s="6"/>
      <c r="BB998" s="6"/>
      <c r="BC998" s="6"/>
      <c r="BD998" s="6"/>
      <c r="BE998" s="6"/>
      <c r="BF998" s="6"/>
      <c r="BG998" s="6"/>
      <c r="BH998" s="6"/>
      <c r="BI998" s="6"/>
      <c r="BJ998" s="6"/>
      <c r="BK998" s="6"/>
      <c r="BL998" s="6"/>
      <c r="BM998" s="6"/>
      <c r="BN998" s="6"/>
      <c r="BO998" s="6"/>
      <c r="BP998" s="6"/>
      <c r="BQ998" s="6"/>
      <c r="BR998" s="6"/>
      <c r="BS998" s="6"/>
      <c r="BT998" s="6"/>
      <c r="BU998" s="6"/>
      <c r="BV998" s="6"/>
      <c r="BW998" s="6"/>
      <c r="BX998" s="6"/>
      <c r="BY998" s="6"/>
      <c r="BZ998" s="6"/>
      <c r="CA998" s="6"/>
      <c r="CB998" s="6"/>
      <c r="CC998" s="6"/>
    </row>
    <row r="999" spans="2:81" x14ac:dyDescent="0.2">
      <c r="B999" s="68"/>
      <c r="C999" s="69"/>
      <c r="D999" s="70"/>
      <c r="F999" s="68"/>
      <c r="G999" s="69"/>
      <c r="H999" s="70"/>
      <c r="J999" s="71"/>
      <c r="K999" s="71"/>
      <c r="L999" s="67"/>
      <c r="N999" s="71"/>
      <c r="O999" s="71"/>
      <c r="P999" s="67"/>
      <c r="R999" s="67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  <c r="AI999" s="6"/>
      <c r="AJ999" s="6"/>
      <c r="AK999" s="6"/>
      <c r="AL999" s="6"/>
      <c r="AM999" s="6"/>
      <c r="AN999" s="6"/>
      <c r="AO999" s="6"/>
      <c r="AP999" s="6"/>
      <c r="AQ999" s="6"/>
      <c r="AR999" s="6"/>
      <c r="AS999" s="6"/>
      <c r="AT999" s="6"/>
      <c r="AU999" s="6"/>
      <c r="AV999" s="6"/>
      <c r="AW999" s="6"/>
      <c r="AX999" s="6"/>
      <c r="AY999" s="6"/>
      <c r="AZ999" s="6"/>
      <c r="BA999" s="6"/>
      <c r="BB999" s="6"/>
      <c r="BC999" s="6"/>
      <c r="BD999" s="6"/>
      <c r="BE999" s="6"/>
      <c r="BF999" s="6"/>
      <c r="BG999" s="6"/>
      <c r="BH999" s="6"/>
      <c r="BI999" s="6"/>
      <c r="BJ999" s="6"/>
      <c r="BK999" s="6"/>
      <c r="BL999" s="6"/>
      <c r="BM999" s="6"/>
      <c r="BN999" s="6"/>
      <c r="BO999" s="6"/>
      <c r="BP999" s="6"/>
      <c r="BQ999" s="6"/>
      <c r="BR999" s="6"/>
      <c r="BS999" s="6"/>
      <c r="BT999" s="6"/>
      <c r="BU999" s="6"/>
      <c r="BV999" s="6"/>
      <c r="BW999" s="6"/>
      <c r="BX999" s="6"/>
      <c r="BY999" s="6"/>
      <c r="BZ999" s="6"/>
      <c r="CA999" s="6"/>
      <c r="CB999" s="6"/>
      <c r="CC999" s="6"/>
    </row>
    <row r="1000" spans="2:81" x14ac:dyDescent="0.2">
      <c r="B1000" s="68"/>
      <c r="C1000" s="69"/>
      <c r="D1000" s="70"/>
      <c r="F1000" s="68"/>
      <c r="G1000" s="69"/>
      <c r="H1000" s="70"/>
      <c r="J1000" s="71"/>
      <c r="K1000" s="71"/>
      <c r="L1000" s="67"/>
      <c r="N1000" s="71"/>
      <c r="O1000" s="71"/>
      <c r="P1000" s="67"/>
      <c r="R1000" s="67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  <c r="AI1000" s="6"/>
      <c r="AJ1000" s="6"/>
      <c r="AK1000" s="6"/>
      <c r="AL1000" s="6"/>
      <c r="AM1000" s="6"/>
      <c r="AN1000" s="6"/>
      <c r="AO1000" s="6"/>
      <c r="AP1000" s="6"/>
      <c r="AQ1000" s="6"/>
      <c r="AR1000" s="6"/>
      <c r="AS1000" s="6"/>
      <c r="AT1000" s="6"/>
      <c r="AU1000" s="6"/>
      <c r="AV1000" s="6"/>
      <c r="AW1000" s="6"/>
      <c r="AX1000" s="6"/>
      <c r="AY1000" s="6"/>
      <c r="AZ1000" s="6"/>
      <c r="BA1000" s="6"/>
      <c r="BB1000" s="6"/>
      <c r="BC1000" s="6"/>
      <c r="BD1000" s="6"/>
      <c r="BE1000" s="6"/>
      <c r="BF1000" s="6"/>
      <c r="BG1000" s="6"/>
      <c r="BH1000" s="6"/>
      <c r="BI1000" s="6"/>
      <c r="BJ1000" s="6"/>
      <c r="BK1000" s="6"/>
      <c r="BL1000" s="6"/>
      <c r="BM1000" s="6"/>
      <c r="BN1000" s="6"/>
      <c r="BO1000" s="6"/>
      <c r="BP1000" s="6"/>
      <c r="BQ1000" s="6"/>
      <c r="BR1000" s="6"/>
      <c r="BS1000" s="6"/>
      <c r="BT1000" s="6"/>
      <c r="BU1000" s="6"/>
      <c r="BV1000" s="6"/>
      <c r="BW1000" s="6"/>
      <c r="BX1000" s="6"/>
      <c r="BY1000" s="6"/>
      <c r="BZ1000" s="6"/>
      <c r="CA1000" s="6"/>
      <c r="CB1000" s="6"/>
      <c r="CC1000" s="6"/>
    </row>
    <row r="1001" spans="2:81" x14ac:dyDescent="0.2">
      <c r="B1001" s="68"/>
      <c r="C1001" s="69"/>
      <c r="D1001" s="70"/>
      <c r="F1001" s="68"/>
      <c r="G1001" s="69"/>
      <c r="H1001" s="70"/>
      <c r="J1001" s="71"/>
      <c r="K1001" s="71"/>
      <c r="L1001" s="67"/>
      <c r="N1001" s="71"/>
      <c r="O1001" s="71"/>
      <c r="P1001" s="67"/>
      <c r="R1001" s="67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  <c r="AI1001" s="6"/>
      <c r="AJ1001" s="6"/>
      <c r="AK1001" s="6"/>
      <c r="AL1001" s="6"/>
      <c r="AM1001" s="6"/>
      <c r="AN1001" s="6"/>
      <c r="AO1001" s="6"/>
      <c r="AP1001" s="6"/>
      <c r="AQ1001" s="6"/>
      <c r="AR1001" s="6"/>
      <c r="AS1001" s="6"/>
      <c r="AT1001" s="6"/>
      <c r="AU1001" s="6"/>
      <c r="AV1001" s="6"/>
      <c r="AW1001" s="6"/>
      <c r="AX1001" s="6"/>
      <c r="AY1001" s="6"/>
      <c r="AZ1001" s="6"/>
      <c r="BA1001" s="6"/>
      <c r="BB1001" s="6"/>
      <c r="BC1001" s="6"/>
      <c r="BD1001" s="6"/>
      <c r="BE1001" s="6"/>
      <c r="BF1001" s="6"/>
      <c r="BG1001" s="6"/>
      <c r="BH1001" s="6"/>
      <c r="BI1001" s="6"/>
      <c r="BJ1001" s="6"/>
      <c r="BK1001" s="6"/>
      <c r="BL1001" s="6"/>
      <c r="BM1001" s="6"/>
      <c r="BN1001" s="6"/>
      <c r="BO1001" s="6"/>
      <c r="BP1001" s="6"/>
      <c r="BQ1001" s="6"/>
      <c r="BR1001" s="6"/>
      <c r="BS1001" s="6"/>
      <c r="BT1001" s="6"/>
      <c r="BU1001" s="6"/>
      <c r="BV1001" s="6"/>
      <c r="BW1001" s="6"/>
      <c r="BX1001" s="6"/>
      <c r="BY1001" s="6"/>
      <c r="BZ1001" s="6"/>
      <c r="CA1001" s="6"/>
      <c r="CB1001" s="6"/>
      <c r="CC1001" s="6"/>
    </row>
    <row r="1002" spans="2:81" x14ac:dyDescent="0.2">
      <c r="B1002" s="68"/>
      <c r="C1002" s="69"/>
      <c r="D1002" s="70"/>
      <c r="F1002" s="68"/>
      <c r="G1002" s="69"/>
      <c r="H1002" s="70"/>
      <c r="J1002" s="71"/>
      <c r="K1002" s="71"/>
      <c r="L1002" s="67"/>
      <c r="N1002" s="71"/>
      <c r="O1002" s="71"/>
      <c r="P1002" s="67"/>
      <c r="R1002" s="67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  <c r="AI1002" s="6"/>
      <c r="AJ1002" s="6"/>
      <c r="AK1002" s="6"/>
      <c r="AL1002" s="6"/>
      <c r="AM1002" s="6"/>
      <c r="AN1002" s="6"/>
      <c r="AO1002" s="6"/>
      <c r="AP1002" s="6"/>
      <c r="AQ1002" s="6"/>
      <c r="AR1002" s="6"/>
      <c r="AS1002" s="6"/>
      <c r="AT1002" s="6"/>
      <c r="AU1002" s="6"/>
      <c r="AV1002" s="6"/>
      <c r="AW1002" s="6"/>
      <c r="AX1002" s="6"/>
      <c r="AY1002" s="6"/>
      <c r="AZ1002" s="6"/>
      <c r="BA1002" s="6"/>
      <c r="BB1002" s="6"/>
      <c r="BC1002" s="6"/>
      <c r="BD1002" s="6"/>
      <c r="BE1002" s="6"/>
      <c r="BF1002" s="6"/>
      <c r="BG1002" s="6"/>
      <c r="BH1002" s="6"/>
      <c r="BI1002" s="6"/>
      <c r="BJ1002" s="6"/>
      <c r="BK1002" s="6"/>
      <c r="BL1002" s="6"/>
      <c r="BM1002" s="6"/>
      <c r="BN1002" s="6"/>
      <c r="BO1002" s="6"/>
      <c r="BP1002" s="6"/>
      <c r="BQ1002" s="6"/>
      <c r="BR1002" s="6"/>
      <c r="BS1002" s="6"/>
      <c r="BT1002" s="6"/>
      <c r="BU1002" s="6"/>
      <c r="BV1002" s="6"/>
      <c r="BW1002" s="6"/>
      <c r="BX1002" s="6"/>
      <c r="BY1002" s="6"/>
      <c r="BZ1002" s="6"/>
      <c r="CA1002" s="6"/>
      <c r="CB1002" s="6"/>
      <c r="CC1002" s="6"/>
    </row>
    <row r="1003" spans="2:81" x14ac:dyDescent="0.2">
      <c r="B1003" s="68"/>
      <c r="C1003" s="69"/>
      <c r="D1003" s="70"/>
      <c r="F1003" s="68"/>
      <c r="G1003" s="69"/>
      <c r="H1003" s="70"/>
      <c r="J1003" s="71"/>
      <c r="K1003" s="71"/>
      <c r="L1003" s="67"/>
      <c r="N1003" s="71"/>
      <c r="O1003" s="71"/>
      <c r="P1003" s="67"/>
      <c r="R1003" s="67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  <c r="AI1003" s="6"/>
      <c r="AJ1003" s="6"/>
      <c r="AK1003" s="6"/>
      <c r="AL1003" s="6"/>
      <c r="AM1003" s="6"/>
      <c r="AN1003" s="6"/>
      <c r="AO1003" s="6"/>
      <c r="AP1003" s="6"/>
      <c r="AQ1003" s="6"/>
      <c r="AR1003" s="6"/>
      <c r="AS1003" s="6"/>
      <c r="AT1003" s="6"/>
      <c r="AU1003" s="6"/>
      <c r="AV1003" s="6"/>
      <c r="AW1003" s="6"/>
      <c r="AX1003" s="6"/>
      <c r="AY1003" s="6"/>
      <c r="AZ1003" s="6"/>
      <c r="BA1003" s="6"/>
      <c r="BB1003" s="6"/>
      <c r="BC1003" s="6"/>
      <c r="BD1003" s="6"/>
      <c r="BE1003" s="6"/>
      <c r="BF1003" s="6"/>
      <c r="BG1003" s="6"/>
      <c r="BH1003" s="6"/>
      <c r="BI1003" s="6"/>
      <c r="BJ1003" s="6"/>
      <c r="BK1003" s="6"/>
      <c r="BL1003" s="6"/>
      <c r="BM1003" s="6"/>
      <c r="BN1003" s="6"/>
      <c r="BO1003" s="6"/>
      <c r="BP1003" s="6"/>
      <c r="BQ1003" s="6"/>
      <c r="BR1003" s="6"/>
      <c r="BS1003" s="6"/>
      <c r="BT1003" s="6"/>
      <c r="BU1003" s="6"/>
      <c r="BV1003" s="6"/>
      <c r="BW1003" s="6"/>
      <c r="BX1003" s="6"/>
      <c r="BY1003" s="6"/>
      <c r="BZ1003" s="6"/>
      <c r="CA1003" s="6"/>
      <c r="CB1003" s="6"/>
      <c r="CC1003" s="6"/>
    </row>
    <row r="1004" spans="2:81" x14ac:dyDescent="0.2">
      <c r="B1004" s="68"/>
      <c r="C1004" s="69"/>
      <c r="D1004" s="70"/>
      <c r="F1004" s="68"/>
      <c r="G1004" s="69"/>
      <c r="H1004" s="70"/>
      <c r="J1004" s="71"/>
      <c r="K1004" s="71"/>
      <c r="L1004" s="67"/>
      <c r="N1004" s="71"/>
      <c r="O1004" s="71"/>
      <c r="P1004" s="67"/>
      <c r="R1004" s="67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  <c r="AI1004" s="6"/>
      <c r="AJ1004" s="6"/>
      <c r="AK1004" s="6"/>
      <c r="AL1004" s="6"/>
      <c r="AM1004" s="6"/>
      <c r="AN1004" s="6"/>
      <c r="AO1004" s="6"/>
      <c r="AP1004" s="6"/>
      <c r="AQ1004" s="6"/>
      <c r="AR1004" s="6"/>
      <c r="AS1004" s="6"/>
      <c r="AT1004" s="6"/>
      <c r="AU1004" s="6"/>
      <c r="AV1004" s="6"/>
      <c r="AW1004" s="6"/>
      <c r="AX1004" s="6"/>
      <c r="AY1004" s="6"/>
      <c r="AZ1004" s="6"/>
      <c r="BA1004" s="6"/>
      <c r="BB1004" s="6"/>
      <c r="BC1004" s="6"/>
      <c r="BD1004" s="6"/>
      <c r="BE1004" s="6"/>
      <c r="BF1004" s="6"/>
      <c r="BG1004" s="6"/>
      <c r="BH1004" s="6"/>
      <c r="BI1004" s="6"/>
      <c r="BJ1004" s="6"/>
      <c r="BK1004" s="6"/>
      <c r="BL1004" s="6"/>
      <c r="BM1004" s="6"/>
      <c r="BN1004" s="6"/>
      <c r="BO1004" s="6"/>
      <c r="BP1004" s="6"/>
      <c r="BQ1004" s="6"/>
      <c r="BR1004" s="6"/>
      <c r="BS1004" s="6"/>
      <c r="BT1004" s="6"/>
      <c r="BU1004" s="6"/>
      <c r="BV1004" s="6"/>
      <c r="BW1004" s="6"/>
      <c r="BX1004" s="6"/>
      <c r="BY1004" s="6"/>
      <c r="BZ1004" s="6"/>
      <c r="CA1004" s="6"/>
      <c r="CB1004" s="6"/>
      <c r="CC1004" s="6"/>
    </row>
    <row r="1005" spans="2:81" x14ac:dyDescent="0.2">
      <c r="B1005" s="68"/>
      <c r="C1005" s="69"/>
      <c r="D1005" s="70"/>
      <c r="F1005" s="68"/>
      <c r="G1005" s="69"/>
      <c r="H1005" s="70"/>
      <c r="J1005" s="71"/>
      <c r="K1005" s="71"/>
      <c r="L1005" s="67"/>
      <c r="N1005" s="71"/>
      <c r="O1005" s="71"/>
      <c r="P1005" s="67"/>
      <c r="R1005" s="67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  <c r="AI1005" s="6"/>
      <c r="AJ1005" s="6"/>
      <c r="AK1005" s="6"/>
      <c r="AL1005" s="6"/>
      <c r="AM1005" s="6"/>
      <c r="AN1005" s="6"/>
      <c r="AO1005" s="6"/>
      <c r="AP1005" s="6"/>
      <c r="AQ1005" s="6"/>
      <c r="AR1005" s="6"/>
      <c r="AS1005" s="6"/>
      <c r="AT1005" s="6"/>
      <c r="AU1005" s="6"/>
      <c r="AV1005" s="6"/>
      <c r="AW1005" s="6"/>
      <c r="AX1005" s="6"/>
      <c r="AY1005" s="6"/>
      <c r="AZ1005" s="6"/>
      <c r="BA1005" s="6"/>
      <c r="BB1005" s="6"/>
      <c r="BC1005" s="6"/>
      <c r="BD1005" s="6"/>
      <c r="BE1005" s="6"/>
      <c r="BF1005" s="6"/>
      <c r="BG1005" s="6"/>
      <c r="BH1005" s="6"/>
      <c r="BI1005" s="6"/>
      <c r="BJ1005" s="6"/>
      <c r="BK1005" s="6"/>
      <c r="BL1005" s="6"/>
      <c r="BM1005" s="6"/>
      <c r="BN1005" s="6"/>
      <c r="BO1005" s="6"/>
      <c r="BP1005" s="6"/>
      <c r="BQ1005" s="6"/>
      <c r="BR1005" s="6"/>
      <c r="BS1005" s="6"/>
      <c r="BT1005" s="6"/>
      <c r="BU1005" s="6"/>
      <c r="BV1005" s="6"/>
      <c r="BW1005" s="6"/>
      <c r="BX1005" s="6"/>
      <c r="BY1005" s="6"/>
      <c r="BZ1005" s="6"/>
      <c r="CA1005" s="6"/>
      <c r="CB1005" s="6"/>
      <c r="CC1005" s="6"/>
    </row>
    <row r="1006" spans="2:81" x14ac:dyDescent="0.2">
      <c r="B1006" s="68"/>
      <c r="C1006" s="69"/>
      <c r="D1006" s="70"/>
      <c r="F1006" s="68"/>
      <c r="G1006" s="69"/>
      <c r="H1006" s="70"/>
      <c r="J1006" s="71"/>
      <c r="K1006" s="71"/>
      <c r="L1006" s="67"/>
      <c r="N1006" s="71"/>
      <c r="O1006" s="71"/>
      <c r="P1006" s="67"/>
      <c r="R1006" s="67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  <c r="AI1006" s="6"/>
      <c r="AJ1006" s="6"/>
      <c r="AK1006" s="6"/>
      <c r="AL1006" s="6"/>
      <c r="AM1006" s="6"/>
      <c r="AN1006" s="6"/>
      <c r="AO1006" s="6"/>
      <c r="AP1006" s="6"/>
      <c r="AQ1006" s="6"/>
      <c r="AR1006" s="6"/>
      <c r="AS1006" s="6"/>
      <c r="AT1006" s="6"/>
      <c r="AU1006" s="6"/>
      <c r="AV1006" s="6"/>
      <c r="AW1006" s="6"/>
      <c r="AX1006" s="6"/>
      <c r="AY1006" s="6"/>
      <c r="AZ1006" s="6"/>
      <c r="BA1006" s="6"/>
      <c r="BB1006" s="6"/>
      <c r="BC1006" s="6"/>
      <c r="BD1006" s="6"/>
      <c r="BE1006" s="6"/>
      <c r="BF1006" s="6"/>
      <c r="BG1006" s="6"/>
      <c r="BH1006" s="6"/>
      <c r="BI1006" s="6"/>
      <c r="BJ1006" s="6"/>
      <c r="BK1006" s="6"/>
      <c r="BL1006" s="6"/>
      <c r="BM1006" s="6"/>
      <c r="BN1006" s="6"/>
      <c r="BO1006" s="6"/>
      <c r="BP1006" s="6"/>
      <c r="BQ1006" s="6"/>
      <c r="BR1006" s="6"/>
      <c r="BS1006" s="6"/>
      <c r="BT1006" s="6"/>
      <c r="BU1006" s="6"/>
      <c r="BV1006" s="6"/>
      <c r="BW1006" s="6"/>
      <c r="BX1006" s="6"/>
      <c r="BY1006" s="6"/>
      <c r="BZ1006" s="6"/>
      <c r="CA1006" s="6"/>
      <c r="CB1006" s="6"/>
      <c r="CC1006" s="6"/>
    </row>
    <row r="1007" spans="2:81" x14ac:dyDescent="0.2">
      <c r="B1007" s="68"/>
      <c r="C1007" s="69"/>
      <c r="D1007" s="70"/>
      <c r="F1007" s="68"/>
      <c r="G1007" s="69"/>
      <c r="H1007" s="70"/>
      <c r="J1007" s="71"/>
      <c r="K1007" s="71"/>
      <c r="L1007" s="67"/>
      <c r="N1007" s="71"/>
      <c r="O1007" s="71"/>
      <c r="P1007" s="67"/>
      <c r="R1007" s="67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  <c r="AI1007" s="6"/>
      <c r="AJ1007" s="6"/>
      <c r="AK1007" s="6"/>
      <c r="AL1007" s="6"/>
      <c r="AM1007" s="6"/>
      <c r="AN1007" s="6"/>
      <c r="AO1007" s="6"/>
      <c r="AP1007" s="6"/>
      <c r="AQ1007" s="6"/>
      <c r="AR1007" s="6"/>
      <c r="AS1007" s="6"/>
      <c r="AT1007" s="6"/>
      <c r="AU1007" s="6"/>
      <c r="AV1007" s="6"/>
      <c r="AW1007" s="6"/>
      <c r="AX1007" s="6"/>
      <c r="AY1007" s="6"/>
      <c r="AZ1007" s="6"/>
      <c r="BA1007" s="6"/>
      <c r="BB1007" s="6"/>
      <c r="BC1007" s="6"/>
      <c r="BD1007" s="6"/>
      <c r="BE1007" s="6"/>
      <c r="BF1007" s="6"/>
      <c r="BG1007" s="6"/>
      <c r="BH1007" s="6"/>
      <c r="BI1007" s="6"/>
      <c r="BJ1007" s="6"/>
      <c r="BK1007" s="6"/>
      <c r="BL1007" s="6"/>
      <c r="BM1007" s="6"/>
      <c r="BN1007" s="6"/>
      <c r="BO1007" s="6"/>
      <c r="BP1007" s="6"/>
      <c r="BQ1007" s="6"/>
      <c r="BR1007" s="6"/>
      <c r="BS1007" s="6"/>
      <c r="BT1007" s="6"/>
      <c r="BU1007" s="6"/>
      <c r="BV1007" s="6"/>
      <c r="BW1007" s="6"/>
      <c r="BX1007" s="6"/>
      <c r="BY1007" s="6"/>
      <c r="BZ1007" s="6"/>
      <c r="CA1007" s="6"/>
      <c r="CB1007" s="6"/>
      <c r="CC1007" s="6"/>
    </row>
    <row r="1008" spans="2:81" x14ac:dyDescent="0.2">
      <c r="B1008" s="68"/>
      <c r="C1008" s="69"/>
      <c r="D1008" s="70"/>
      <c r="F1008" s="68"/>
      <c r="G1008" s="69"/>
      <c r="H1008" s="70"/>
      <c r="J1008" s="71"/>
      <c r="K1008" s="71"/>
      <c r="L1008" s="67"/>
      <c r="N1008" s="71"/>
      <c r="O1008" s="71"/>
      <c r="P1008" s="67"/>
      <c r="R1008" s="67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  <c r="AI1008" s="6"/>
      <c r="AJ1008" s="6"/>
      <c r="AK1008" s="6"/>
      <c r="AL1008" s="6"/>
      <c r="AM1008" s="6"/>
      <c r="AN1008" s="6"/>
      <c r="AO1008" s="6"/>
      <c r="AP1008" s="6"/>
      <c r="AQ1008" s="6"/>
      <c r="AR1008" s="6"/>
      <c r="AS1008" s="6"/>
      <c r="AT1008" s="6"/>
      <c r="AU1008" s="6"/>
      <c r="AV1008" s="6"/>
      <c r="AW1008" s="6"/>
      <c r="AX1008" s="6"/>
      <c r="AY1008" s="6"/>
      <c r="AZ1008" s="6"/>
      <c r="BA1008" s="6"/>
      <c r="BB1008" s="6"/>
      <c r="BC1008" s="6"/>
      <c r="BD1008" s="6"/>
      <c r="BE1008" s="6"/>
      <c r="BF1008" s="6"/>
      <c r="BG1008" s="6"/>
      <c r="BH1008" s="6"/>
      <c r="BI1008" s="6"/>
      <c r="BJ1008" s="6"/>
      <c r="BK1008" s="6"/>
      <c r="BL1008" s="6"/>
      <c r="BM1008" s="6"/>
      <c r="BN1008" s="6"/>
      <c r="BO1008" s="6"/>
      <c r="BP1008" s="6"/>
      <c r="BQ1008" s="6"/>
      <c r="BR1008" s="6"/>
      <c r="BS1008" s="6"/>
      <c r="BT1008" s="6"/>
      <c r="BU1008" s="6"/>
      <c r="BV1008" s="6"/>
      <c r="BW1008" s="6"/>
      <c r="BX1008" s="6"/>
      <c r="BY1008" s="6"/>
      <c r="BZ1008" s="6"/>
      <c r="CA1008" s="6"/>
      <c r="CB1008" s="6"/>
      <c r="CC1008" s="6"/>
    </row>
    <row r="1009" spans="2:81" x14ac:dyDescent="0.2">
      <c r="B1009" s="68"/>
      <c r="C1009" s="69"/>
      <c r="D1009" s="70"/>
      <c r="F1009" s="68"/>
      <c r="G1009" s="69"/>
      <c r="H1009" s="70"/>
      <c r="J1009" s="71"/>
      <c r="K1009" s="71"/>
      <c r="L1009" s="67"/>
      <c r="N1009" s="71"/>
      <c r="O1009" s="71"/>
      <c r="P1009" s="67"/>
      <c r="R1009" s="67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  <c r="AI1009" s="6"/>
      <c r="AJ1009" s="6"/>
      <c r="AK1009" s="6"/>
      <c r="AL1009" s="6"/>
      <c r="AM1009" s="6"/>
      <c r="AN1009" s="6"/>
      <c r="AO1009" s="6"/>
      <c r="AP1009" s="6"/>
      <c r="AQ1009" s="6"/>
      <c r="AR1009" s="6"/>
      <c r="AS1009" s="6"/>
      <c r="AT1009" s="6"/>
      <c r="AU1009" s="6"/>
      <c r="AV1009" s="6"/>
      <c r="AW1009" s="6"/>
      <c r="AX1009" s="6"/>
      <c r="AY1009" s="6"/>
      <c r="AZ1009" s="6"/>
      <c r="BA1009" s="6"/>
      <c r="BB1009" s="6"/>
      <c r="BC1009" s="6"/>
      <c r="BD1009" s="6"/>
      <c r="BE1009" s="6"/>
      <c r="BF1009" s="6"/>
      <c r="BG1009" s="6"/>
      <c r="BH1009" s="6"/>
      <c r="BI1009" s="6"/>
      <c r="BJ1009" s="6"/>
      <c r="BK1009" s="6"/>
      <c r="BL1009" s="6"/>
      <c r="BM1009" s="6"/>
      <c r="BN1009" s="6"/>
      <c r="BO1009" s="6"/>
      <c r="BP1009" s="6"/>
      <c r="BQ1009" s="6"/>
      <c r="BR1009" s="6"/>
      <c r="BS1009" s="6"/>
      <c r="BT1009" s="6"/>
      <c r="BU1009" s="6"/>
      <c r="BV1009" s="6"/>
      <c r="BW1009" s="6"/>
      <c r="BX1009" s="6"/>
      <c r="BY1009" s="6"/>
      <c r="BZ1009" s="6"/>
      <c r="CA1009" s="6"/>
      <c r="CB1009" s="6"/>
      <c r="CC1009" s="6"/>
    </row>
    <row r="1010" spans="2:81" x14ac:dyDescent="0.2">
      <c r="B1010" s="68"/>
      <c r="C1010" s="69"/>
      <c r="D1010" s="70"/>
      <c r="F1010" s="68"/>
      <c r="G1010" s="69"/>
      <c r="H1010" s="70"/>
      <c r="J1010" s="71"/>
      <c r="K1010" s="71"/>
      <c r="L1010" s="67"/>
      <c r="N1010" s="71"/>
      <c r="O1010" s="71"/>
      <c r="P1010" s="67"/>
      <c r="R1010" s="67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  <c r="AI1010" s="6"/>
      <c r="AJ1010" s="6"/>
      <c r="AK1010" s="6"/>
      <c r="AL1010" s="6"/>
      <c r="AM1010" s="6"/>
      <c r="AN1010" s="6"/>
      <c r="AO1010" s="6"/>
      <c r="AP1010" s="6"/>
      <c r="AQ1010" s="6"/>
      <c r="AR1010" s="6"/>
      <c r="AS1010" s="6"/>
      <c r="AT1010" s="6"/>
      <c r="AU1010" s="6"/>
      <c r="AV1010" s="6"/>
      <c r="AW1010" s="6"/>
      <c r="AX1010" s="6"/>
      <c r="AY1010" s="6"/>
      <c r="AZ1010" s="6"/>
      <c r="BA1010" s="6"/>
      <c r="BB1010" s="6"/>
      <c r="BC1010" s="6"/>
      <c r="BD1010" s="6"/>
      <c r="BE1010" s="6"/>
      <c r="BF1010" s="6"/>
      <c r="BG1010" s="6"/>
      <c r="BH1010" s="6"/>
      <c r="BI1010" s="6"/>
      <c r="BJ1010" s="6"/>
      <c r="BK1010" s="6"/>
      <c r="BL1010" s="6"/>
      <c r="BM1010" s="6"/>
      <c r="BN1010" s="6"/>
      <c r="BO1010" s="6"/>
      <c r="BP1010" s="6"/>
      <c r="BQ1010" s="6"/>
      <c r="BR1010" s="6"/>
      <c r="BS1010" s="6"/>
      <c r="BT1010" s="6"/>
      <c r="BU1010" s="6"/>
      <c r="BV1010" s="6"/>
      <c r="BW1010" s="6"/>
      <c r="BX1010" s="6"/>
      <c r="BY1010" s="6"/>
      <c r="BZ1010" s="6"/>
      <c r="CA1010" s="6"/>
      <c r="CB1010" s="6"/>
      <c r="CC1010" s="6"/>
    </row>
    <row r="1011" spans="2:81" x14ac:dyDescent="0.2">
      <c r="B1011" s="68"/>
      <c r="C1011" s="69"/>
      <c r="D1011" s="70"/>
      <c r="F1011" s="68"/>
      <c r="G1011" s="69"/>
      <c r="H1011" s="70"/>
      <c r="J1011" s="71"/>
      <c r="K1011" s="71"/>
      <c r="L1011" s="67"/>
      <c r="N1011" s="71"/>
      <c r="O1011" s="71"/>
      <c r="P1011" s="67"/>
      <c r="R1011" s="67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  <c r="AI1011" s="6"/>
      <c r="AJ1011" s="6"/>
      <c r="AK1011" s="6"/>
      <c r="AL1011" s="6"/>
      <c r="AM1011" s="6"/>
      <c r="AN1011" s="6"/>
      <c r="AO1011" s="6"/>
      <c r="AP1011" s="6"/>
      <c r="AQ1011" s="6"/>
      <c r="AR1011" s="6"/>
      <c r="AS1011" s="6"/>
      <c r="AT1011" s="6"/>
      <c r="AU1011" s="6"/>
      <c r="AV1011" s="6"/>
      <c r="AW1011" s="6"/>
      <c r="AX1011" s="6"/>
      <c r="AY1011" s="6"/>
      <c r="AZ1011" s="6"/>
      <c r="BA1011" s="6"/>
      <c r="BB1011" s="6"/>
      <c r="BC1011" s="6"/>
      <c r="BD1011" s="6"/>
      <c r="BE1011" s="6"/>
      <c r="BF1011" s="6"/>
      <c r="BG1011" s="6"/>
      <c r="BH1011" s="6"/>
      <c r="BI1011" s="6"/>
      <c r="BJ1011" s="6"/>
      <c r="BK1011" s="6"/>
      <c r="BL1011" s="6"/>
      <c r="BM1011" s="6"/>
      <c r="BN1011" s="6"/>
      <c r="BO1011" s="6"/>
      <c r="BP1011" s="6"/>
      <c r="BQ1011" s="6"/>
      <c r="BR1011" s="6"/>
      <c r="BS1011" s="6"/>
      <c r="BT1011" s="6"/>
      <c r="BU1011" s="6"/>
      <c r="BV1011" s="6"/>
      <c r="BW1011" s="6"/>
      <c r="BX1011" s="6"/>
      <c r="BY1011" s="6"/>
      <c r="BZ1011" s="6"/>
      <c r="CA1011" s="6"/>
      <c r="CB1011" s="6"/>
      <c r="CC1011" s="6"/>
    </row>
    <row r="1012" spans="2:81" x14ac:dyDescent="0.2">
      <c r="B1012" s="68"/>
      <c r="C1012" s="69"/>
      <c r="D1012" s="70"/>
      <c r="F1012" s="68"/>
      <c r="G1012" s="69"/>
      <c r="H1012" s="70"/>
      <c r="J1012" s="71"/>
      <c r="K1012" s="71"/>
      <c r="L1012" s="67"/>
      <c r="N1012" s="71"/>
      <c r="O1012" s="71"/>
      <c r="P1012" s="67"/>
      <c r="R1012" s="67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  <c r="AI1012" s="6"/>
      <c r="AJ1012" s="6"/>
      <c r="AK1012" s="6"/>
      <c r="AL1012" s="6"/>
      <c r="AM1012" s="6"/>
      <c r="AN1012" s="6"/>
      <c r="AO1012" s="6"/>
      <c r="AP1012" s="6"/>
      <c r="AQ1012" s="6"/>
      <c r="AR1012" s="6"/>
      <c r="AS1012" s="6"/>
      <c r="AT1012" s="6"/>
      <c r="AU1012" s="6"/>
      <c r="AV1012" s="6"/>
      <c r="AW1012" s="6"/>
      <c r="AX1012" s="6"/>
      <c r="AY1012" s="6"/>
      <c r="AZ1012" s="6"/>
      <c r="BA1012" s="6"/>
      <c r="BB1012" s="6"/>
      <c r="BC1012" s="6"/>
      <c r="BD1012" s="6"/>
      <c r="BE1012" s="6"/>
      <c r="BF1012" s="6"/>
      <c r="BG1012" s="6"/>
      <c r="BH1012" s="6"/>
      <c r="BI1012" s="6"/>
      <c r="BJ1012" s="6"/>
      <c r="BK1012" s="6"/>
      <c r="BL1012" s="6"/>
      <c r="BM1012" s="6"/>
      <c r="BN1012" s="6"/>
      <c r="BO1012" s="6"/>
      <c r="BP1012" s="6"/>
      <c r="BQ1012" s="6"/>
      <c r="BR1012" s="6"/>
      <c r="BS1012" s="6"/>
      <c r="BT1012" s="6"/>
      <c r="BU1012" s="6"/>
      <c r="BV1012" s="6"/>
      <c r="BW1012" s="6"/>
      <c r="BX1012" s="6"/>
      <c r="BY1012" s="6"/>
      <c r="BZ1012" s="6"/>
      <c r="CA1012" s="6"/>
      <c r="CB1012" s="6"/>
      <c r="CC1012" s="6"/>
    </row>
    <row r="1013" spans="2:81" x14ac:dyDescent="0.2">
      <c r="B1013" s="68"/>
      <c r="C1013" s="69"/>
      <c r="D1013" s="70"/>
      <c r="F1013" s="68"/>
      <c r="G1013" s="69"/>
      <c r="H1013" s="70"/>
      <c r="J1013" s="71"/>
      <c r="K1013" s="71"/>
      <c r="L1013" s="67"/>
      <c r="N1013" s="71"/>
      <c r="O1013" s="71"/>
      <c r="P1013" s="67"/>
      <c r="R1013" s="67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  <c r="AI1013" s="6"/>
      <c r="AJ1013" s="6"/>
      <c r="AK1013" s="6"/>
      <c r="AL1013" s="6"/>
      <c r="AM1013" s="6"/>
      <c r="AN1013" s="6"/>
      <c r="AO1013" s="6"/>
      <c r="AP1013" s="6"/>
      <c r="AQ1013" s="6"/>
      <c r="AR1013" s="6"/>
      <c r="AS1013" s="6"/>
      <c r="AT1013" s="6"/>
      <c r="AU1013" s="6"/>
      <c r="AV1013" s="6"/>
      <c r="AW1013" s="6"/>
      <c r="AX1013" s="6"/>
      <c r="AY1013" s="6"/>
      <c r="AZ1013" s="6"/>
      <c r="BA1013" s="6"/>
      <c r="BB1013" s="6"/>
      <c r="BC1013" s="6"/>
      <c r="BD1013" s="6"/>
      <c r="BE1013" s="6"/>
      <c r="BF1013" s="6"/>
      <c r="BG1013" s="6"/>
      <c r="BH1013" s="6"/>
      <c r="BI1013" s="6"/>
      <c r="BJ1013" s="6"/>
      <c r="BK1013" s="6"/>
      <c r="BL1013" s="6"/>
      <c r="BM1013" s="6"/>
      <c r="BN1013" s="6"/>
      <c r="BO1013" s="6"/>
      <c r="BP1013" s="6"/>
      <c r="BQ1013" s="6"/>
      <c r="BR1013" s="6"/>
      <c r="BS1013" s="6"/>
      <c r="BT1013" s="6"/>
      <c r="BU1013" s="6"/>
      <c r="BV1013" s="6"/>
      <c r="BW1013" s="6"/>
      <c r="BX1013" s="6"/>
      <c r="BY1013" s="6"/>
      <c r="BZ1013" s="6"/>
      <c r="CA1013" s="6"/>
      <c r="CB1013" s="6"/>
      <c r="CC1013" s="6"/>
    </row>
    <row r="1014" spans="2:81" x14ac:dyDescent="0.2">
      <c r="B1014" s="68"/>
      <c r="C1014" s="69"/>
      <c r="D1014" s="70"/>
      <c r="F1014" s="68"/>
      <c r="G1014" s="69"/>
      <c r="H1014" s="70"/>
      <c r="J1014" s="71"/>
      <c r="K1014" s="71"/>
      <c r="L1014" s="67"/>
      <c r="N1014" s="71"/>
      <c r="O1014" s="71"/>
      <c r="P1014" s="67"/>
      <c r="R1014" s="67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  <c r="AI1014" s="6"/>
      <c r="AJ1014" s="6"/>
      <c r="AK1014" s="6"/>
      <c r="AL1014" s="6"/>
      <c r="AM1014" s="6"/>
      <c r="AN1014" s="6"/>
      <c r="AO1014" s="6"/>
      <c r="AP1014" s="6"/>
      <c r="AQ1014" s="6"/>
      <c r="AR1014" s="6"/>
      <c r="AS1014" s="6"/>
      <c r="AT1014" s="6"/>
      <c r="AU1014" s="6"/>
      <c r="AV1014" s="6"/>
      <c r="AW1014" s="6"/>
      <c r="AX1014" s="6"/>
      <c r="AY1014" s="6"/>
      <c r="AZ1014" s="6"/>
      <c r="BA1014" s="6"/>
      <c r="BB1014" s="6"/>
      <c r="BC1014" s="6"/>
      <c r="BD1014" s="6"/>
      <c r="BE1014" s="6"/>
      <c r="BF1014" s="6"/>
      <c r="BG1014" s="6"/>
      <c r="BH1014" s="6"/>
      <c r="BI1014" s="6"/>
      <c r="BJ1014" s="6"/>
      <c r="BK1014" s="6"/>
      <c r="BL1014" s="6"/>
      <c r="BM1014" s="6"/>
      <c r="BN1014" s="6"/>
      <c r="BO1014" s="6"/>
      <c r="BP1014" s="6"/>
      <c r="BQ1014" s="6"/>
      <c r="BR1014" s="6"/>
      <c r="BS1014" s="6"/>
      <c r="BT1014" s="6"/>
      <c r="BU1014" s="6"/>
      <c r="BV1014" s="6"/>
      <c r="BW1014" s="6"/>
      <c r="BX1014" s="6"/>
      <c r="BY1014" s="6"/>
      <c r="BZ1014" s="6"/>
      <c r="CA1014" s="6"/>
      <c r="CB1014" s="6"/>
      <c r="CC1014" s="6"/>
    </row>
    <row r="1015" spans="2:81" x14ac:dyDescent="0.2">
      <c r="B1015" s="68"/>
      <c r="C1015" s="69"/>
      <c r="D1015" s="70"/>
      <c r="F1015" s="68"/>
      <c r="G1015" s="69"/>
      <c r="H1015" s="70"/>
      <c r="J1015" s="71"/>
      <c r="K1015" s="71"/>
      <c r="L1015" s="67"/>
      <c r="N1015" s="71"/>
      <c r="O1015" s="71"/>
      <c r="P1015" s="67"/>
      <c r="R1015" s="67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  <c r="AI1015" s="6"/>
      <c r="AJ1015" s="6"/>
      <c r="AK1015" s="6"/>
      <c r="AL1015" s="6"/>
      <c r="AM1015" s="6"/>
      <c r="AN1015" s="6"/>
      <c r="AO1015" s="6"/>
      <c r="AP1015" s="6"/>
      <c r="AQ1015" s="6"/>
      <c r="AR1015" s="6"/>
      <c r="AS1015" s="6"/>
      <c r="AT1015" s="6"/>
      <c r="AU1015" s="6"/>
      <c r="AV1015" s="6"/>
      <c r="AW1015" s="6"/>
      <c r="AX1015" s="6"/>
      <c r="AY1015" s="6"/>
      <c r="AZ1015" s="6"/>
      <c r="BA1015" s="6"/>
      <c r="BB1015" s="6"/>
      <c r="BC1015" s="6"/>
      <c r="BD1015" s="6"/>
      <c r="BE1015" s="6"/>
      <c r="BF1015" s="6"/>
      <c r="BG1015" s="6"/>
      <c r="BH1015" s="6"/>
      <c r="BI1015" s="6"/>
      <c r="BJ1015" s="6"/>
      <c r="BK1015" s="6"/>
      <c r="BL1015" s="6"/>
      <c r="BM1015" s="6"/>
      <c r="BN1015" s="6"/>
      <c r="BO1015" s="6"/>
      <c r="BP1015" s="6"/>
      <c r="BQ1015" s="6"/>
      <c r="BR1015" s="6"/>
      <c r="BS1015" s="6"/>
      <c r="BT1015" s="6"/>
      <c r="BU1015" s="6"/>
      <c r="BV1015" s="6"/>
      <c r="BW1015" s="6"/>
      <c r="BX1015" s="6"/>
      <c r="BY1015" s="6"/>
      <c r="BZ1015" s="6"/>
      <c r="CA1015" s="6"/>
      <c r="CB1015" s="6"/>
      <c r="CC1015" s="6"/>
    </row>
    <row r="1016" spans="2:81" x14ac:dyDescent="0.2">
      <c r="B1016" s="68"/>
      <c r="C1016" s="69"/>
      <c r="D1016" s="70"/>
      <c r="F1016" s="68"/>
      <c r="G1016" s="69"/>
      <c r="H1016" s="70"/>
      <c r="J1016" s="71"/>
      <c r="K1016" s="71"/>
      <c r="L1016" s="67"/>
      <c r="N1016" s="71"/>
      <c r="O1016" s="71"/>
      <c r="P1016" s="67"/>
      <c r="R1016" s="67"/>
      <c r="S1016" s="6"/>
      <c r="T1016" s="6"/>
      <c r="U1016" s="6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  <c r="AG1016" s="6"/>
      <c r="AH1016" s="6"/>
      <c r="AI1016" s="6"/>
      <c r="AJ1016" s="6"/>
      <c r="AK1016" s="6"/>
      <c r="AL1016" s="6"/>
      <c r="AM1016" s="6"/>
      <c r="AN1016" s="6"/>
      <c r="AO1016" s="6"/>
      <c r="AP1016" s="6"/>
      <c r="AQ1016" s="6"/>
      <c r="AR1016" s="6"/>
      <c r="AS1016" s="6"/>
      <c r="AT1016" s="6"/>
      <c r="AU1016" s="6"/>
      <c r="AV1016" s="6"/>
      <c r="AW1016" s="6"/>
      <c r="AX1016" s="6"/>
      <c r="AY1016" s="6"/>
      <c r="AZ1016" s="6"/>
      <c r="BA1016" s="6"/>
      <c r="BB1016" s="6"/>
      <c r="BC1016" s="6"/>
      <c r="BD1016" s="6"/>
      <c r="BE1016" s="6"/>
      <c r="BF1016" s="6"/>
      <c r="BG1016" s="6"/>
      <c r="BH1016" s="6"/>
      <c r="BI1016" s="6"/>
      <c r="BJ1016" s="6"/>
      <c r="BK1016" s="6"/>
      <c r="BL1016" s="6"/>
      <c r="BM1016" s="6"/>
      <c r="BN1016" s="6"/>
      <c r="BO1016" s="6"/>
      <c r="BP1016" s="6"/>
      <c r="BQ1016" s="6"/>
      <c r="BR1016" s="6"/>
      <c r="BS1016" s="6"/>
      <c r="BT1016" s="6"/>
      <c r="BU1016" s="6"/>
      <c r="BV1016" s="6"/>
      <c r="BW1016" s="6"/>
      <c r="BX1016" s="6"/>
      <c r="BY1016" s="6"/>
      <c r="BZ1016" s="6"/>
      <c r="CA1016" s="6"/>
      <c r="CB1016" s="6"/>
      <c r="CC1016" s="6"/>
    </row>
    <row r="1017" spans="2:81" x14ac:dyDescent="0.2">
      <c r="B1017" s="68"/>
      <c r="C1017" s="69"/>
      <c r="D1017" s="70"/>
      <c r="F1017" s="68"/>
      <c r="G1017" s="69"/>
      <c r="H1017" s="70"/>
      <c r="J1017" s="71"/>
      <c r="K1017" s="71"/>
      <c r="L1017" s="67"/>
      <c r="N1017" s="71"/>
      <c r="O1017" s="71"/>
      <c r="P1017" s="67"/>
      <c r="R1017" s="67"/>
      <c r="S1017" s="6"/>
      <c r="T1017" s="6"/>
      <c r="U1017" s="6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  <c r="AG1017" s="6"/>
      <c r="AH1017" s="6"/>
      <c r="AI1017" s="6"/>
      <c r="AJ1017" s="6"/>
      <c r="AK1017" s="6"/>
      <c r="AL1017" s="6"/>
      <c r="AM1017" s="6"/>
      <c r="AN1017" s="6"/>
      <c r="AO1017" s="6"/>
      <c r="AP1017" s="6"/>
      <c r="AQ1017" s="6"/>
      <c r="AR1017" s="6"/>
      <c r="AS1017" s="6"/>
      <c r="AT1017" s="6"/>
      <c r="AU1017" s="6"/>
      <c r="AV1017" s="6"/>
      <c r="AW1017" s="6"/>
      <c r="AX1017" s="6"/>
      <c r="AY1017" s="6"/>
      <c r="AZ1017" s="6"/>
      <c r="BA1017" s="6"/>
      <c r="BB1017" s="6"/>
      <c r="BC1017" s="6"/>
      <c r="BD1017" s="6"/>
      <c r="BE1017" s="6"/>
      <c r="BF1017" s="6"/>
      <c r="BG1017" s="6"/>
      <c r="BH1017" s="6"/>
      <c r="BI1017" s="6"/>
      <c r="BJ1017" s="6"/>
      <c r="BK1017" s="6"/>
      <c r="BL1017" s="6"/>
      <c r="BM1017" s="6"/>
      <c r="BN1017" s="6"/>
      <c r="BO1017" s="6"/>
      <c r="BP1017" s="6"/>
      <c r="BQ1017" s="6"/>
      <c r="BR1017" s="6"/>
      <c r="BS1017" s="6"/>
      <c r="BT1017" s="6"/>
      <c r="BU1017" s="6"/>
      <c r="BV1017" s="6"/>
      <c r="BW1017" s="6"/>
      <c r="BX1017" s="6"/>
      <c r="BY1017" s="6"/>
      <c r="BZ1017" s="6"/>
      <c r="CA1017" s="6"/>
      <c r="CB1017" s="6"/>
      <c r="CC1017" s="6"/>
    </row>
    <row r="1018" spans="2:81" x14ac:dyDescent="0.2">
      <c r="B1018" s="68"/>
      <c r="C1018" s="69"/>
      <c r="D1018" s="70"/>
      <c r="F1018" s="68"/>
      <c r="G1018" s="69"/>
      <c r="H1018" s="70"/>
      <c r="J1018" s="71"/>
      <c r="K1018" s="71"/>
      <c r="L1018" s="67"/>
      <c r="N1018" s="71"/>
      <c r="O1018" s="71"/>
      <c r="P1018" s="67"/>
      <c r="R1018" s="67"/>
      <c r="S1018" s="6"/>
      <c r="T1018" s="6"/>
      <c r="U1018" s="6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  <c r="AG1018" s="6"/>
      <c r="AH1018" s="6"/>
      <c r="AI1018" s="6"/>
      <c r="AJ1018" s="6"/>
      <c r="AK1018" s="6"/>
      <c r="AL1018" s="6"/>
      <c r="AM1018" s="6"/>
      <c r="AN1018" s="6"/>
      <c r="AO1018" s="6"/>
      <c r="AP1018" s="6"/>
      <c r="AQ1018" s="6"/>
      <c r="AR1018" s="6"/>
      <c r="AS1018" s="6"/>
      <c r="AT1018" s="6"/>
      <c r="AU1018" s="6"/>
      <c r="AV1018" s="6"/>
      <c r="AW1018" s="6"/>
      <c r="AX1018" s="6"/>
      <c r="AY1018" s="6"/>
      <c r="AZ1018" s="6"/>
      <c r="BA1018" s="6"/>
      <c r="BB1018" s="6"/>
      <c r="BC1018" s="6"/>
      <c r="BD1018" s="6"/>
      <c r="BE1018" s="6"/>
      <c r="BF1018" s="6"/>
      <c r="BG1018" s="6"/>
      <c r="BH1018" s="6"/>
      <c r="BI1018" s="6"/>
      <c r="BJ1018" s="6"/>
      <c r="BK1018" s="6"/>
      <c r="BL1018" s="6"/>
      <c r="BM1018" s="6"/>
      <c r="BN1018" s="6"/>
      <c r="BO1018" s="6"/>
      <c r="BP1018" s="6"/>
      <c r="BQ1018" s="6"/>
      <c r="BR1018" s="6"/>
      <c r="BS1018" s="6"/>
      <c r="BT1018" s="6"/>
      <c r="BU1018" s="6"/>
      <c r="BV1018" s="6"/>
      <c r="BW1018" s="6"/>
      <c r="BX1018" s="6"/>
      <c r="BY1018" s="6"/>
      <c r="BZ1018" s="6"/>
      <c r="CA1018" s="6"/>
      <c r="CB1018" s="6"/>
      <c r="CC1018" s="6"/>
    </row>
    <row r="1019" spans="2:81" x14ac:dyDescent="0.2">
      <c r="B1019" s="68"/>
      <c r="C1019" s="69"/>
      <c r="D1019" s="70"/>
      <c r="F1019" s="68"/>
      <c r="G1019" s="69"/>
      <c r="H1019" s="70"/>
      <c r="J1019" s="71"/>
      <c r="K1019" s="71"/>
      <c r="L1019" s="67"/>
      <c r="N1019" s="71"/>
      <c r="O1019" s="71"/>
      <c r="P1019" s="67"/>
      <c r="R1019" s="67"/>
      <c r="S1019" s="6"/>
      <c r="T1019" s="6"/>
      <c r="U1019" s="6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  <c r="AG1019" s="6"/>
      <c r="AH1019" s="6"/>
      <c r="AI1019" s="6"/>
      <c r="AJ1019" s="6"/>
      <c r="AK1019" s="6"/>
      <c r="AL1019" s="6"/>
      <c r="AM1019" s="6"/>
      <c r="AN1019" s="6"/>
      <c r="AO1019" s="6"/>
      <c r="AP1019" s="6"/>
      <c r="AQ1019" s="6"/>
      <c r="AR1019" s="6"/>
      <c r="AS1019" s="6"/>
      <c r="AT1019" s="6"/>
      <c r="AU1019" s="6"/>
      <c r="AV1019" s="6"/>
      <c r="AW1019" s="6"/>
      <c r="AX1019" s="6"/>
      <c r="AY1019" s="6"/>
      <c r="AZ1019" s="6"/>
      <c r="BA1019" s="6"/>
      <c r="BB1019" s="6"/>
      <c r="BC1019" s="6"/>
      <c r="BD1019" s="6"/>
      <c r="BE1019" s="6"/>
      <c r="BF1019" s="6"/>
      <c r="BG1019" s="6"/>
      <c r="BH1019" s="6"/>
      <c r="BI1019" s="6"/>
      <c r="BJ1019" s="6"/>
      <c r="BK1019" s="6"/>
      <c r="BL1019" s="6"/>
      <c r="BM1019" s="6"/>
      <c r="BN1019" s="6"/>
      <c r="BO1019" s="6"/>
      <c r="BP1019" s="6"/>
      <c r="BQ1019" s="6"/>
      <c r="BR1019" s="6"/>
      <c r="BS1019" s="6"/>
      <c r="BT1019" s="6"/>
      <c r="BU1019" s="6"/>
      <c r="BV1019" s="6"/>
      <c r="BW1019" s="6"/>
      <c r="BX1019" s="6"/>
      <c r="BY1019" s="6"/>
      <c r="BZ1019" s="6"/>
      <c r="CA1019" s="6"/>
      <c r="CB1019" s="6"/>
      <c r="CC1019" s="6"/>
    </row>
    <row r="1020" spans="2:81" x14ac:dyDescent="0.2">
      <c r="B1020" s="68"/>
      <c r="C1020" s="69"/>
      <c r="D1020" s="70"/>
      <c r="F1020" s="68"/>
      <c r="G1020" s="69"/>
      <c r="H1020" s="70"/>
      <c r="J1020" s="71"/>
      <c r="K1020" s="71"/>
      <c r="L1020" s="67"/>
      <c r="N1020" s="71"/>
      <c r="O1020" s="71"/>
      <c r="P1020" s="67"/>
      <c r="R1020" s="67"/>
      <c r="S1020" s="6"/>
      <c r="T1020" s="6"/>
      <c r="U1020" s="6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  <c r="AG1020" s="6"/>
      <c r="AH1020" s="6"/>
      <c r="AI1020" s="6"/>
      <c r="AJ1020" s="6"/>
      <c r="AK1020" s="6"/>
      <c r="AL1020" s="6"/>
      <c r="AM1020" s="6"/>
      <c r="AN1020" s="6"/>
      <c r="AO1020" s="6"/>
      <c r="AP1020" s="6"/>
      <c r="AQ1020" s="6"/>
      <c r="AR1020" s="6"/>
      <c r="AS1020" s="6"/>
      <c r="AT1020" s="6"/>
      <c r="AU1020" s="6"/>
      <c r="AV1020" s="6"/>
      <c r="AW1020" s="6"/>
      <c r="AX1020" s="6"/>
      <c r="AY1020" s="6"/>
      <c r="AZ1020" s="6"/>
      <c r="BA1020" s="6"/>
      <c r="BB1020" s="6"/>
      <c r="BC1020" s="6"/>
      <c r="BD1020" s="6"/>
      <c r="BE1020" s="6"/>
      <c r="BF1020" s="6"/>
      <c r="BG1020" s="6"/>
      <c r="BH1020" s="6"/>
      <c r="BI1020" s="6"/>
      <c r="BJ1020" s="6"/>
      <c r="BK1020" s="6"/>
      <c r="BL1020" s="6"/>
      <c r="BM1020" s="6"/>
      <c r="BN1020" s="6"/>
      <c r="BO1020" s="6"/>
      <c r="BP1020" s="6"/>
      <c r="BQ1020" s="6"/>
      <c r="BR1020" s="6"/>
      <c r="BS1020" s="6"/>
      <c r="BT1020" s="6"/>
      <c r="BU1020" s="6"/>
      <c r="BV1020" s="6"/>
      <c r="BW1020" s="6"/>
      <c r="BX1020" s="6"/>
      <c r="BY1020" s="6"/>
      <c r="BZ1020" s="6"/>
      <c r="CA1020" s="6"/>
      <c r="CB1020" s="6"/>
      <c r="CC1020" s="6"/>
    </row>
    <row r="1021" spans="2:81" x14ac:dyDescent="0.2">
      <c r="B1021" s="68"/>
      <c r="C1021" s="69"/>
      <c r="D1021" s="70"/>
      <c r="F1021" s="68"/>
      <c r="G1021" s="69"/>
      <c r="H1021" s="70"/>
      <c r="J1021" s="71"/>
      <c r="K1021" s="71"/>
      <c r="L1021" s="67"/>
      <c r="N1021" s="71"/>
      <c r="O1021" s="71"/>
      <c r="P1021" s="67"/>
      <c r="R1021" s="67"/>
      <c r="S1021" s="6"/>
      <c r="T1021" s="6"/>
      <c r="U1021" s="6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  <c r="AG1021" s="6"/>
      <c r="AH1021" s="6"/>
      <c r="AI1021" s="6"/>
      <c r="AJ1021" s="6"/>
      <c r="AK1021" s="6"/>
      <c r="AL1021" s="6"/>
      <c r="AM1021" s="6"/>
      <c r="AN1021" s="6"/>
      <c r="AO1021" s="6"/>
      <c r="AP1021" s="6"/>
      <c r="AQ1021" s="6"/>
      <c r="AR1021" s="6"/>
      <c r="AS1021" s="6"/>
      <c r="AT1021" s="6"/>
      <c r="AU1021" s="6"/>
      <c r="AV1021" s="6"/>
      <c r="AW1021" s="6"/>
      <c r="AX1021" s="6"/>
      <c r="AY1021" s="6"/>
      <c r="AZ1021" s="6"/>
      <c r="BA1021" s="6"/>
      <c r="BB1021" s="6"/>
      <c r="BC1021" s="6"/>
      <c r="BD1021" s="6"/>
      <c r="BE1021" s="6"/>
      <c r="BF1021" s="6"/>
      <c r="BG1021" s="6"/>
      <c r="BH1021" s="6"/>
      <c r="BI1021" s="6"/>
      <c r="BJ1021" s="6"/>
      <c r="BK1021" s="6"/>
      <c r="BL1021" s="6"/>
      <c r="BM1021" s="6"/>
      <c r="BN1021" s="6"/>
      <c r="BO1021" s="6"/>
      <c r="BP1021" s="6"/>
      <c r="BQ1021" s="6"/>
      <c r="BR1021" s="6"/>
      <c r="BS1021" s="6"/>
      <c r="BT1021" s="6"/>
      <c r="BU1021" s="6"/>
      <c r="BV1021" s="6"/>
      <c r="BW1021" s="6"/>
      <c r="BX1021" s="6"/>
      <c r="BY1021" s="6"/>
      <c r="BZ1021" s="6"/>
      <c r="CA1021" s="6"/>
      <c r="CB1021" s="6"/>
      <c r="CC1021" s="6"/>
    </row>
    <row r="1022" spans="2:81" x14ac:dyDescent="0.2">
      <c r="B1022" s="68"/>
      <c r="C1022" s="69"/>
      <c r="D1022" s="70"/>
      <c r="F1022" s="68"/>
      <c r="G1022" s="69"/>
      <c r="H1022" s="70"/>
      <c r="J1022" s="71"/>
      <c r="K1022" s="71"/>
      <c r="L1022" s="67"/>
      <c r="N1022" s="71"/>
      <c r="O1022" s="71"/>
      <c r="P1022" s="67"/>
      <c r="R1022" s="67"/>
      <c r="S1022" s="6"/>
      <c r="T1022" s="6"/>
      <c r="U1022" s="6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  <c r="AG1022" s="6"/>
      <c r="AH1022" s="6"/>
      <c r="AI1022" s="6"/>
      <c r="AJ1022" s="6"/>
      <c r="AK1022" s="6"/>
      <c r="AL1022" s="6"/>
      <c r="AM1022" s="6"/>
      <c r="AN1022" s="6"/>
      <c r="AO1022" s="6"/>
      <c r="AP1022" s="6"/>
      <c r="AQ1022" s="6"/>
      <c r="AR1022" s="6"/>
      <c r="AS1022" s="6"/>
      <c r="AT1022" s="6"/>
      <c r="AU1022" s="6"/>
      <c r="AV1022" s="6"/>
      <c r="AW1022" s="6"/>
      <c r="AX1022" s="6"/>
      <c r="AY1022" s="6"/>
      <c r="AZ1022" s="6"/>
      <c r="BA1022" s="6"/>
      <c r="BB1022" s="6"/>
      <c r="BC1022" s="6"/>
      <c r="BD1022" s="6"/>
      <c r="BE1022" s="6"/>
      <c r="BF1022" s="6"/>
      <c r="BG1022" s="6"/>
      <c r="BH1022" s="6"/>
      <c r="BI1022" s="6"/>
      <c r="BJ1022" s="6"/>
      <c r="BK1022" s="6"/>
      <c r="BL1022" s="6"/>
      <c r="BM1022" s="6"/>
      <c r="BN1022" s="6"/>
      <c r="BO1022" s="6"/>
      <c r="BP1022" s="6"/>
      <c r="BQ1022" s="6"/>
      <c r="BR1022" s="6"/>
      <c r="BS1022" s="6"/>
      <c r="BT1022" s="6"/>
      <c r="BU1022" s="6"/>
      <c r="BV1022" s="6"/>
      <c r="BW1022" s="6"/>
      <c r="BX1022" s="6"/>
      <c r="BY1022" s="6"/>
      <c r="BZ1022" s="6"/>
      <c r="CA1022" s="6"/>
      <c r="CB1022" s="6"/>
      <c r="CC1022" s="6"/>
    </row>
    <row r="1023" spans="2:81" x14ac:dyDescent="0.2">
      <c r="B1023" s="68"/>
      <c r="C1023" s="69"/>
      <c r="D1023" s="70"/>
      <c r="F1023" s="68"/>
      <c r="G1023" s="69"/>
      <c r="H1023" s="70"/>
      <c r="J1023" s="71"/>
      <c r="K1023" s="71"/>
      <c r="L1023" s="67"/>
      <c r="N1023" s="71"/>
      <c r="O1023" s="71"/>
      <c r="P1023" s="67"/>
      <c r="R1023" s="67"/>
      <c r="S1023" s="6"/>
      <c r="T1023" s="6"/>
      <c r="U1023" s="6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  <c r="AG1023" s="6"/>
      <c r="AH1023" s="6"/>
      <c r="AI1023" s="6"/>
      <c r="AJ1023" s="6"/>
      <c r="AK1023" s="6"/>
      <c r="AL1023" s="6"/>
      <c r="AM1023" s="6"/>
      <c r="AN1023" s="6"/>
      <c r="AO1023" s="6"/>
      <c r="AP1023" s="6"/>
      <c r="AQ1023" s="6"/>
      <c r="AR1023" s="6"/>
      <c r="AS1023" s="6"/>
      <c r="AT1023" s="6"/>
      <c r="AU1023" s="6"/>
      <c r="AV1023" s="6"/>
      <c r="AW1023" s="6"/>
      <c r="AX1023" s="6"/>
      <c r="AY1023" s="6"/>
      <c r="AZ1023" s="6"/>
      <c r="BA1023" s="6"/>
      <c r="BB1023" s="6"/>
      <c r="BC1023" s="6"/>
      <c r="BD1023" s="6"/>
      <c r="BE1023" s="6"/>
      <c r="BF1023" s="6"/>
      <c r="BG1023" s="6"/>
      <c r="BH1023" s="6"/>
      <c r="BI1023" s="6"/>
      <c r="BJ1023" s="6"/>
      <c r="BK1023" s="6"/>
      <c r="BL1023" s="6"/>
      <c r="BM1023" s="6"/>
      <c r="BN1023" s="6"/>
      <c r="BO1023" s="6"/>
      <c r="BP1023" s="6"/>
      <c r="BQ1023" s="6"/>
      <c r="BR1023" s="6"/>
      <c r="BS1023" s="6"/>
      <c r="BT1023" s="6"/>
      <c r="BU1023" s="6"/>
      <c r="BV1023" s="6"/>
      <c r="BW1023" s="6"/>
      <c r="BX1023" s="6"/>
      <c r="BY1023" s="6"/>
      <c r="BZ1023" s="6"/>
      <c r="CA1023" s="6"/>
      <c r="CB1023" s="6"/>
      <c r="CC1023" s="6"/>
    </row>
    <row r="1024" spans="2:81" x14ac:dyDescent="0.2">
      <c r="B1024" s="68"/>
      <c r="C1024" s="69"/>
      <c r="D1024" s="70"/>
      <c r="F1024" s="68"/>
      <c r="G1024" s="69"/>
      <c r="H1024" s="70"/>
      <c r="J1024" s="71"/>
      <c r="K1024" s="71"/>
      <c r="L1024" s="67"/>
      <c r="N1024" s="71"/>
      <c r="O1024" s="71"/>
      <c r="P1024" s="67"/>
      <c r="R1024" s="67"/>
      <c r="S1024" s="6"/>
      <c r="T1024" s="6"/>
      <c r="U1024" s="6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  <c r="AG1024" s="6"/>
      <c r="AH1024" s="6"/>
      <c r="AI1024" s="6"/>
      <c r="AJ1024" s="6"/>
      <c r="AK1024" s="6"/>
      <c r="AL1024" s="6"/>
      <c r="AM1024" s="6"/>
      <c r="AN1024" s="6"/>
      <c r="AO1024" s="6"/>
      <c r="AP1024" s="6"/>
      <c r="AQ1024" s="6"/>
      <c r="AR1024" s="6"/>
      <c r="AS1024" s="6"/>
      <c r="AT1024" s="6"/>
      <c r="AU1024" s="6"/>
      <c r="AV1024" s="6"/>
      <c r="AW1024" s="6"/>
      <c r="AX1024" s="6"/>
      <c r="AY1024" s="6"/>
      <c r="AZ1024" s="6"/>
      <c r="BA1024" s="6"/>
      <c r="BB1024" s="6"/>
      <c r="BC1024" s="6"/>
      <c r="BD1024" s="6"/>
      <c r="BE1024" s="6"/>
      <c r="BF1024" s="6"/>
      <c r="BG1024" s="6"/>
      <c r="BH1024" s="6"/>
      <c r="BI1024" s="6"/>
      <c r="BJ1024" s="6"/>
      <c r="BK1024" s="6"/>
      <c r="BL1024" s="6"/>
      <c r="BM1024" s="6"/>
      <c r="BN1024" s="6"/>
      <c r="BO1024" s="6"/>
      <c r="BP1024" s="6"/>
      <c r="BQ1024" s="6"/>
      <c r="BR1024" s="6"/>
      <c r="BS1024" s="6"/>
      <c r="BT1024" s="6"/>
      <c r="BU1024" s="6"/>
      <c r="BV1024" s="6"/>
      <c r="BW1024" s="6"/>
      <c r="BX1024" s="6"/>
      <c r="BY1024" s="6"/>
      <c r="BZ1024" s="6"/>
      <c r="CA1024" s="6"/>
      <c r="CB1024" s="6"/>
      <c r="CC1024" s="6"/>
    </row>
    <row r="1025" spans="2:81" x14ac:dyDescent="0.2">
      <c r="B1025" s="68"/>
      <c r="C1025" s="69"/>
      <c r="D1025" s="70"/>
      <c r="F1025" s="68"/>
      <c r="G1025" s="69"/>
      <c r="H1025" s="70"/>
      <c r="J1025" s="71"/>
      <c r="K1025" s="71"/>
      <c r="L1025" s="67"/>
      <c r="N1025" s="71"/>
      <c r="O1025" s="71"/>
      <c r="P1025" s="67"/>
      <c r="R1025" s="67"/>
      <c r="S1025" s="6"/>
      <c r="T1025" s="6"/>
      <c r="U1025" s="6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  <c r="AG1025" s="6"/>
      <c r="AH1025" s="6"/>
      <c r="AI1025" s="6"/>
      <c r="AJ1025" s="6"/>
      <c r="AK1025" s="6"/>
      <c r="AL1025" s="6"/>
      <c r="AM1025" s="6"/>
      <c r="AN1025" s="6"/>
      <c r="AO1025" s="6"/>
      <c r="AP1025" s="6"/>
      <c r="AQ1025" s="6"/>
      <c r="AR1025" s="6"/>
      <c r="AS1025" s="6"/>
      <c r="AT1025" s="6"/>
      <c r="AU1025" s="6"/>
      <c r="AV1025" s="6"/>
      <c r="AW1025" s="6"/>
      <c r="AX1025" s="6"/>
      <c r="AY1025" s="6"/>
      <c r="AZ1025" s="6"/>
      <c r="BA1025" s="6"/>
      <c r="BB1025" s="6"/>
      <c r="BC1025" s="6"/>
      <c r="BD1025" s="6"/>
      <c r="BE1025" s="6"/>
      <c r="BF1025" s="6"/>
      <c r="BG1025" s="6"/>
      <c r="BH1025" s="6"/>
      <c r="BI1025" s="6"/>
      <c r="BJ1025" s="6"/>
      <c r="BK1025" s="6"/>
      <c r="BL1025" s="6"/>
      <c r="BM1025" s="6"/>
      <c r="BN1025" s="6"/>
      <c r="BO1025" s="6"/>
      <c r="BP1025" s="6"/>
      <c r="BQ1025" s="6"/>
      <c r="BR1025" s="6"/>
      <c r="BS1025" s="6"/>
      <c r="BT1025" s="6"/>
      <c r="BU1025" s="6"/>
      <c r="BV1025" s="6"/>
      <c r="BW1025" s="6"/>
      <c r="BX1025" s="6"/>
      <c r="BY1025" s="6"/>
      <c r="BZ1025" s="6"/>
      <c r="CA1025" s="6"/>
      <c r="CB1025" s="6"/>
      <c r="CC1025" s="6"/>
    </row>
    <row r="1026" spans="2:81" x14ac:dyDescent="0.2">
      <c r="B1026" s="68"/>
      <c r="C1026" s="69"/>
      <c r="D1026" s="70"/>
      <c r="F1026" s="68"/>
      <c r="G1026" s="69"/>
      <c r="H1026" s="70"/>
      <c r="J1026" s="71"/>
      <c r="K1026" s="71"/>
      <c r="L1026" s="67"/>
      <c r="N1026" s="71"/>
      <c r="O1026" s="71"/>
      <c r="P1026" s="67"/>
      <c r="R1026" s="67"/>
      <c r="S1026" s="6"/>
      <c r="T1026" s="6"/>
      <c r="U1026" s="6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  <c r="AG1026" s="6"/>
      <c r="AH1026" s="6"/>
      <c r="AI1026" s="6"/>
      <c r="AJ1026" s="6"/>
      <c r="AK1026" s="6"/>
      <c r="AL1026" s="6"/>
      <c r="AM1026" s="6"/>
      <c r="AN1026" s="6"/>
      <c r="AO1026" s="6"/>
      <c r="AP1026" s="6"/>
      <c r="AQ1026" s="6"/>
      <c r="AR1026" s="6"/>
      <c r="AS1026" s="6"/>
      <c r="AT1026" s="6"/>
      <c r="AU1026" s="6"/>
      <c r="AV1026" s="6"/>
      <c r="AW1026" s="6"/>
      <c r="AX1026" s="6"/>
      <c r="AY1026" s="6"/>
      <c r="AZ1026" s="6"/>
      <c r="BA1026" s="6"/>
      <c r="BB1026" s="6"/>
      <c r="BC1026" s="6"/>
      <c r="BD1026" s="6"/>
      <c r="BE1026" s="6"/>
      <c r="BF1026" s="6"/>
      <c r="BG1026" s="6"/>
      <c r="BH1026" s="6"/>
      <c r="BI1026" s="6"/>
      <c r="BJ1026" s="6"/>
      <c r="BK1026" s="6"/>
      <c r="BL1026" s="6"/>
      <c r="BM1026" s="6"/>
      <c r="BN1026" s="6"/>
      <c r="BO1026" s="6"/>
      <c r="BP1026" s="6"/>
      <c r="BQ1026" s="6"/>
      <c r="BR1026" s="6"/>
      <c r="BS1026" s="6"/>
      <c r="BT1026" s="6"/>
      <c r="BU1026" s="6"/>
      <c r="BV1026" s="6"/>
      <c r="BW1026" s="6"/>
      <c r="BX1026" s="6"/>
      <c r="BY1026" s="6"/>
      <c r="BZ1026" s="6"/>
      <c r="CA1026" s="6"/>
      <c r="CB1026" s="6"/>
      <c r="CC1026" s="6"/>
    </row>
    <row r="1027" spans="2:81" x14ac:dyDescent="0.2">
      <c r="B1027" s="68"/>
      <c r="C1027" s="69"/>
      <c r="D1027" s="70"/>
      <c r="F1027" s="68"/>
      <c r="G1027" s="69"/>
      <c r="H1027" s="70"/>
      <c r="J1027" s="71"/>
      <c r="K1027" s="71"/>
      <c r="L1027" s="67"/>
      <c r="N1027" s="71"/>
      <c r="O1027" s="71"/>
      <c r="P1027" s="67"/>
      <c r="R1027" s="67"/>
      <c r="S1027" s="6"/>
      <c r="T1027" s="6"/>
      <c r="U1027" s="6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  <c r="AG1027" s="6"/>
      <c r="AH1027" s="6"/>
      <c r="AI1027" s="6"/>
      <c r="AJ1027" s="6"/>
      <c r="AK1027" s="6"/>
      <c r="AL1027" s="6"/>
      <c r="AM1027" s="6"/>
      <c r="AN1027" s="6"/>
      <c r="AO1027" s="6"/>
      <c r="AP1027" s="6"/>
      <c r="AQ1027" s="6"/>
      <c r="AR1027" s="6"/>
      <c r="AS1027" s="6"/>
      <c r="AT1027" s="6"/>
      <c r="AU1027" s="6"/>
      <c r="AV1027" s="6"/>
      <c r="AW1027" s="6"/>
      <c r="AX1027" s="6"/>
      <c r="AY1027" s="6"/>
      <c r="AZ1027" s="6"/>
      <c r="BA1027" s="6"/>
      <c r="BB1027" s="6"/>
      <c r="BC1027" s="6"/>
      <c r="BD1027" s="6"/>
      <c r="BE1027" s="6"/>
      <c r="BF1027" s="6"/>
      <c r="BG1027" s="6"/>
      <c r="BH1027" s="6"/>
      <c r="BI1027" s="6"/>
      <c r="BJ1027" s="6"/>
      <c r="BK1027" s="6"/>
      <c r="BL1027" s="6"/>
      <c r="BM1027" s="6"/>
      <c r="BN1027" s="6"/>
      <c r="BO1027" s="6"/>
      <c r="BP1027" s="6"/>
      <c r="BQ1027" s="6"/>
      <c r="BR1027" s="6"/>
      <c r="BS1027" s="6"/>
      <c r="BT1027" s="6"/>
      <c r="BU1027" s="6"/>
      <c r="BV1027" s="6"/>
      <c r="BW1027" s="6"/>
      <c r="BX1027" s="6"/>
      <c r="BY1027" s="6"/>
      <c r="BZ1027" s="6"/>
      <c r="CA1027" s="6"/>
      <c r="CB1027" s="6"/>
      <c r="CC1027" s="6"/>
    </row>
    <row r="1028" spans="2:81" x14ac:dyDescent="0.2">
      <c r="B1028" s="68"/>
      <c r="C1028" s="69"/>
      <c r="D1028" s="70"/>
      <c r="F1028" s="68"/>
      <c r="G1028" s="69"/>
      <c r="H1028" s="70"/>
      <c r="J1028" s="71"/>
      <c r="K1028" s="71"/>
      <c r="L1028" s="67"/>
      <c r="N1028" s="71"/>
      <c r="O1028" s="71"/>
      <c r="P1028" s="67"/>
      <c r="R1028" s="67"/>
      <c r="S1028" s="6"/>
      <c r="T1028" s="6"/>
      <c r="U1028" s="6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  <c r="AG1028" s="6"/>
      <c r="AH1028" s="6"/>
      <c r="AI1028" s="6"/>
      <c r="AJ1028" s="6"/>
      <c r="AK1028" s="6"/>
      <c r="AL1028" s="6"/>
      <c r="AM1028" s="6"/>
      <c r="AN1028" s="6"/>
      <c r="AO1028" s="6"/>
      <c r="AP1028" s="6"/>
      <c r="AQ1028" s="6"/>
      <c r="AR1028" s="6"/>
      <c r="AS1028" s="6"/>
      <c r="AT1028" s="6"/>
      <c r="AU1028" s="6"/>
      <c r="AV1028" s="6"/>
      <c r="AW1028" s="6"/>
      <c r="AX1028" s="6"/>
      <c r="AY1028" s="6"/>
      <c r="AZ1028" s="6"/>
      <c r="BA1028" s="6"/>
      <c r="BB1028" s="6"/>
      <c r="BC1028" s="6"/>
      <c r="BD1028" s="6"/>
      <c r="BE1028" s="6"/>
      <c r="BF1028" s="6"/>
      <c r="BG1028" s="6"/>
      <c r="BH1028" s="6"/>
      <c r="BI1028" s="6"/>
      <c r="BJ1028" s="6"/>
      <c r="BK1028" s="6"/>
      <c r="BL1028" s="6"/>
      <c r="BM1028" s="6"/>
      <c r="BN1028" s="6"/>
      <c r="BO1028" s="6"/>
      <c r="BP1028" s="6"/>
      <c r="BQ1028" s="6"/>
      <c r="BR1028" s="6"/>
      <c r="BS1028" s="6"/>
      <c r="BT1028" s="6"/>
      <c r="BU1028" s="6"/>
      <c r="BV1028" s="6"/>
      <c r="BW1028" s="6"/>
      <c r="BX1028" s="6"/>
      <c r="BY1028" s="6"/>
      <c r="BZ1028" s="6"/>
      <c r="CA1028" s="6"/>
      <c r="CB1028" s="6"/>
      <c r="CC1028" s="6"/>
    </row>
    <row r="1029" spans="2:81" x14ac:dyDescent="0.2">
      <c r="B1029" s="68"/>
      <c r="C1029" s="69"/>
      <c r="D1029" s="70"/>
      <c r="F1029" s="68"/>
      <c r="G1029" s="69"/>
      <c r="H1029" s="70"/>
      <c r="J1029" s="71"/>
      <c r="K1029" s="71"/>
      <c r="L1029" s="67"/>
      <c r="N1029" s="71"/>
      <c r="O1029" s="71"/>
      <c r="P1029" s="67"/>
      <c r="R1029" s="67"/>
      <c r="S1029" s="6"/>
      <c r="T1029" s="6"/>
      <c r="U1029" s="6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  <c r="AG1029" s="6"/>
      <c r="AH1029" s="6"/>
      <c r="AI1029" s="6"/>
      <c r="AJ1029" s="6"/>
      <c r="AK1029" s="6"/>
      <c r="AL1029" s="6"/>
      <c r="AM1029" s="6"/>
      <c r="AN1029" s="6"/>
      <c r="AO1029" s="6"/>
      <c r="AP1029" s="6"/>
      <c r="AQ1029" s="6"/>
      <c r="AR1029" s="6"/>
      <c r="AS1029" s="6"/>
      <c r="AT1029" s="6"/>
      <c r="AU1029" s="6"/>
      <c r="AV1029" s="6"/>
      <c r="AW1029" s="6"/>
      <c r="AX1029" s="6"/>
      <c r="AY1029" s="6"/>
      <c r="AZ1029" s="6"/>
      <c r="BA1029" s="6"/>
      <c r="BB1029" s="6"/>
      <c r="BC1029" s="6"/>
      <c r="BD1029" s="6"/>
      <c r="BE1029" s="6"/>
      <c r="BF1029" s="6"/>
      <c r="BG1029" s="6"/>
      <c r="BH1029" s="6"/>
      <c r="BI1029" s="6"/>
      <c r="BJ1029" s="6"/>
      <c r="BK1029" s="6"/>
      <c r="BL1029" s="6"/>
      <c r="BM1029" s="6"/>
      <c r="BN1029" s="6"/>
      <c r="BO1029" s="6"/>
      <c r="BP1029" s="6"/>
      <c r="BQ1029" s="6"/>
      <c r="BR1029" s="6"/>
      <c r="BS1029" s="6"/>
      <c r="BT1029" s="6"/>
      <c r="BU1029" s="6"/>
      <c r="BV1029" s="6"/>
      <c r="BW1029" s="6"/>
      <c r="BX1029" s="6"/>
      <c r="BY1029" s="6"/>
      <c r="BZ1029" s="6"/>
      <c r="CA1029" s="6"/>
      <c r="CB1029" s="6"/>
      <c r="CC1029" s="6"/>
    </row>
    <row r="1030" spans="2:81" x14ac:dyDescent="0.2">
      <c r="B1030" s="68"/>
      <c r="C1030" s="69"/>
      <c r="D1030" s="70"/>
      <c r="F1030" s="68"/>
      <c r="G1030" s="69"/>
      <c r="H1030" s="70"/>
      <c r="J1030" s="71"/>
      <c r="K1030" s="71"/>
      <c r="L1030" s="67"/>
      <c r="N1030" s="71"/>
      <c r="O1030" s="71"/>
      <c r="P1030" s="67"/>
      <c r="R1030" s="67"/>
      <c r="S1030" s="6"/>
      <c r="T1030" s="6"/>
      <c r="U1030" s="6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  <c r="AG1030" s="6"/>
      <c r="AH1030" s="6"/>
      <c r="AI1030" s="6"/>
      <c r="AJ1030" s="6"/>
      <c r="AK1030" s="6"/>
      <c r="AL1030" s="6"/>
      <c r="AM1030" s="6"/>
      <c r="AN1030" s="6"/>
      <c r="AO1030" s="6"/>
      <c r="AP1030" s="6"/>
      <c r="AQ1030" s="6"/>
      <c r="AR1030" s="6"/>
      <c r="AS1030" s="6"/>
      <c r="AT1030" s="6"/>
      <c r="AU1030" s="6"/>
      <c r="AV1030" s="6"/>
      <c r="AW1030" s="6"/>
      <c r="AX1030" s="6"/>
      <c r="AY1030" s="6"/>
      <c r="AZ1030" s="6"/>
      <c r="BA1030" s="6"/>
      <c r="BB1030" s="6"/>
      <c r="BC1030" s="6"/>
      <c r="BD1030" s="6"/>
      <c r="BE1030" s="6"/>
      <c r="BF1030" s="6"/>
      <c r="BG1030" s="6"/>
      <c r="BH1030" s="6"/>
      <c r="BI1030" s="6"/>
      <c r="BJ1030" s="6"/>
      <c r="BK1030" s="6"/>
      <c r="BL1030" s="6"/>
      <c r="BM1030" s="6"/>
      <c r="BN1030" s="6"/>
      <c r="BO1030" s="6"/>
      <c r="BP1030" s="6"/>
      <c r="BQ1030" s="6"/>
      <c r="BR1030" s="6"/>
      <c r="BS1030" s="6"/>
      <c r="BT1030" s="6"/>
      <c r="BU1030" s="6"/>
      <c r="BV1030" s="6"/>
      <c r="BW1030" s="6"/>
      <c r="BX1030" s="6"/>
      <c r="BY1030" s="6"/>
      <c r="BZ1030" s="6"/>
      <c r="CA1030" s="6"/>
      <c r="CB1030" s="6"/>
      <c r="CC1030" s="6"/>
    </row>
    <row r="1031" spans="2:81" x14ac:dyDescent="0.2">
      <c r="B1031" s="68"/>
      <c r="C1031" s="69"/>
      <c r="D1031" s="70"/>
      <c r="F1031" s="68"/>
      <c r="G1031" s="69"/>
      <c r="H1031" s="70"/>
      <c r="J1031" s="71"/>
      <c r="K1031" s="71"/>
      <c r="L1031" s="67"/>
      <c r="N1031" s="71"/>
      <c r="O1031" s="71"/>
      <c r="P1031" s="67"/>
      <c r="R1031" s="67"/>
      <c r="S1031" s="6"/>
      <c r="T1031" s="6"/>
      <c r="U1031" s="6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  <c r="AG1031" s="6"/>
      <c r="AH1031" s="6"/>
      <c r="AI1031" s="6"/>
      <c r="AJ1031" s="6"/>
      <c r="AK1031" s="6"/>
      <c r="AL1031" s="6"/>
      <c r="AM1031" s="6"/>
      <c r="AN1031" s="6"/>
      <c r="AO1031" s="6"/>
      <c r="AP1031" s="6"/>
      <c r="AQ1031" s="6"/>
      <c r="AR1031" s="6"/>
      <c r="AS1031" s="6"/>
      <c r="AT1031" s="6"/>
      <c r="AU1031" s="6"/>
      <c r="AV1031" s="6"/>
      <c r="AW1031" s="6"/>
      <c r="AX1031" s="6"/>
      <c r="AY1031" s="6"/>
      <c r="AZ1031" s="6"/>
      <c r="BA1031" s="6"/>
      <c r="BB1031" s="6"/>
      <c r="BC1031" s="6"/>
      <c r="BD1031" s="6"/>
      <c r="BE1031" s="6"/>
      <c r="BF1031" s="6"/>
      <c r="BG1031" s="6"/>
      <c r="BH1031" s="6"/>
      <c r="BI1031" s="6"/>
      <c r="BJ1031" s="6"/>
      <c r="BK1031" s="6"/>
      <c r="BL1031" s="6"/>
      <c r="BM1031" s="6"/>
      <c r="BN1031" s="6"/>
      <c r="BO1031" s="6"/>
      <c r="BP1031" s="6"/>
      <c r="BQ1031" s="6"/>
      <c r="BR1031" s="6"/>
      <c r="BS1031" s="6"/>
      <c r="BT1031" s="6"/>
      <c r="BU1031" s="6"/>
      <c r="BV1031" s="6"/>
      <c r="BW1031" s="6"/>
      <c r="BX1031" s="6"/>
      <c r="BY1031" s="6"/>
      <c r="BZ1031" s="6"/>
      <c r="CA1031" s="6"/>
      <c r="CB1031" s="6"/>
      <c r="CC1031" s="6"/>
    </row>
    <row r="1032" spans="2:81" x14ac:dyDescent="0.2">
      <c r="B1032" s="68"/>
      <c r="C1032" s="69"/>
      <c r="D1032" s="70"/>
      <c r="F1032" s="68"/>
      <c r="G1032" s="69"/>
      <c r="H1032" s="70"/>
      <c r="J1032" s="71"/>
      <c r="K1032" s="71"/>
      <c r="L1032" s="67"/>
      <c r="N1032" s="71"/>
      <c r="O1032" s="71"/>
      <c r="P1032" s="67"/>
      <c r="R1032" s="67"/>
      <c r="S1032" s="6"/>
      <c r="T1032" s="6"/>
      <c r="U1032" s="6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  <c r="AG1032" s="6"/>
      <c r="AH1032" s="6"/>
      <c r="AI1032" s="6"/>
      <c r="AJ1032" s="6"/>
      <c r="AK1032" s="6"/>
      <c r="AL1032" s="6"/>
      <c r="AM1032" s="6"/>
      <c r="AN1032" s="6"/>
      <c r="AO1032" s="6"/>
      <c r="AP1032" s="6"/>
      <c r="AQ1032" s="6"/>
      <c r="AR1032" s="6"/>
      <c r="AS1032" s="6"/>
      <c r="AT1032" s="6"/>
      <c r="AU1032" s="6"/>
      <c r="AV1032" s="6"/>
      <c r="AW1032" s="6"/>
      <c r="AX1032" s="6"/>
      <c r="AY1032" s="6"/>
      <c r="AZ1032" s="6"/>
      <c r="BA1032" s="6"/>
      <c r="BB1032" s="6"/>
      <c r="BC1032" s="6"/>
      <c r="BD1032" s="6"/>
      <c r="BE1032" s="6"/>
      <c r="BF1032" s="6"/>
      <c r="BG1032" s="6"/>
      <c r="BH1032" s="6"/>
      <c r="BI1032" s="6"/>
      <c r="BJ1032" s="6"/>
      <c r="BK1032" s="6"/>
      <c r="BL1032" s="6"/>
      <c r="BM1032" s="6"/>
      <c r="BN1032" s="6"/>
      <c r="BO1032" s="6"/>
      <c r="BP1032" s="6"/>
      <c r="BQ1032" s="6"/>
      <c r="BR1032" s="6"/>
      <c r="BS1032" s="6"/>
      <c r="BT1032" s="6"/>
      <c r="BU1032" s="6"/>
      <c r="BV1032" s="6"/>
      <c r="BW1032" s="6"/>
      <c r="BX1032" s="6"/>
      <c r="BY1032" s="6"/>
      <c r="BZ1032" s="6"/>
      <c r="CA1032" s="6"/>
      <c r="CB1032" s="6"/>
      <c r="CC1032" s="6"/>
    </row>
    <row r="1033" spans="2:81" x14ac:dyDescent="0.2">
      <c r="B1033" s="68"/>
      <c r="C1033" s="69"/>
      <c r="D1033" s="70"/>
      <c r="F1033" s="68"/>
      <c r="G1033" s="69"/>
      <c r="H1033" s="70"/>
      <c r="J1033" s="71"/>
      <c r="K1033" s="71"/>
      <c r="L1033" s="67"/>
      <c r="N1033" s="71"/>
      <c r="O1033" s="71"/>
      <c r="P1033" s="67"/>
      <c r="R1033" s="67"/>
      <c r="S1033" s="6"/>
      <c r="T1033" s="6"/>
      <c r="U1033" s="6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  <c r="AG1033" s="6"/>
      <c r="AH1033" s="6"/>
      <c r="AI1033" s="6"/>
      <c r="AJ1033" s="6"/>
      <c r="AK1033" s="6"/>
      <c r="AL1033" s="6"/>
      <c r="AM1033" s="6"/>
      <c r="AN1033" s="6"/>
      <c r="AO1033" s="6"/>
      <c r="AP1033" s="6"/>
      <c r="AQ1033" s="6"/>
      <c r="AR1033" s="6"/>
      <c r="AS1033" s="6"/>
      <c r="AT1033" s="6"/>
      <c r="AU1033" s="6"/>
      <c r="AV1033" s="6"/>
      <c r="AW1033" s="6"/>
      <c r="AX1033" s="6"/>
      <c r="AY1033" s="6"/>
      <c r="AZ1033" s="6"/>
      <c r="BA1033" s="6"/>
      <c r="BB1033" s="6"/>
      <c r="BC1033" s="6"/>
      <c r="BD1033" s="6"/>
      <c r="BE1033" s="6"/>
      <c r="BF1033" s="6"/>
      <c r="BG1033" s="6"/>
      <c r="BH1033" s="6"/>
      <c r="BI1033" s="6"/>
      <c r="BJ1033" s="6"/>
      <c r="BK1033" s="6"/>
      <c r="BL1033" s="6"/>
      <c r="BM1033" s="6"/>
      <c r="BN1033" s="6"/>
      <c r="BO1033" s="6"/>
      <c r="BP1033" s="6"/>
      <c r="BQ1033" s="6"/>
      <c r="BR1033" s="6"/>
      <c r="BS1033" s="6"/>
      <c r="BT1033" s="6"/>
      <c r="BU1033" s="6"/>
      <c r="BV1033" s="6"/>
      <c r="BW1033" s="6"/>
      <c r="BX1033" s="6"/>
      <c r="BY1033" s="6"/>
      <c r="BZ1033" s="6"/>
      <c r="CA1033" s="6"/>
      <c r="CB1033" s="6"/>
      <c r="CC1033" s="6"/>
    </row>
    <row r="1034" spans="2:81" x14ac:dyDescent="0.2">
      <c r="B1034" s="68"/>
      <c r="C1034" s="69"/>
      <c r="D1034" s="70"/>
      <c r="F1034" s="68"/>
      <c r="G1034" s="69"/>
      <c r="H1034" s="70"/>
      <c r="J1034" s="71"/>
      <c r="K1034" s="71"/>
      <c r="L1034" s="67"/>
      <c r="N1034" s="71"/>
      <c r="O1034" s="71"/>
      <c r="P1034" s="67"/>
      <c r="R1034" s="67"/>
      <c r="S1034" s="6"/>
      <c r="T1034" s="6"/>
      <c r="U1034" s="6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  <c r="AG1034" s="6"/>
      <c r="AH1034" s="6"/>
      <c r="AI1034" s="6"/>
      <c r="AJ1034" s="6"/>
      <c r="AK1034" s="6"/>
      <c r="AL1034" s="6"/>
      <c r="AM1034" s="6"/>
      <c r="AN1034" s="6"/>
      <c r="AO1034" s="6"/>
      <c r="AP1034" s="6"/>
      <c r="AQ1034" s="6"/>
      <c r="AR1034" s="6"/>
      <c r="AS1034" s="6"/>
      <c r="AT1034" s="6"/>
      <c r="AU1034" s="6"/>
      <c r="AV1034" s="6"/>
      <c r="AW1034" s="6"/>
      <c r="AX1034" s="6"/>
      <c r="AY1034" s="6"/>
      <c r="AZ1034" s="6"/>
      <c r="BA1034" s="6"/>
      <c r="BB1034" s="6"/>
      <c r="BC1034" s="6"/>
      <c r="BD1034" s="6"/>
      <c r="BE1034" s="6"/>
      <c r="BF1034" s="6"/>
      <c r="BG1034" s="6"/>
      <c r="BH1034" s="6"/>
      <c r="BI1034" s="6"/>
      <c r="BJ1034" s="6"/>
      <c r="BK1034" s="6"/>
      <c r="BL1034" s="6"/>
      <c r="BM1034" s="6"/>
      <c r="BN1034" s="6"/>
      <c r="BO1034" s="6"/>
      <c r="BP1034" s="6"/>
      <c r="BQ1034" s="6"/>
      <c r="BR1034" s="6"/>
      <c r="BS1034" s="6"/>
      <c r="BT1034" s="6"/>
      <c r="BU1034" s="6"/>
      <c r="BV1034" s="6"/>
      <c r="BW1034" s="6"/>
      <c r="BX1034" s="6"/>
      <c r="BY1034" s="6"/>
      <c r="BZ1034" s="6"/>
      <c r="CA1034" s="6"/>
      <c r="CB1034" s="6"/>
      <c r="CC1034" s="6"/>
    </row>
    <row r="1035" spans="2:81" x14ac:dyDescent="0.2">
      <c r="B1035" s="68"/>
      <c r="C1035" s="69"/>
      <c r="D1035" s="70"/>
      <c r="F1035" s="68"/>
      <c r="G1035" s="69"/>
      <c r="H1035" s="70"/>
      <c r="J1035" s="71"/>
      <c r="K1035" s="71"/>
      <c r="L1035" s="67"/>
      <c r="N1035" s="71"/>
      <c r="O1035" s="71"/>
      <c r="P1035" s="67"/>
      <c r="R1035" s="67"/>
      <c r="S1035" s="6"/>
      <c r="T1035" s="6"/>
      <c r="U1035" s="6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  <c r="AG1035" s="6"/>
      <c r="AH1035" s="6"/>
      <c r="AI1035" s="6"/>
      <c r="AJ1035" s="6"/>
      <c r="AK1035" s="6"/>
      <c r="AL1035" s="6"/>
      <c r="AM1035" s="6"/>
      <c r="AN1035" s="6"/>
      <c r="AO1035" s="6"/>
      <c r="AP1035" s="6"/>
      <c r="AQ1035" s="6"/>
      <c r="AR1035" s="6"/>
      <c r="AS1035" s="6"/>
      <c r="AT1035" s="6"/>
      <c r="AU1035" s="6"/>
      <c r="AV1035" s="6"/>
      <c r="AW1035" s="6"/>
      <c r="AX1035" s="6"/>
      <c r="AY1035" s="6"/>
      <c r="AZ1035" s="6"/>
      <c r="BA1035" s="6"/>
      <c r="BB1035" s="6"/>
      <c r="BC1035" s="6"/>
      <c r="BD1035" s="6"/>
      <c r="BE1035" s="6"/>
      <c r="BF1035" s="6"/>
      <c r="BG1035" s="6"/>
      <c r="BH1035" s="6"/>
      <c r="BI1035" s="6"/>
      <c r="BJ1035" s="6"/>
      <c r="BK1035" s="6"/>
      <c r="BL1035" s="6"/>
      <c r="BM1035" s="6"/>
      <c r="BN1035" s="6"/>
      <c r="BO1035" s="6"/>
      <c r="BP1035" s="6"/>
      <c r="BQ1035" s="6"/>
      <c r="BR1035" s="6"/>
      <c r="BS1035" s="6"/>
      <c r="BT1035" s="6"/>
      <c r="BU1035" s="6"/>
      <c r="BV1035" s="6"/>
      <c r="BW1035" s="6"/>
      <c r="BX1035" s="6"/>
      <c r="BY1035" s="6"/>
      <c r="BZ1035" s="6"/>
      <c r="CA1035" s="6"/>
      <c r="CB1035" s="6"/>
      <c r="CC1035" s="6"/>
    </row>
    <row r="1036" spans="2:81" x14ac:dyDescent="0.2">
      <c r="B1036" s="68"/>
      <c r="C1036" s="69"/>
      <c r="D1036" s="70"/>
      <c r="F1036" s="68"/>
      <c r="G1036" s="69"/>
      <c r="H1036" s="70"/>
      <c r="J1036" s="71"/>
      <c r="K1036" s="71"/>
      <c r="L1036" s="67"/>
      <c r="N1036" s="71"/>
      <c r="O1036" s="71"/>
      <c r="P1036" s="67"/>
      <c r="R1036" s="67"/>
      <c r="S1036" s="6"/>
      <c r="T1036" s="6"/>
      <c r="U1036" s="6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  <c r="AG1036" s="6"/>
      <c r="AH1036" s="6"/>
      <c r="AI1036" s="6"/>
      <c r="AJ1036" s="6"/>
      <c r="AK1036" s="6"/>
      <c r="AL1036" s="6"/>
      <c r="AM1036" s="6"/>
      <c r="AN1036" s="6"/>
      <c r="AO1036" s="6"/>
      <c r="AP1036" s="6"/>
      <c r="AQ1036" s="6"/>
      <c r="AR1036" s="6"/>
      <c r="AS1036" s="6"/>
      <c r="AT1036" s="6"/>
      <c r="AU1036" s="6"/>
      <c r="AV1036" s="6"/>
      <c r="AW1036" s="6"/>
      <c r="AX1036" s="6"/>
      <c r="AY1036" s="6"/>
      <c r="AZ1036" s="6"/>
      <c r="BA1036" s="6"/>
      <c r="BB1036" s="6"/>
      <c r="BC1036" s="6"/>
      <c r="BD1036" s="6"/>
      <c r="BE1036" s="6"/>
      <c r="BF1036" s="6"/>
      <c r="BG1036" s="6"/>
      <c r="BH1036" s="6"/>
      <c r="BI1036" s="6"/>
      <c r="BJ1036" s="6"/>
      <c r="BK1036" s="6"/>
      <c r="BL1036" s="6"/>
      <c r="BM1036" s="6"/>
      <c r="BN1036" s="6"/>
      <c r="BO1036" s="6"/>
      <c r="BP1036" s="6"/>
      <c r="BQ1036" s="6"/>
      <c r="BR1036" s="6"/>
      <c r="BS1036" s="6"/>
      <c r="BT1036" s="6"/>
      <c r="BU1036" s="6"/>
      <c r="BV1036" s="6"/>
      <c r="BW1036" s="6"/>
      <c r="BX1036" s="6"/>
      <c r="BY1036" s="6"/>
      <c r="BZ1036" s="6"/>
      <c r="CA1036" s="6"/>
      <c r="CB1036" s="6"/>
      <c r="CC1036" s="6"/>
    </row>
    <row r="1037" spans="2:81" x14ac:dyDescent="0.2">
      <c r="B1037" s="68"/>
      <c r="C1037" s="69"/>
      <c r="D1037" s="70"/>
      <c r="F1037" s="68"/>
      <c r="G1037" s="69"/>
      <c r="H1037" s="70"/>
      <c r="J1037" s="71"/>
      <c r="K1037" s="71"/>
      <c r="L1037" s="67"/>
      <c r="N1037" s="71"/>
      <c r="O1037" s="71"/>
      <c r="P1037" s="67"/>
      <c r="R1037" s="67"/>
      <c r="S1037" s="6"/>
      <c r="T1037" s="6"/>
      <c r="U1037" s="6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  <c r="AG1037" s="6"/>
      <c r="AH1037" s="6"/>
      <c r="AI1037" s="6"/>
      <c r="AJ1037" s="6"/>
      <c r="AK1037" s="6"/>
      <c r="AL1037" s="6"/>
      <c r="AM1037" s="6"/>
      <c r="AN1037" s="6"/>
      <c r="AO1037" s="6"/>
      <c r="AP1037" s="6"/>
      <c r="AQ1037" s="6"/>
      <c r="AR1037" s="6"/>
      <c r="AS1037" s="6"/>
      <c r="AT1037" s="6"/>
      <c r="AU1037" s="6"/>
      <c r="AV1037" s="6"/>
      <c r="AW1037" s="6"/>
      <c r="AX1037" s="6"/>
      <c r="AY1037" s="6"/>
      <c r="AZ1037" s="6"/>
      <c r="BA1037" s="6"/>
      <c r="BB1037" s="6"/>
      <c r="BC1037" s="6"/>
      <c r="BD1037" s="6"/>
      <c r="BE1037" s="6"/>
      <c r="BF1037" s="6"/>
      <c r="BG1037" s="6"/>
      <c r="BH1037" s="6"/>
      <c r="BI1037" s="6"/>
      <c r="BJ1037" s="6"/>
      <c r="BK1037" s="6"/>
      <c r="BL1037" s="6"/>
      <c r="BM1037" s="6"/>
      <c r="BN1037" s="6"/>
      <c r="BO1037" s="6"/>
      <c r="BP1037" s="6"/>
      <c r="BQ1037" s="6"/>
      <c r="BR1037" s="6"/>
      <c r="BS1037" s="6"/>
      <c r="BT1037" s="6"/>
      <c r="BU1037" s="6"/>
      <c r="BV1037" s="6"/>
      <c r="BW1037" s="6"/>
      <c r="BX1037" s="6"/>
      <c r="BY1037" s="6"/>
      <c r="BZ1037" s="6"/>
      <c r="CA1037" s="6"/>
      <c r="CB1037" s="6"/>
      <c r="CC1037" s="6"/>
    </row>
    <row r="1038" spans="2:81" x14ac:dyDescent="0.2">
      <c r="B1038" s="68"/>
      <c r="C1038" s="69"/>
      <c r="D1038" s="70"/>
      <c r="F1038" s="68"/>
      <c r="G1038" s="69"/>
      <c r="H1038" s="70"/>
      <c r="J1038" s="71"/>
      <c r="K1038" s="71"/>
      <c r="L1038" s="67"/>
      <c r="N1038" s="71"/>
      <c r="O1038" s="71"/>
      <c r="P1038" s="67"/>
      <c r="R1038" s="67"/>
      <c r="S1038" s="6"/>
      <c r="T1038" s="6"/>
      <c r="U1038" s="6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  <c r="AG1038" s="6"/>
      <c r="AH1038" s="6"/>
      <c r="AI1038" s="6"/>
      <c r="AJ1038" s="6"/>
      <c r="AK1038" s="6"/>
      <c r="AL1038" s="6"/>
      <c r="AM1038" s="6"/>
      <c r="AN1038" s="6"/>
      <c r="AO1038" s="6"/>
      <c r="AP1038" s="6"/>
      <c r="AQ1038" s="6"/>
      <c r="AR1038" s="6"/>
      <c r="AS1038" s="6"/>
      <c r="AT1038" s="6"/>
      <c r="AU1038" s="6"/>
      <c r="AV1038" s="6"/>
      <c r="AW1038" s="6"/>
      <c r="AX1038" s="6"/>
      <c r="AY1038" s="6"/>
      <c r="AZ1038" s="6"/>
      <c r="BA1038" s="6"/>
      <c r="BB1038" s="6"/>
      <c r="BC1038" s="6"/>
      <c r="BD1038" s="6"/>
      <c r="BE1038" s="6"/>
      <c r="BF1038" s="6"/>
      <c r="BG1038" s="6"/>
      <c r="BH1038" s="6"/>
      <c r="BI1038" s="6"/>
      <c r="BJ1038" s="6"/>
      <c r="BK1038" s="6"/>
      <c r="BL1038" s="6"/>
      <c r="BM1038" s="6"/>
      <c r="BN1038" s="6"/>
      <c r="BO1038" s="6"/>
      <c r="BP1038" s="6"/>
      <c r="BQ1038" s="6"/>
      <c r="BR1038" s="6"/>
      <c r="BS1038" s="6"/>
      <c r="BT1038" s="6"/>
      <c r="BU1038" s="6"/>
      <c r="BV1038" s="6"/>
      <c r="BW1038" s="6"/>
      <c r="BX1038" s="6"/>
      <c r="BY1038" s="6"/>
      <c r="BZ1038" s="6"/>
      <c r="CA1038" s="6"/>
      <c r="CB1038" s="6"/>
      <c r="CC1038" s="6"/>
    </row>
    <row r="1039" spans="2:81" x14ac:dyDescent="0.2">
      <c r="B1039" s="68"/>
      <c r="C1039" s="69"/>
      <c r="D1039" s="70"/>
      <c r="F1039" s="68"/>
      <c r="G1039" s="69"/>
      <c r="H1039" s="70"/>
      <c r="J1039" s="71"/>
      <c r="K1039" s="71"/>
      <c r="L1039" s="67"/>
      <c r="N1039" s="71"/>
      <c r="O1039" s="71"/>
      <c r="P1039" s="67"/>
      <c r="R1039" s="67"/>
      <c r="S1039" s="6"/>
      <c r="T1039" s="6"/>
      <c r="U1039" s="6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  <c r="AG1039" s="6"/>
      <c r="AH1039" s="6"/>
      <c r="AI1039" s="6"/>
      <c r="AJ1039" s="6"/>
      <c r="AK1039" s="6"/>
      <c r="AL1039" s="6"/>
      <c r="AM1039" s="6"/>
      <c r="AN1039" s="6"/>
      <c r="AO1039" s="6"/>
      <c r="AP1039" s="6"/>
      <c r="AQ1039" s="6"/>
      <c r="AR1039" s="6"/>
      <c r="AS1039" s="6"/>
      <c r="AT1039" s="6"/>
      <c r="AU1039" s="6"/>
      <c r="AV1039" s="6"/>
      <c r="AW1039" s="6"/>
      <c r="AX1039" s="6"/>
      <c r="AY1039" s="6"/>
      <c r="AZ1039" s="6"/>
      <c r="BA1039" s="6"/>
      <c r="BB1039" s="6"/>
      <c r="BC1039" s="6"/>
      <c r="BD1039" s="6"/>
      <c r="BE1039" s="6"/>
      <c r="BF1039" s="6"/>
      <c r="BG1039" s="6"/>
      <c r="BH1039" s="6"/>
      <c r="BI1039" s="6"/>
      <c r="BJ1039" s="6"/>
      <c r="BK1039" s="6"/>
      <c r="BL1039" s="6"/>
      <c r="BM1039" s="6"/>
      <c r="BN1039" s="6"/>
      <c r="BO1039" s="6"/>
      <c r="BP1039" s="6"/>
      <c r="BQ1039" s="6"/>
      <c r="BR1039" s="6"/>
      <c r="BS1039" s="6"/>
      <c r="BT1039" s="6"/>
      <c r="BU1039" s="6"/>
      <c r="BV1039" s="6"/>
      <c r="BW1039" s="6"/>
      <c r="BX1039" s="6"/>
      <c r="BY1039" s="6"/>
      <c r="BZ1039" s="6"/>
      <c r="CA1039" s="6"/>
      <c r="CB1039" s="6"/>
      <c r="CC1039" s="6"/>
    </row>
    <row r="1040" spans="2:81" x14ac:dyDescent="0.2">
      <c r="B1040" s="68"/>
      <c r="C1040" s="69"/>
      <c r="D1040" s="70"/>
      <c r="F1040" s="68"/>
      <c r="G1040" s="69"/>
      <c r="H1040" s="70"/>
      <c r="J1040" s="71"/>
      <c r="K1040" s="71"/>
      <c r="L1040" s="67"/>
      <c r="N1040" s="71"/>
      <c r="O1040" s="71"/>
      <c r="P1040" s="67"/>
      <c r="R1040" s="67"/>
      <c r="S1040" s="6"/>
      <c r="T1040" s="6"/>
      <c r="U1040" s="6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  <c r="AG1040" s="6"/>
      <c r="AH1040" s="6"/>
      <c r="AI1040" s="6"/>
      <c r="AJ1040" s="6"/>
      <c r="AK1040" s="6"/>
      <c r="AL1040" s="6"/>
      <c r="AM1040" s="6"/>
      <c r="AN1040" s="6"/>
      <c r="AO1040" s="6"/>
      <c r="AP1040" s="6"/>
      <c r="AQ1040" s="6"/>
      <c r="AR1040" s="6"/>
      <c r="AS1040" s="6"/>
      <c r="AT1040" s="6"/>
      <c r="AU1040" s="6"/>
      <c r="AV1040" s="6"/>
      <c r="AW1040" s="6"/>
      <c r="AX1040" s="6"/>
      <c r="AY1040" s="6"/>
      <c r="AZ1040" s="6"/>
      <c r="BA1040" s="6"/>
      <c r="BB1040" s="6"/>
      <c r="BC1040" s="6"/>
      <c r="BD1040" s="6"/>
      <c r="BE1040" s="6"/>
      <c r="BF1040" s="6"/>
      <c r="BG1040" s="6"/>
      <c r="BH1040" s="6"/>
      <c r="BI1040" s="6"/>
      <c r="BJ1040" s="6"/>
      <c r="BK1040" s="6"/>
      <c r="BL1040" s="6"/>
      <c r="BM1040" s="6"/>
      <c r="BN1040" s="6"/>
      <c r="BO1040" s="6"/>
      <c r="BP1040" s="6"/>
      <c r="BQ1040" s="6"/>
      <c r="BR1040" s="6"/>
      <c r="BS1040" s="6"/>
      <c r="BT1040" s="6"/>
      <c r="BU1040" s="6"/>
      <c r="BV1040" s="6"/>
      <c r="BW1040" s="6"/>
      <c r="BX1040" s="6"/>
      <c r="BY1040" s="6"/>
      <c r="BZ1040" s="6"/>
      <c r="CA1040" s="6"/>
      <c r="CB1040" s="6"/>
      <c r="CC1040" s="6"/>
    </row>
    <row r="1041" spans="2:81" x14ac:dyDescent="0.2">
      <c r="B1041" s="68"/>
      <c r="C1041" s="69"/>
      <c r="D1041" s="70"/>
      <c r="F1041" s="68"/>
      <c r="G1041" s="69"/>
      <c r="H1041" s="70"/>
      <c r="J1041" s="71"/>
      <c r="K1041" s="71"/>
      <c r="L1041" s="67"/>
      <c r="N1041" s="71"/>
      <c r="O1041" s="71"/>
      <c r="P1041" s="67"/>
      <c r="R1041" s="67"/>
      <c r="S1041" s="6"/>
      <c r="T1041" s="6"/>
      <c r="U1041" s="6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  <c r="AG1041" s="6"/>
      <c r="AH1041" s="6"/>
      <c r="AI1041" s="6"/>
      <c r="AJ1041" s="6"/>
      <c r="AK1041" s="6"/>
      <c r="AL1041" s="6"/>
      <c r="AM1041" s="6"/>
      <c r="AN1041" s="6"/>
      <c r="AO1041" s="6"/>
      <c r="AP1041" s="6"/>
      <c r="AQ1041" s="6"/>
      <c r="AR1041" s="6"/>
      <c r="AS1041" s="6"/>
      <c r="AT1041" s="6"/>
      <c r="AU1041" s="6"/>
      <c r="AV1041" s="6"/>
      <c r="AW1041" s="6"/>
      <c r="AX1041" s="6"/>
      <c r="AY1041" s="6"/>
      <c r="AZ1041" s="6"/>
      <c r="BA1041" s="6"/>
      <c r="BB1041" s="6"/>
      <c r="BC1041" s="6"/>
      <c r="BD1041" s="6"/>
      <c r="BE1041" s="6"/>
      <c r="BF1041" s="6"/>
      <c r="BG1041" s="6"/>
      <c r="BH1041" s="6"/>
      <c r="BI1041" s="6"/>
      <c r="BJ1041" s="6"/>
      <c r="BK1041" s="6"/>
      <c r="BL1041" s="6"/>
      <c r="BM1041" s="6"/>
      <c r="BN1041" s="6"/>
      <c r="BO1041" s="6"/>
      <c r="BP1041" s="6"/>
      <c r="BQ1041" s="6"/>
      <c r="BR1041" s="6"/>
      <c r="BS1041" s="6"/>
      <c r="BT1041" s="6"/>
      <c r="BU1041" s="6"/>
      <c r="BV1041" s="6"/>
      <c r="BW1041" s="6"/>
      <c r="BX1041" s="6"/>
      <c r="BY1041" s="6"/>
      <c r="BZ1041" s="6"/>
      <c r="CA1041" s="6"/>
      <c r="CB1041" s="6"/>
      <c r="CC1041" s="6"/>
    </row>
    <row r="1042" spans="2:81" x14ac:dyDescent="0.2">
      <c r="B1042" s="68"/>
      <c r="C1042" s="69"/>
      <c r="D1042" s="70"/>
      <c r="F1042" s="68"/>
      <c r="G1042" s="69"/>
      <c r="H1042" s="70"/>
      <c r="J1042" s="71"/>
      <c r="K1042" s="71"/>
      <c r="L1042" s="67"/>
      <c r="N1042" s="71"/>
      <c r="O1042" s="71"/>
      <c r="P1042" s="67"/>
      <c r="R1042" s="67"/>
      <c r="S1042" s="6"/>
      <c r="T1042" s="6"/>
      <c r="U1042" s="6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  <c r="AG1042" s="6"/>
      <c r="AH1042" s="6"/>
      <c r="AI1042" s="6"/>
      <c r="AJ1042" s="6"/>
      <c r="AK1042" s="6"/>
      <c r="AL1042" s="6"/>
      <c r="AM1042" s="6"/>
      <c r="AN1042" s="6"/>
      <c r="AO1042" s="6"/>
      <c r="AP1042" s="6"/>
      <c r="AQ1042" s="6"/>
      <c r="AR1042" s="6"/>
      <c r="AS1042" s="6"/>
      <c r="AT1042" s="6"/>
      <c r="AU1042" s="6"/>
      <c r="AV1042" s="6"/>
      <c r="AW1042" s="6"/>
      <c r="AX1042" s="6"/>
      <c r="AY1042" s="6"/>
      <c r="AZ1042" s="6"/>
      <c r="BA1042" s="6"/>
      <c r="BB1042" s="6"/>
      <c r="BC1042" s="6"/>
      <c r="BD1042" s="6"/>
      <c r="BE1042" s="6"/>
      <c r="BF1042" s="6"/>
      <c r="BG1042" s="6"/>
      <c r="BH1042" s="6"/>
      <c r="BI1042" s="6"/>
      <c r="BJ1042" s="6"/>
      <c r="BK1042" s="6"/>
      <c r="BL1042" s="6"/>
      <c r="BM1042" s="6"/>
      <c r="BN1042" s="6"/>
      <c r="BO1042" s="6"/>
      <c r="BP1042" s="6"/>
      <c r="BQ1042" s="6"/>
      <c r="BR1042" s="6"/>
      <c r="BS1042" s="6"/>
      <c r="BT1042" s="6"/>
      <c r="BU1042" s="6"/>
      <c r="BV1042" s="6"/>
      <c r="BW1042" s="6"/>
      <c r="BX1042" s="6"/>
      <c r="BY1042" s="6"/>
      <c r="BZ1042" s="6"/>
      <c r="CA1042" s="6"/>
      <c r="CB1042" s="6"/>
      <c r="CC1042" s="6"/>
    </row>
    <row r="1043" spans="2:81" x14ac:dyDescent="0.2">
      <c r="B1043" s="68"/>
      <c r="C1043" s="69"/>
      <c r="D1043" s="70"/>
      <c r="F1043" s="68"/>
      <c r="G1043" s="69"/>
      <c r="H1043" s="70"/>
      <c r="J1043" s="71"/>
      <c r="K1043" s="71"/>
      <c r="L1043" s="67"/>
      <c r="N1043" s="71"/>
      <c r="O1043" s="71"/>
      <c r="P1043" s="67"/>
      <c r="R1043" s="67"/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6"/>
      <c r="AK1043" s="6"/>
      <c r="AL1043" s="6"/>
      <c r="AM1043" s="6"/>
      <c r="AN1043" s="6"/>
      <c r="AO1043" s="6"/>
      <c r="AP1043" s="6"/>
      <c r="AQ1043" s="6"/>
      <c r="AR1043" s="6"/>
      <c r="AS1043" s="6"/>
      <c r="AT1043" s="6"/>
      <c r="AU1043" s="6"/>
      <c r="AV1043" s="6"/>
      <c r="AW1043" s="6"/>
      <c r="AX1043" s="6"/>
      <c r="AY1043" s="6"/>
      <c r="AZ1043" s="6"/>
      <c r="BA1043" s="6"/>
      <c r="BB1043" s="6"/>
      <c r="BC1043" s="6"/>
      <c r="BD1043" s="6"/>
      <c r="BE1043" s="6"/>
      <c r="BF1043" s="6"/>
      <c r="BG1043" s="6"/>
      <c r="BH1043" s="6"/>
      <c r="BI1043" s="6"/>
      <c r="BJ1043" s="6"/>
      <c r="BK1043" s="6"/>
      <c r="BL1043" s="6"/>
      <c r="BM1043" s="6"/>
      <c r="BN1043" s="6"/>
      <c r="BO1043" s="6"/>
      <c r="BP1043" s="6"/>
      <c r="BQ1043" s="6"/>
      <c r="BR1043" s="6"/>
      <c r="BS1043" s="6"/>
      <c r="BT1043" s="6"/>
      <c r="BU1043" s="6"/>
      <c r="BV1043" s="6"/>
      <c r="BW1043" s="6"/>
      <c r="BX1043" s="6"/>
      <c r="BY1043" s="6"/>
      <c r="BZ1043" s="6"/>
      <c r="CA1043" s="6"/>
      <c r="CB1043" s="6"/>
      <c r="CC1043" s="6"/>
    </row>
    <row r="1044" spans="2:81" x14ac:dyDescent="0.2">
      <c r="B1044" s="68"/>
      <c r="C1044" s="69"/>
      <c r="D1044" s="70"/>
      <c r="F1044" s="68"/>
      <c r="G1044" s="69"/>
      <c r="H1044" s="70"/>
      <c r="J1044" s="71"/>
      <c r="K1044" s="71"/>
      <c r="L1044" s="67"/>
      <c r="N1044" s="71"/>
      <c r="O1044" s="71"/>
      <c r="P1044" s="67"/>
      <c r="R1044" s="67"/>
      <c r="S1044" s="6"/>
      <c r="T1044" s="6"/>
      <c r="U1044" s="6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  <c r="AG1044" s="6"/>
      <c r="AH1044" s="6"/>
      <c r="AI1044" s="6"/>
      <c r="AJ1044" s="6"/>
      <c r="AK1044" s="6"/>
      <c r="AL1044" s="6"/>
      <c r="AM1044" s="6"/>
      <c r="AN1044" s="6"/>
      <c r="AO1044" s="6"/>
      <c r="AP1044" s="6"/>
      <c r="AQ1044" s="6"/>
      <c r="AR1044" s="6"/>
      <c r="AS1044" s="6"/>
      <c r="AT1044" s="6"/>
      <c r="AU1044" s="6"/>
      <c r="AV1044" s="6"/>
      <c r="AW1044" s="6"/>
      <c r="AX1044" s="6"/>
      <c r="AY1044" s="6"/>
      <c r="AZ1044" s="6"/>
      <c r="BA1044" s="6"/>
      <c r="BB1044" s="6"/>
      <c r="BC1044" s="6"/>
      <c r="BD1044" s="6"/>
      <c r="BE1044" s="6"/>
      <c r="BF1044" s="6"/>
      <c r="BG1044" s="6"/>
      <c r="BH1044" s="6"/>
      <c r="BI1044" s="6"/>
      <c r="BJ1044" s="6"/>
      <c r="BK1044" s="6"/>
      <c r="BL1044" s="6"/>
      <c r="BM1044" s="6"/>
      <c r="BN1044" s="6"/>
      <c r="BO1044" s="6"/>
      <c r="BP1044" s="6"/>
      <c r="BQ1044" s="6"/>
      <c r="BR1044" s="6"/>
      <c r="BS1044" s="6"/>
      <c r="BT1044" s="6"/>
      <c r="BU1044" s="6"/>
      <c r="BV1044" s="6"/>
      <c r="BW1044" s="6"/>
      <c r="BX1044" s="6"/>
      <c r="BY1044" s="6"/>
      <c r="BZ1044" s="6"/>
      <c r="CA1044" s="6"/>
      <c r="CB1044" s="6"/>
      <c r="CC1044" s="6"/>
    </row>
    <row r="1045" spans="2:81" x14ac:dyDescent="0.2">
      <c r="B1045" s="68"/>
      <c r="C1045" s="69"/>
      <c r="D1045" s="70"/>
      <c r="F1045" s="68"/>
      <c r="G1045" s="69"/>
      <c r="H1045" s="70"/>
      <c r="J1045" s="71"/>
      <c r="K1045" s="71"/>
      <c r="L1045" s="67"/>
      <c r="N1045" s="71"/>
      <c r="O1045" s="71"/>
      <c r="P1045" s="67"/>
      <c r="R1045" s="67"/>
      <c r="S1045" s="6"/>
      <c r="T1045" s="6"/>
      <c r="U1045" s="6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  <c r="AG1045" s="6"/>
      <c r="AH1045" s="6"/>
      <c r="AI1045" s="6"/>
      <c r="AJ1045" s="6"/>
      <c r="AK1045" s="6"/>
      <c r="AL1045" s="6"/>
      <c r="AM1045" s="6"/>
      <c r="AN1045" s="6"/>
      <c r="AO1045" s="6"/>
      <c r="AP1045" s="6"/>
      <c r="AQ1045" s="6"/>
      <c r="AR1045" s="6"/>
      <c r="AS1045" s="6"/>
      <c r="AT1045" s="6"/>
      <c r="AU1045" s="6"/>
      <c r="AV1045" s="6"/>
      <c r="AW1045" s="6"/>
      <c r="AX1045" s="6"/>
      <c r="AY1045" s="6"/>
      <c r="AZ1045" s="6"/>
      <c r="BA1045" s="6"/>
      <c r="BB1045" s="6"/>
      <c r="BC1045" s="6"/>
      <c r="BD1045" s="6"/>
      <c r="BE1045" s="6"/>
      <c r="BF1045" s="6"/>
      <c r="BG1045" s="6"/>
      <c r="BH1045" s="6"/>
      <c r="BI1045" s="6"/>
      <c r="BJ1045" s="6"/>
      <c r="BK1045" s="6"/>
      <c r="BL1045" s="6"/>
      <c r="BM1045" s="6"/>
      <c r="BN1045" s="6"/>
      <c r="BO1045" s="6"/>
      <c r="BP1045" s="6"/>
      <c r="BQ1045" s="6"/>
      <c r="BR1045" s="6"/>
      <c r="BS1045" s="6"/>
      <c r="BT1045" s="6"/>
      <c r="BU1045" s="6"/>
      <c r="BV1045" s="6"/>
      <c r="BW1045" s="6"/>
      <c r="BX1045" s="6"/>
      <c r="BY1045" s="6"/>
      <c r="BZ1045" s="6"/>
      <c r="CA1045" s="6"/>
      <c r="CB1045" s="6"/>
      <c r="CC1045" s="6"/>
    </row>
    <row r="1046" spans="2:81" x14ac:dyDescent="0.2">
      <c r="B1046" s="68"/>
      <c r="C1046" s="69"/>
      <c r="D1046" s="70"/>
      <c r="F1046" s="68"/>
      <c r="G1046" s="69"/>
      <c r="H1046" s="70"/>
      <c r="J1046" s="71"/>
      <c r="K1046" s="71"/>
      <c r="L1046" s="67"/>
      <c r="N1046" s="71"/>
      <c r="O1046" s="71"/>
      <c r="P1046" s="67"/>
      <c r="R1046" s="67"/>
      <c r="S1046" s="6"/>
      <c r="T1046" s="6"/>
      <c r="U1046" s="6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  <c r="AG1046" s="6"/>
      <c r="AH1046" s="6"/>
      <c r="AI1046" s="6"/>
      <c r="AJ1046" s="6"/>
      <c r="AK1046" s="6"/>
      <c r="AL1046" s="6"/>
      <c r="AM1046" s="6"/>
      <c r="AN1046" s="6"/>
      <c r="AO1046" s="6"/>
      <c r="AP1046" s="6"/>
      <c r="AQ1046" s="6"/>
      <c r="AR1046" s="6"/>
      <c r="AS1046" s="6"/>
      <c r="AT1046" s="6"/>
      <c r="AU1046" s="6"/>
      <c r="AV1046" s="6"/>
      <c r="AW1046" s="6"/>
      <c r="AX1046" s="6"/>
      <c r="AY1046" s="6"/>
      <c r="AZ1046" s="6"/>
      <c r="BA1046" s="6"/>
      <c r="BB1046" s="6"/>
      <c r="BC1046" s="6"/>
      <c r="BD1046" s="6"/>
      <c r="BE1046" s="6"/>
      <c r="BF1046" s="6"/>
      <c r="BG1046" s="6"/>
      <c r="BH1046" s="6"/>
      <c r="BI1046" s="6"/>
      <c r="BJ1046" s="6"/>
      <c r="BK1046" s="6"/>
      <c r="BL1046" s="6"/>
      <c r="BM1046" s="6"/>
      <c r="BN1046" s="6"/>
      <c r="BO1046" s="6"/>
      <c r="BP1046" s="6"/>
      <c r="BQ1046" s="6"/>
      <c r="BR1046" s="6"/>
      <c r="BS1046" s="6"/>
      <c r="BT1046" s="6"/>
      <c r="BU1046" s="6"/>
      <c r="BV1046" s="6"/>
      <c r="BW1046" s="6"/>
      <c r="BX1046" s="6"/>
      <c r="BY1046" s="6"/>
      <c r="BZ1046" s="6"/>
      <c r="CA1046" s="6"/>
      <c r="CB1046" s="6"/>
      <c r="CC1046" s="6"/>
    </row>
    <row r="1047" spans="2:81" x14ac:dyDescent="0.2">
      <c r="B1047" s="68"/>
      <c r="C1047" s="69"/>
      <c r="D1047" s="70"/>
      <c r="F1047" s="68"/>
      <c r="G1047" s="69"/>
      <c r="H1047" s="70"/>
      <c r="J1047" s="71"/>
      <c r="K1047" s="71"/>
      <c r="L1047" s="67"/>
      <c r="N1047" s="71"/>
      <c r="O1047" s="71"/>
      <c r="P1047" s="67"/>
      <c r="R1047" s="67"/>
      <c r="S1047" s="6"/>
      <c r="T1047" s="6"/>
      <c r="U1047" s="6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  <c r="AG1047" s="6"/>
      <c r="AH1047" s="6"/>
      <c r="AI1047" s="6"/>
      <c r="AJ1047" s="6"/>
      <c r="AK1047" s="6"/>
      <c r="AL1047" s="6"/>
      <c r="AM1047" s="6"/>
      <c r="AN1047" s="6"/>
      <c r="AO1047" s="6"/>
      <c r="AP1047" s="6"/>
      <c r="AQ1047" s="6"/>
      <c r="AR1047" s="6"/>
      <c r="AS1047" s="6"/>
      <c r="AT1047" s="6"/>
      <c r="AU1047" s="6"/>
      <c r="AV1047" s="6"/>
      <c r="AW1047" s="6"/>
      <c r="AX1047" s="6"/>
      <c r="AY1047" s="6"/>
      <c r="AZ1047" s="6"/>
      <c r="BA1047" s="6"/>
      <c r="BB1047" s="6"/>
      <c r="BC1047" s="6"/>
      <c r="BD1047" s="6"/>
      <c r="BE1047" s="6"/>
      <c r="BF1047" s="6"/>
      <c r="BG1047" s="6"/>
      <c r="BH1047" s="6"/>
      <c r="BI1047" s="6"/>
      <c r="BJ1047" s="6"/>
      <c r="BK1047" s="6"/>
      <c r="BL1047" s="6"/>
      <c r="BM1047" s="6"/>
      <c r="BN1047" s="6"/>
      <c r="BO1047" s="6"/>
      <c r="BP1047" s="6"/>
      <c r="BQ1047" s="6"/>
      <c r="BR1047" s="6"/>
      <c r="BS1047" s="6"/>
      <c r="BT1047" s="6"/>
      <c r="BU1047" s="6"/>
      <c r="BV1047" s="6"/>
      <c r="BW1047" s="6"/>
      <c r="BX1047" s="6"/>
      <c r="BY1047" s="6"/>
      <c r="BZ1047" s="6"/>
      <c r="CA1047" s="6"/>
      <c r="CB1047" s="6"/>
      <c r="CC1047" s="6"/>
    </row>
    <row r="1048" spans="2:81" x14ac:dyDescent="0.2">
      <c r="B1048" s="68"/>
      <c r="C1048" s="69"/>
      <c r="D1048" s="70"/>
      <c r="F1048" s="68"/>
      <c r="G1048" s="69"/>
      <c r="H1048" s="70"/>
      <c r="J1048" s="71"/>
      <c r="K1048" s="71"/>
      <c r="L1048" s="67"/>
      <c r="N1048" s="71"/>
      <c r="O1048" s="71"/>
      <c r="P1048" s="67"/>
      <c r="R1048" s="67"/>
      <c r="S1048" s="6"/>
      <c r="T1048" s="6"/>
      <c r="U1048" s="6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  <c r="AG1048" s="6"/>
      <c r="AH1048" s="6"/>
      <c r="AI1048" s="6"/>
      <c r="AJ1048" s="6"/>
      <c r="AK1048" s="6"/>
      <c r="AL1048" s="6"/>
      <c r="AM1048" s="6"/>
      <c r="AN1048" s="6"/>
      <c r="AO1048" s="6"/>
      <c r="AP1048" s="6"/>
      <c r="AQ1048" s="6"/>
      <c r="AR1048" s="6"/>
      <c r="AS1048" s="6"/>
      <c r="AT1048" s="6"/>
      <c r="AU1048" s="6"/>
      <c r="AV1048" s="6"/>
      <c r="AW1048" s="6"/>
      <c r="AX1048" s="6"/>
      <c r="AY1048" s="6"/>
      <c r="AZ1048" s="6"/>
      <c r="BA1048" s="6"/>
      <c r="BB1048" s="6"/>
      <c r="BC1048" s="6"/>
      <c r="BD1048" s="6"/>
      <c r="BE1048" s="6"/>
      <c r="BF1048" s="6"/>
      <c r="BG1048" s="6"/>
      <c r="BH1048" s="6"/>
      <c r="BI1048" s="6"/>
      <c r="BJ1048" s="6"/>
      <c r="BK1048" s="6"/>
      <c r="BL1048" s="6"/>
      <c r="BM1048" s="6"/>
      <c r="BN1048" s="6"/>
      <c r="BO1048" s="6"/>
      <c r="BP1048" s="6"/>
      <c r="BQ1048" s="6"/>
      <c r="BR1048" s="6"/>
      <c r="BS1048" s="6"/>
      <c r="BT1048" s="6"/>
      <c r="BU1048" s="6"/>
      <c r="BV1048" s="6"/>
      <c r="BW1048" s="6"/>
      <c r="BX1048" s="6"/>
      <c r="BY1048" s="6"/>
      <c r="BZ1048" s="6"/>
      <c r="CA1048" s="6"/>
      <c r="CB1048" s="6"/>
      <c r="CC1048" s="6"/>
    </row>
    <row r="1049" spans="2:81" x14ac:dyDescent="0.2">
      <c r="B1049" s="68"/>
      <c r="C1049" s="69"/>
      <c r="D1049" s="70"/>
      <c r="F1049" s="68"/>
      <c r="G1049" s="69"/>
      <c r="H1049" s="70"/>
      <c r="J1049" s="71"/>
      <c r="K1049" s="71"/>
      <c r="L1049" s="67"/>
      <c r="N1049" s="71"/>
      <c r="O1049" s="71"/>
      <c r="P1049" s="67"/>
      <c r="R1049" s="67"/>
      <c r="S1049" s="6"/>
      <c r="T1049" s="6"/>
      <c r="U1049" s="6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  <c r="AG1049" s="6"/>
      <c r="AH1049" s="6"/>
      <c r="AI1049" s="6"/>
      <c r="AJ1049" s="6"/>
      <c r="AK1049" s="6"/>
      <c r="AL1049" s="6"/>
      <c r="AM1049" s="6"/>
      <c r="AN1049" s="6"/>
      <c r="AO1049" s="6"/>
      <c r="AP1049" s="6"/>
      <c r="AQ1049" s="6"/>
      <c r="AR1049" s="6"/>
      <c r="AS1049" s="6"/>
      <c r="AT1049" s="6"/>
      <c r="AU1049" s="6"/>
      <c r="AV1049" s="6"/>
      <c r="AW1049" s="6"/>
      <c r="AX1049" s="6"/>
      <c r="AY1049" s="6"/>
      <c r="AZ1049" s="6"/>
      <c r="BA1049" s="6"/>
      <c r="BB1049" s="6"/>
      <c r="BC1049" s="6"/>
      <c r="BD1049" s="6"/>
      <c r="BE1049" s="6"/>
      <c r="BF1049" s="6"/>
      <c r="BG1049" s="6"/>
      <c r="BH1049" s="6"/>
      <c r="BI1049" s="6"/>
      <c r="BJ1049" s="6"/>
      <c r="BK1049" s="6"/>
      <c r="BL1049" s="6"/>
      <c r="BM1049" s="6"/>
      <c r="BN1049" s="6"/>
      <c r="BO1049" s="6"/>
      <c r="BP1049" s="6"/>
      <c r="BQ1049" s="6"/>
      <c r="BR1049" s="6"/>
      <c r="BS1049" s="6"/>
      <c r="BT1049" s="6"/>
      <c r="BU1049" s="6"/>
      <c r="BV1049" s="6"/>
      <c r="BW1049" s="6"/>
      <c r="BX1049" s="6"/>
      <c r="BY1049" s="6"/>
      <c r="BZ1049" s="6"/>
      <c r="CA1049" s="6"/>
      <c r="CB1049" s="6"/>
      <c r="CC1049" s="6"/>
    </row>
    <row r="1050" spans="2:81" x14ac:dyDescent="0.2">
      <c r="B1050" s="68"/>
      <c r="C1050" s="69"/>
      <c r="D1050" s="70"/>
      <c r="F1050" s="68"/>
      <c r="G1050" s="69"/>
      <c r="H1050" s="70"/>
      <c r="J1050" s="71"/>
      <c r="K1050" s="71"/>
      <c r="L1050" s="67"/>
      <c r="N1050" s="71"/>
      <c r="O1050" s="71"/>
      <c r="P1050" s="67"/>
      <c r="R1050" s="67"/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6"/>
      <c r="AK1050" s="6"/>
      <c r="AL1050" s="6"/>
      <c r="AM1050" s="6"/>
      <c r="AN1050" s="6"/>
      <c r="AO1050" s="6"/>
      <c r="AP1050" s="6"/>
      <c r="AQ1050" s="6"/>
      <c r="AR1050" s="6"/>
      <c r="AS1050" s="6"/>
      <c r="AT1050" s="6"/>
      <c r="AU1050" s="6"/>
      <c r="AV1050" s="6"/>
      <c r="AW1050" s="6"/>
      <c r="AX1050" s="6"/>
      <c r="AY1050" s="6"/>
      <c r="AZ1050" s="6"/>
      <c r="BA1050" s="6"/>
      <c r="BB1050" s="6"/>
      <c r="BC1050" s="6"/>
      <c r="BD1050" s="6"/>
      <c r="BE1050" s="6"/>
      <c r="BF1050" s="6"/>
      <c r="BG1050" s="6"/>
      <c r="BH1050" s="6"/>
      <c r="BI1050" s="6"/>
      <c r="BJ1050" s="6"/>
      <c r="BK1050" s="6"/>
      <c r="BL1050" s="6"/>
      <c r="BM1050" s="6"/>
      <c r="BN1050" s="6"/>
      <c r="BO1050" s="6"/>
      <c r="BP1050" s="6"/>
      <c r="BQ1050" s="6"/>
      <c r="BR1050" s="6"/>
      <c r="BS1050" s="6"/>
      <c r="BT1050" s="6"/>
      <c r="BU1050" s="6"/>
      <c r="BV1050" s="6"/>
      <c r="BW1050" s="6"/>
      <c r="BX1050" s="6"/>
      <c r="BY1050" s="6"/>
      <c r="BZ1050" s="6"/>
      <c r="CA1050" s="6"/>
      <c r="CB1050" s="6"/>
      <c r="CC1050" s="6"/>
    </row>
    <row r="1051" spans="2:81" x14ac:dyDescent="0.2">
      <c r="B1051" s="68"/>
      <c r="C1051" s="69"/>
      <c r="D1051" s="70"/>
      <c r="F1051" s="68"/>
      <c r="G1051" s="69"/>
      <c r="H1051" s="70"/>
      <c r="J1051" s="71"/>
      <c r="K1051" s="71"/>
      <c r="L1051" s="67"/>
      <c r="N1051" s="71"/>
      <c r="O1051" s="71"/>
      <c r="P1051" s="67"/>
      <c r="R1051" s="67"/>
      <c r="S1051" s="6"/>
      <c r="T1051" s="6"/>
      <c r="U1051" s="6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  <c r="AG1051" s="6"/>
      <c r="AH1051" s="6"/>
      <c r="AI1051" s="6"/>
      <c r="AJ1051" s="6"/>
      <c r="AK1051" s="6"/>
      <c r="AL1051" s="6"/>
      <c r="AM1051" s="6"/>
      <c r="AN1051" s="6"/>
      <c r="AO1051" s="6"/>
      <c r="AP1051" s="6"/>
      <c r="AQ1051" s="6"/>
      <c r="AR1051" s="6"/>
      <c r="AS1051" s="6"/>
      <c r="AT1051" s="6"/>
      <c r="AU1051" s="6"/>
      <c r="AV1051" s="6"/>
      <c r="AW1051" s="6"/>
      <c r="AX1051" s="6"/>
      <c r="AY1051" s="6"/>
      <c r="AZ1051" s="6"/>
      <c r="BA1051" s="6"/>
      <c r="BB1051" s="6"/>
      <c r="BC1051" s="6"/>
      <c r="BD1051" s="6"/>
      <c r="BE1051" s="6"/>
      <c r="BF1051" s="6"/>
      <c r="BG1051" s="6"/>
      <c r="BH1051" s="6"/>
      <c r="BI1051" s="6"/>
      <c r="BJ1051" s="6"/>
      <c r="BK1051" s="6"/>
      <c r="BL1051" s="6"/>
      <c r="BM1051" s="6"/>
      <c r="BN1051" s="6"/>
      <c r="BO1051" s="6"/>
      <c r="BP1051" s="6"/>
      <c r="BQ1051" s="6"/>
      <c r="BR1051" s="6"/>
      <c r="BS1051" s="6"/>
      <c r="BT1051" s="6"/>
      <c r="BU1051" s="6"/>
      <c r="BV1051" s="6"/>
      <c r="BW1051" s="6"/>
      <c r="BX1051" s="6"/>
      <c r="BY1051" s="6"/>
      <c r="BZ1051" s="6"/>
      <c r="CA1051" s="6"/>
      <c r="CB1051" s="6"/>
      <c r="CC1051" s="6"/>
    </row>
    <row r="1052" spans="2:81" x14ac:dyDescent="0.2">
      <c r="B1052" s="68"/>
      <c r="C1052" s="69"/>
      <c r="D1052" s="70"/>
      <c r="F1052" s="68"/>
      <c r="G1052" s="69"/>
      <c r="H1052" s="70"/>
      <c r="J1052" s="71"/>
      <c r="K1052" s="71"/>
      <c r="L1052" s="67"/>
      <c r="N1052" s="71"/>
      <c r="O1052" s="71"/>
      <c r="P1052" s="67"/>
      <c r="R1052" s="67"/>
      <c r="S1052" s="6"/>
      <c r="T1052" s="6"/>
      <c r="U1052" s="6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  <c r="AG1052" s="6"/>
      <c r="AH1052" s="6"/>
      <c r="AI1052" s="6"/>
      <c r="AJ1052" s="6"/>
      <c r="AK1052" s="6"/>
      <c r="AL1052" s="6"/>
      <c r="AM1052" s="6"/>
      <c r="AN1052" s="6"/>
      <c r="AO1052" s="6"/>
      <c r="AP1052" s="6"/>
      <c r="AQ1052" s="6"/>
      <c r="AR1052" s="6"/>
      <c r="AS1052" s="6"/>
      <c r="AT1052" s="6"/>
      <c r="AU1052" s="6"/>
      <c r="AV1052" s="6"/>
      <c r="AW1052" s="6"/>
      <c r="AX1052" s="6"/>
      <c r="AY1052" s="6"/>
      <c r="AZ1052" s="6"/>
      <c r="BA1052" s="6"/>
      <c r="BB1052" s="6"/>
      <c r="BC1052" s="6"/>
      <c r="BD1052" s="6"/>
      <c r="BE1052" s="6"/>
      <c r="BF1052" s="6"/>
      <c r="BG1052" s="6"/>
      <c r="BH1052" s="6"/>
      <c r="BI1052" s="6"/>
      <c r="BJ1052" s="6"/>
      <c r="BK1052" s="6"/>
      <c r="BL1052" s="6"/>
      <c r="BM1052" s="6"/>
      <c r="BN1052" s="6"/>
      <c r="BO1052" s="6"/>
      <c r="BP1052" s="6"/>
      <c r="BQ1052" s="6"/>
      <c r="BR1052" s="6"/>
      <c r="BS1052" s="6"/>
      <c r="BT1052" s="6"/>
      <c r="BU1052" s="6"/>
      <c r="BV1052" s="6"/>
      <c r="BW1052" s="6"/>
      <c r="BX1052" s="6"/>
      <c r="BY1052" s="6"/>
      <c r="BZ1052" s="6"/>
      <c r="CA1052" s="6"/>
      <c r="CB1052" s="6"/>
      <c r="CC1052" s="6"/>
    </row>
    <row r="1053" spans="2:81" x14ac:dyDescent="0.2">
      <c r="B1053" s="68"/>
      <c r="C1053" s="69"/>
      <c r="D1053" s="70"/>
      <c r="F1053" s="68"/>
      <c r="G1053" s="69"/>
      <c r="H1053" s="70"/>
      <c r="J1053" s="71"/>
      <c r="K1053" s="71"/>
      <c r="L1053" s="67"/>
      <c r="N1053" s="71"/>
      <c r="O1053" s="71"/>
      <c r="P1053" s="67"/>
      <c r="R1053" s="67"/>
      <c r="S1053" s="6"/>
      <c r="T1053" s="6"/>
      <c r="U1053" s="6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  <c r="AG1053" s="6"/>
      <c r="AH1053" s="6"/>
      <c r="AI1053" s="6"/>
      <c r="AJ1053" s="6"/>
      <c r="AK1053" s="6"/>
      <c r="AL1053" s="6"/>
      <c r="AM1053" s="6"/>
      <c r="AN1053" s="6"/>
      <c r="AO1053" s="6"/>
      <c r="AP1053" s="6"/>
      <c r="AQ1053" s="6"/>
      <c r="AR1053" s="6"/>
      <c r="AS1053" s="6"/>
      <c r="AT1053" s="6"/>
      <c r="AU1053" s="6"/>
      <c r="AV1053" s="6"/>
      <c r="AW1053" s="6"/>
      <c r="AX1053" s="6"/>
      <c r="AY1053" s="6"/>
      <c r="AZ1053" s="6"/>
      <c r="BA1053" s="6"/>
      <c r="BB1053" s="6"/>
      <c r="BC1053" s="6"/>
      <c r="BD1053" s="6"/>
      <c r="BE1053" s="6"/>
      <c r="BF1053" s="6"/>
      <c r="BG1053" s="6"/>
      <c r="BH1053" s="6"/>
      <c r="BI1053" s="6"/>
      <c r="BJ1053" s="6"/>
      <c r="BK1053" s="6"/>
      <c r="BL1053" s="6"/>
      <c r="BM1053" s="6"/>
      <c r="BN1053" s="6"/>
      <c r="BO1053" s="6"/>
      <c r="BP1053" s="6"/>
      <c r="BQ1053" s="6"/>
      <c r="BR1053" s="6"/>
      <c r="BS1053" s="6"/>
      <c r="BT1053" s="6"/>
      <c r="BU1053" s="6"/>
      <c r="BV1053" s="6"/>
      <c r="BW1053" s="6"/>
      <c r="BX1053" s="6"/>
      <c r="BY1053" s="6"/>
      <c r="BZ1053" s="6"/>
      <c r="CA1053" s="6"/>
      <c r="CB1053" s="6"/>
      <c r="CC1053" s="6"/>
    </row>
    <row r="1054" spans="2:81" x14ac:dyDescent="0.2">
      <c r="B1054" s="68"/>
      <c r="C1054" s="69"/>
      <c r="D1054" s="70"/>
      <c r="F1054" s="68"/>
      <c r="G1054" s="69"/>
      <c r="H1054" s="70"/>
      <c r="J1054" s="71"/>
      <c r="K1054" s="71"/>
      <c r="L1054" s="67"/>
      <c r="N1054" s="71"/>
      <c r="O1054" s="71"/>
      <c r="P1054" s="67"/>
      <c r="R1054" s="67"/>
      <c r="S1054" s="6"/>
      <c r="T1054" s="6"/>
      <c r="U1054" s="6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  <c r="AG1054" s="6"/>
      <c r="AH1054" s="6"/>
      <c r="AI1054" s="6"/>
      <c r="AJ1054" s="6"/>
      <c r="AK1054" s="6"/>
      <c r="AL1054" s="6"/>
      <c r="AM1054" s="6"/>
      <c r="AN1054" s="6"/>
      <c r="AO1054" s="6"/>
      <c r="AP1054" s="6"/>
      <c r="AQ1054" s="6"/>
      <c r="AR1054" s="6"/>
      <c r="AS1054" s="6"/>
      <c r="AT1054" s="6"/>
      <c r="AU1054" s="6"/>
      <c r="AV1054" s="6"/>
      <c r="AW1054" s="6"/>
      <c r="AX1054" s="6"/>
      <c r="AY1054" s="6"/>
      <c r="AZ1054" s="6"/>
      <c r="BA1054" s="6"/>
      <c r="BB1054" s="6"/>
      <c r="BC1054" s="6"/>
      <c r="BD1054" s="6"/>
      <c r="BE1054" s="6"/>
      <c r="BF1054" s="6"/>
      <c r="BG1054" s="6"/>
      <c r="BH1054" s="6"/>
      <c r="BI1054" s="6"/>
      <c r="BJ1054" s="6"/>
      <c r="BK1054" s="6"/>
      <c r="BL1054" s="6"/>
      <c r="BM1054" s="6"/>
      <c r="BN1054" s="6"/>
      <c r="BO1054" s="6"/>
      <c r="BP1054" s="6"/>
      <c r="BQ1054" s="6"/>
      <c r="BR1054" s="6"/>
      <c r="BS1054" s="6"/>
      <c r="BT1054" s="6"/>
      <c r="BU1054" s="6"/>
      <c r="BV1054" s="6"/>
      <c r="BW1054" s="6"/>
      <c r="BX1054" s="6"/>
      <c r="BY1054" s="6"/>
      <c r="BZ1054" s="6"/>
      <c r="CA1054" s="6"/>
      <c r="CB1054" s="6"/>
      <c r="CC1054" s="6"/>
    </row>
    <row r="1055" spans="2:81" x14ac:dyDescent="0.2">
      <c r="B1055" s="68"/>
      <c r="C1055" s="69"/>
      <c r="D1055" s="70"/>
      <c r="F1055" s="68"/>
      <c r="G1055" s="69"/>
      <c r="H1055" s="70"/>
      <c r="J1055" s="71"/>
      <c r="K1055" s="71"/>
      <c r="L1055" s="67"/>
      <c r="N1055" s="71"/>
      <c r="O1055" s="71"/>
      <c r="P1055" s="67"/>
      <c r="R1055" s="67"/>
      <c r="S1055" s="6"/>
      <c r="T1055" s="6"/>
      <c r="U1055" s="6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  <c r="AG1055" s="6"/>
      <c r="AH1055" s="6"/>
      <c r="AI1055" s="6"/>
      <c r="AJ1055" s="6"/>
      <c r="AK1055" s="6"/>
      <c r="AL1055" s="6"/>
      <c r="AM1055" s="6"/>
      <c r="AN1055" s="6"/>
      <c r="AO1055" s="6"/>
      <c r="AP1055" s="6"/>
      <c r="AQ1055" s="6"/>
      <c r="AR1055" s="6"/>
      <c r="AS1055" s="6"/>
      <c r="AT1055" s="6"/>
      <c r="AU1055" s="6"/>
      <c r="AV1055" s="6"/>
      <c r="AW1055" s="6"/>
      <c r="AX1055" s="6"/>
      <c r="AY1055" s="6"/>
      <c r="AZ1055" s="6"/>
      <c r="BA1055" s="6"/>
      <c r="BB1055" s="6"/>
      <c r="BC1055" s="6"/>
      <c r="BD1055" s="6"/>
      <c r="BE1055" s="6"/>
      <c r="BF1055" s="6"/>
      <c r="BG1055" s="6"/>
      <c r="BH1055" s="6"/>
      <c r="BI1055" s="6"/>
      <c r="BJ1055" s="6"/>
      <c r="BK1055" s="6"/>
      <c r="BL1055" s="6"/>
      <c r="BM1055" s="6"/>
      <c r="BN1055" s="6"/>
      <c r="BO1055" s="6"/>
      <c r="BP1055" s="6"/>
      <c r="BQ1055" s="6"/>
      <c r="BR1055" s="6"/>
      <c r="BS1055" s="6"/>
      <c r="BT1055" s="6"/>
      <c r="BU1055" s="6"/>
      <c r="BV1055" s="6"/>
      <c r="BW1055" s="6"/>
      <c r="BX1055" s="6"/>
      <c r="BY1055" s="6"/>
      <c r="BZ1055" s="6"/>
      <c r="CA1055" s="6"/>
      <c r="CB1055" s="6"/>
      <c r="CC1055" s="6"/>
    </row>
    <row r="1056" spans="2:81" x14ac:dyDescent="0.2">
      <c r="B1056" s="68"/>
      <c r="C1056" s="69"/>
      <c r="D1056" s="70"/>
      <c r="F1056" s="68"/>
      <c r="G1056" s="69"/>
      <c r="H1056" s="70"/>
      <c r="J1056" s="71"/>
      <c r="K1056" s="71"/>
      <c r="L1056" s="67"/>
      <c r="N1056" s="71"/>
      <c r="O1056" s="71"/>
      <c r="P1056" s="67"/>
      <c r="R1056" s="67"/>
      <c r="S1056" s="6"/>
      <c r="T1056" s="6"/>
      <c r="U1056" s="6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  <c r="AG1056" s="6"/>
      <c r="AH1056" s="6"/>
      <c r="AI1056" s="6"/>
      <c r="AJ1056" s="6"/>
      <c r="AK1056" s="6"/>
      <c r="AL1056" s="6"/>
      <c r="AM1056" s="6"/>
      <c r="AN1056" s="6"/>
      <c r="AO1056" s="6"/>
      <c r="AP1056" s="6"/>
      <c r="AQ1056" s="6"/>
      <c r="AR1056" s="6"/>
      <c r="AS1056" s="6"/>
      <c r="AT1056" s="6"/>
      <c r="AU1056" s="6"/>
      <c r="AV1056" s="6"/>
      <c r="AW1056" s="6"/>
      <c r="AX1056" s="6"/>
      <c r="AY1056" s="6"/>
      <c r="AZ1056" s="6"/>
      <c r="BA1056" s="6"/>
      <c r="BB1056" s="6"/>
      <c r="BC1056" s="6"/>
      <c r="BD1056" s="6"/>
      <c r="BE1056" s="6"/>
      <c r="BF1056" s="6"/>
      <c r="BG1056" s="6"/>
      <c r="BH1056" s="6"/>
      <c r="BI1056" s="6"/>
      <c r="BJ1056" s="6"/>
      <c r="BK1056" s="6"/>
      <c r="BL1056" s="6"/>
      <c r="BM1056" s="6"/>
      <c r="BN1056" s="6"/>
      <c r="BO1056" s="6"/>
      <c r="BP1056" s="6"/>
      <c r="BQ1056" s="6"/>
      <c r="BR1056" s="6"/>
      <c r="BS1056" s="6"/>
      <c r="BT1056" s="6"/>
      <c r="BU1056" s="6"/>
      <c r="BV1056" s="6"/>
      <c r="BW1056" s="6"/>
      <c r="BX1056" s="6"/>
      <c r="BY1056" s="6"/>
      <c r="BZ1056" s="6"/>
      <c r="CA1056" s="6"/>
      <c r="CB1056" s="6"/>
      <c r="CC1056" s="6"/>
    </row>
    <row r="1057" spans="2:81" x14ac:dyDescent="0.2">
      <c r="B1057" s="68"/>
      <c r="C1057" s="69"/>
      <c r="D1057" s="70"/>
      <c r="F1057" s="68"/>
      <c r="G1057" s="69"/>
      <c r="H1057" s="70"/>
      <c r="J1057" s="71"/>
      <c r="K1057" s="71"/>
      <c r="L1057" s="67"/>
      <c r="N1057" s="71"/>
      <c r="O1057" s="71"/>
      <c r="P1057" s="67"/>
      <c r="R1057" s="67"/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6"/>
      <c r="AK1057" s="6"/>
      <c r="AL1057" s="6"/>
      <c r="AM1057" s="6"/>
      <c r="AN1057" s="6"/>
      <c r="AO1057" s="6"/>
      <c r="AP1057" s="6"/>
      <c r="AQ1057" s="6"/>
      <c r="AR1057" s="6"/>
      <c r="AS1057" s="6"/>
      <c r="AT1057" s="6"/>
      <c r="AU1057" s="6"/>
      <c r="AV1057" s="6"/>
      <c r="AW1057" s="6"/>
      <c r="AX1057" s="6"/>
      <c r="AY1057" s="6"/>
      <c r="AZ1057" s="6"/>
      <c r="BA1057" s="6"/>
      <c r="BB1057" s="6"/>
      <c r="BC1057" s="6"/>
      <c r="BD1057" s="6"/>
      <c r="BE1057" s="6"/>
      <c r="BF1057" s="6"/>
      <c r="BG1057" s="6"/>
      <c r="BH1057" s="6"/>
      <c r="BI1057" s="6"/>
      <c r="BJ1057" s="6"/>
      <c r="BK1057" s="6"/>
      <c r="BL1057" s="6"/>
      <c r="BM1057" s="6"/>
      <c r="BN1057" s="6"/>
      <c r="BO1057" s="6"/>
      <c r="BP1057" s="6"/>
      <c r="BQ1057" s="6"/>
      <c r="BR1057" s="6"/>
      <c r="BS1057" s="6"/>
      <c r="BT1057" s="6"/>
      <c r="BU1057" s="6"/>
      <c r="BV1057" s="6"/>
      <c r="BW1057" s="6"/>
      <c r="BX1057" s="6"/>
      <c r="BY1057" s="6"/>
      <c r="BZ1057" s="6"/>
      <c r="CA1057" s="6"/>
      <c r="CB1057" s="6"/>
      <c r="CC1057" s="6"/>
    </row>
    <row r="1058" spans="2:81" x14ac:dyDescent="0.2">
      <c r="B1058" s="68"/>
      <c r="C1058" s="69"/>
      <c r="D1058" s="70"/>
      <c r="F1058" s="68"/>
      <c r="G1058" s="69"/>
      <c r="H1058" s="70"/>
      <c r="J1058" s="71"/>
      <c r="K1058" s="71"/>
      <c r="L1058" s="67"/>
      <c r="N1058" s="71"/>
      <c r="O1058" s="71"/>
      <c r="P1058" s="67"/>
      <c r="R1058" s="67"/>
      <c r="S1058" s="6"/>
      <c r="T1058" s="6"/>
      <c r="U1058" s="6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  <c r="AG1058" s="6"/>
      <c r="AH1058" s="6"/>
      <c r="AI1058" s="6"/>
      <c r="AJ1058" s="6"/>
      <c r="AK1058" s="6"/>
      <c r="AL1058" s="6"/>
      <c r="AM1058" s="6"/>
      <c r="AN1058" s="6"/>
      <c r="AO1058" s="6"/>
      <c r="AP1058" s="6"/>
      <c r="AQ1058" s="6"/>
      <c r="AR1058" s="6"/>
      <c r="AS1058" s="6"/>
      <c r="AT1058" s="6"/>
      <c r="AU1058" s="6"/>
      <c r="AV1058" s="6"/>
      <c r="AW1058" s="6"/>
      <c r="AX1058" s="6"/>
      <c r="AY1058" s="6"/>
      <c r="AZ1058" s="6"/>
      <c r="BA1058" s="6"/>
      <c r="BB1058" s="6"/>
      <c r="BC1058" s="6"/>
      <c r="BD1058" s="6"/>
      <c r="BE1058" s="6"/>
      <c r="BF1058" s="6"/>
      <c r="BG1058" s="6"/>
      <c r="BH1058" s="6"/>
      <c r="BI1058" s="6"/>
      <c r="BJ1058" s="6"/>
      <c r="BK1058" s="6"/>
      <c r="BL1058" s="6"/>
      <c r="BM1058" s="6"/>
      <c r="BN1058" s="6"/>
      <c r="BO1058" s="6"/>
      <c r="BP1058" s="6"/>
      <c r="BQ1058" s="6"/>
      <c r="BR1058" s="6"/>
      <c r="BS1058" s="6"/>
      <c r="BT1058" s="6"/>
      <c r="BU1058" s="6"/>
      <c r="BV1058" s="6"/>
      <c r="BW1058" s="6"/>
      <c r="BX1058" s="6"/>
      <c r="BY1058" s="6"/>
      <c r="BZ1058" s="6"/>
      <c r="CA1058" s="6"/>
      <c r="CB1058" s="6"/>
      <c r="CC1058" s="6"/>
    </row>
    <row r="1059" spans="2:81" x14ac:dyDescent="0.2">
      <c r="B1059" s="68"/>
      <c r="C1059" s="69"/>
      <c r="D1059" s="70"/>
      <c r="F1059" s="68"/>
      <c r="G1059" s="69"/>
      <c r="H1059" s="70"/>
      <c r="J1059" s="71"/>
      <c r="K1059" s="71"/>
      <c r="L1059" s="67"/>
      <c r="N1059" s="71"/>
      <c r="O1059" s="71"/>
      <c r="P1059" s="67"/>
      <c r="R1059" s="67"/>
      <c r="S1059" s="6"/>
      <c r="T1059" s="6"/>
      <c r="U1059" s="6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  <c r="AG1059" s="6"/>
      <c r="AH1059" s="6"/>
      <c r="AI1059" s="6"/>
      <c r="AJ1059" s="6"/>
      <c r="AK1059" s="6"/>
      <c r="AL1059" s="6"/>
      <c r="AM1059" s="6"/>
      <c r="AN1059" s="6"/>
      <c r="AO1059" s="6"/>
      <c r="AP1059" s="6"/>
      <c r="AQ1059" s="6"/>
      <c r="AR1059" s="6"/>
      <c r="AS1059" s="6"/>
      <c r="AT1059" s="6"/>
      <c r="AU1059" s="6"/>
      <c r="AV1059" s="6"/>
      <c r="AW1059" s="6"/>
      <c r="AX1059" s="6"/>
      <c r="AY1059" s="6"/>
      <c r="AZ1059" s="6"/>
      <c r="BA1059" s="6"/>
      <c r="BB1059" s="6"/>
      <c r="BC1059" s="6"/>
      <c r="BD1059" s="6"/>
      <c r="BE1059" s="6"/>
      <c r="BF1059" s="6"/>
      <c r="BG1059" s="6"/>
      <c r="BH1059" s="6"/>
      <c r="BI1059" s="6"/>
      <c r="BJ1059" s="6"/>
      <c r="BK1059" s="6"/>
      <c r="BL1059" s="6"/>
      <c r="BM1059" s="6"/>
      <c r="BN1059" s="6"/>
      <c r="BO1059" s="6"/>
      <c r="BP1059" s="6"/>
      <c r="BQ1059" s="6"/>
      <c r="BR1059" s="6"/>
      <c r="BS1059" s="6"/>
      <c r="BT1059" s="6"/>
      <c r="BU1059" s="6"/>
      <c r="BV1059" s="6"/>
      <c r="BW1059" s="6"/>
      <c r="BX1059" s="6"/>
      <c r="BY1059" s="6"/>
      <c r="BZ1059" s="6"/>
      <c r="CA1059" s="6"/>
      <c r="CB1059" s="6"/>
      <c r="CC1059" s="6"/>
    </row>
    <row r="1060" spans="2:81" x14ac:dyDescent="0.2">
      <c r="B1060" s="68"/>
      <c r="C1060" s="69"/>
      <c r="D1060" s="70"/>
      <c r="F1060" s="68"/>
      <c r="G1060" s="69"/>
      <c r="H1060" s="70"/>
      <c r="J1060" s="71"/>
      <c r="K1060" s="71"/>
      <c r="L1060" s="67"/>
      <c r="N1060" s="71"/>
      <c r="O1060" s="71"/>
      <c r="P1060" s="67"/>
      <c r="R1060" s="67"/>
      <c r="S1060" s="6"/>
      <c r="T1060" s="6"/>
      <c r="U1060" s="6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  <c r="AG1060" s="6"/>
      <c r="AH1060" s="6"/>
      <c r="AI1060" s="6"/>
      <c r="AJ1060" s="6"/>
      <c r="AK1060" s="6"/>
      <c r="AL1060" s="6"/>
      <c r="AM1060" s="6"/>
      <c r="AN1060" s="6"/>
      <c r="AO1060" s="6"/>
      <c r="AP1060" s="6"/>
      <c r="AQ1060" s="6"/>
      <c r="AR1060" s="6"/>
      <c r="AS1060" s="6"/>
      <c r="AT1060" s="6"/>
      <c r="AU1060" s="6"/>
      <c r="AV1060" s="6"/>
      <c r="AW1060" s="6"/>
      <c r="AX1060" s="6"/>
      <c r="AY1060" s="6"/>
      <c r="AZ1060" s="6"/>
      <c r="BA1060" s="6"/>
      <c r="BB1060" s="6"/>
      <c r="BC1060" s="6"/>
      <c r="BD1060" s="6"/>
      <c r="BE1060" s="6"/>
      <c r="BF1060" s="6"/>
      <c r="BG1060" s="6"/>
      <c r="BH1060" s="6"/>
      <c r="BI1060" s="6"/>
      <c r="BJ1060" s="6"/>
      <c r="BK1060" s="6"/>
      <c r="BL1060" s="6"/>
      <c r="BM1060" s="6"/>
      <c r="BN1060" s="6"/>
      <c r="BO1060" s="6"/>
      <c r="BP1060" s="6"/>
      <c r="BQ1060" s="6"/>
      <c r="BR1060" s="6"/>
      <c r="BS1060" s="6"/>
      <c r="BT1060" s="6"/>
      <c r="BU1060" s="6"/>
      <c r="BV1060" s="6"/>
      <c r="BW1060" s="6"/>
      <c r="BX1060" s="6"/>
      <c r="BY1060" s="6"/>
      <c r="BZ1060" s="6"/>
      <c r="CA1060" s="6"/>
      <c r="CB1060" s="6"/>
      <c r="CC1060" s="6"/>
    </row>
    <row r="1061" spans="2:81" x14ac:dyDescent="0.2">
      <c r="B1061" s="68"/>
      <c r="C1061" s="69"/>
      <c r="D1061" s="70"/>
      <c r="F1061" s="68"/>
      <c r="G1061" s="69"/>
      <c r="H1061" s="70"/>
      <c r="J1061" s="71"/>
      <c r="K1061" s="71"/>
      <c r="L1061" s="67"/>
      <c r="N1061" s="71"/>
      <c r="O1061" s="71"/>
      <c r="P1061" s="67"/>
      <c r="R1061" s="67"/>
      <c r="S1061" s="6"/>
      <c r="T1061" s="6"/>
      <c r="U1061" s="6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  <c r="AG1061" s="6"/>
      <c r="AH1061" s="6"/>
      <c r="AI1061" s="6"/>
      <c r="AJ1061" s="6"/>
      <c r="AK1061" s="6"/>
      <c r="AL1061" s="6"/>
      <c r="AM1061" s="6"/>
      <c r="AN1061" s="6"/>
      <c r="AO1061" s="6"/>
      <c r="AP1061" s="6"/>
      <c r="AQ1061" s="6"/>
      <c r="AR1061" s="6"/>
      <c r="AS1061" s="6"/>
      <c r="AT1061" s="6"/>
      <c r="AU1061" s="6"/>
      <c r="AV1061" s="6"/>
      <c r="AW1061" s="6"/>
      <c r="AX1061" s="6"/>
      <c r="AY1061" s="6"/>
      <c r="AZ1061" s="6"/>
      <c r="BA1061" s="6"/>
      <c r="BB1061" s="6"/>
      <c r="BC1061" s="6"/>
      <c r="BD1061" s="6"/>
      <c r="BE1061" s="6"/>
      <c r="BF1061" s="6"/>
      <c r="BG1061" s="6"/>
      <c r="BH1061" s="6"/>
      <c r="BI1061" s="6"/>
      <c r="BJ1061" s="6"/>
      <c r="BK1061" s="6"/>
      <c r="BL1061" s="6"/>
      <c r="BM1061" s="6"/>
      <c r="BN1061" s="6"/>
      <c r="BO1061" s="6"/>
      <c r="BP1061" s="6"/>
      <c r="BQ1061" s="6"/>
      <c r="BR1061" s="6"/>
      <c r="BS1061" s="6"/>
      <c r="BT1061" s="6"/>
      <c r="BU1061" s="6"/>
      <c r="BV1061" s="6"/>
      <c r="BW1061" s="6"/>
      <c r="BX1061" s="6"/>
      <c r="BY1061" s="6"/>
      <c r="BZ1061" s="6"/>
      <c r="CA1061" s="6"/>
      <c r="CB1061" s="6"/>
      <c r="CC1061" s="6"/>
    </row>
    <row r="1062" spans="2:81" x14ac:dyDescent="0.2">
      <c r="B1062" s="68"/>
      <c r="C1062" s="69"/>
      <c r="D1062" s="70"/>
      <c r="F1062" s="68"/>
      <c r="G1062" s="69"/>
      <c r="H1062" s="70"/>
      <c r="J1062" s="71"/>
      <c r="K1062" s="71"/>
      <c r="L1062" s="67"/>
      <c r="N1062" s="71"/>
      <c r="O1062" s="71"/>
      <c r="P1062" s="67"/>
      <c r="R1062" s="67"/>
      <c r="S1062" s="6"/>
      <c r="T1062" s="6"/>
      <c r="U1062" s="6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  <c r="AG1062" s="6"/>
      <c r="AH1062" s="6"/>
      <c r="AI1062" s="6"/>
      <c r="AJ1062" s="6"/>
      <c r="AK1062" s="6"/>
      <c r="AL1062" s="6"/>
      <c r="AM1062" s="6"/>
      <c r="AN1062" s="6"/>
      <c r="AO1062" s="6"/>
      <c r="AP1062" s="6"/>
      <c r="AQ1062" s="6"/>
      <c r="AR1062" s="6"/>
      <c r="AS1062" s="6"/>
      <c r="AT1062" s="6"/>
      <c r="AU1062" s="6"/>
      <c r="AV1062" s="6"/>
      <c r="AW1062" s="6"/>
      <c r="AX1062" s="6"/>
      <c r="AY1062" s="6"/>
      <c r="AZ1062" s="6"/>
      <c r="BA1062" s="6"/>
      <c r="BB1062" s="6"/>
      <c r="BC1062" s="6"/>
      <c r="BD1062" s="6"/>
      <c r="BE1062" s="6"/>
      <c r="BF1062" s="6"/>
      <c r="BG1062" s="6"/>
      <c r="BH1062" s="6"/>
      <c r="BI1062" s="6"/>
      <c r="BJ1062" s="6"/>
      <c r="BK1062" s="6"/>
      <c r="BL1062" s="6"/>
      <c r="BM1062" s="6"/>
      <c r="BN1062" s="6"/>
      <c r="BO1062" s="6"/>
      <c r="BP1062" s="6"/>
      <c r="BQ1062" s="6"/>
      <c r="BR1062" s="6"/>
      <c r="BS1062" s="6"/>
      <c r="BT1062" s="6"/>
      <c r="BU1062" s="6"/>
      <c r="BV1062" s="6"/>
      <c r="BW1062" s="6"/>
      <c r="BX1062" s="6"/>
      <c r="BY1062" s="6"/>
      <c r="BZ1062" s="6"/>
      <c r="CA1062" s="6"/>
      <c r="CB1062" s="6"/>
      <c r="CC1062" s="6"/>
    </row>
    <row r="1063" spans="2:81" x14ac:dyDescent="0.2">
      <c r="B1063" s="68"/>
      <c r="C1063" s="69"/>
      <c r="D1063" s="70"/>
      <c r="F1063" s="68"/>
      <c r="G1063" s="69"/>
      <c r="H1063" s="70"/>
      <c r="J1063" s="71"/>
      <c r="K1063" s="71"/>
      <c r="L1063" s="67"/>
      <c r="N1063" s="71"/>
      <c r="O1063" s="71"/>
      <c r="P1063" s="67"/>
      <c r="R1063" s="67"/>
      <c r="S1063" s="6"/>
      <c r="T1063" s="6"/>
      <c r="U1063" s="6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  <c r="AG1063" s="6"/>
      <c r="AH1063" s="6"/>
      <c r="AI1063" s="6"/>
      <c r="AJ1063" s="6"/>
      <c r="AK1063" s="6"/>
      <c r="AL1063" s="6"/>
      <c r="AM1063" s="6"/>
      <c r="AN1063" s="6"/>
      <c r="AO1063" s="6"/>
      <c r="AP1063" s="6"/>
      <c r="AQ1063" s="6"/>
      <c r="AR1063" s="6"/>
      <c r="AS1063" s="6"/>
      <c r="AT1063" s="6"/>
      <c r="AU1063" s="6"/>
      <c r="AV1063" s="6"/>
      <c r="AW1063" s="6"/>
      <c r="AX1063" s="6"/>
      <c r="AY1063" s="6"/>
      <c r="AZ1063" s="6"/>
      <c r="BA1063" s="6"/>
      <c r="BB1063" s="6"/>
      <c r="BC1063" s="6"/>
      <c r="BD1063" s="6"/>
      <c r="BE1063" s="6"/>
      <c r="BF1063" s="6"/>
      <c r="BG1063" s="6"/>
      <c r="BH1063" s="6"/>
      <c r="BI1063" s="6"/>
      <c r="BJ1063" s="6"/>
      <c r="BK1063" s="6"/>
      <c r="BL1063" s="6"/>
      <c r="BM1063" s="6"/>
      <c r="BN1063" s="6"/>
      <c r="BO1063" s="6"/>
      <c r="BP1063" s="6"/>
      <c r="BQ1063" s="6"/>
      <c r="BR1063" s="6"/>
      <c r="BS1063" s="6"/>
      <c r="BT1063" s="6"/>
      <c r="BU1063" s="6"/>
      <c r="BV1063" s="6"/>
      <c r="BW1063" s="6"/>
      <c r="BX1063" s="6"/>
      <c r="BY1063" s="6"/>
      <c r="BZ1063" s="6"/>
      <c r="CA1063" s="6"/>
      <c r="CB1063" s="6"/>
      <c r="CC1063" s="6"/>
    </row>
    <row r="1064" spans="2:81" x14ac:dyDescent="0.2">
      <c r="B1064" s="68"/>
      <c r="C1064" s="69"/>
      <c r="D1064" s="70"/>
      <c r="F1064" s="68"/>
      <c r="G1064" s="69"/>
      <c r="H1064" s="70"/>
      <c r="J1064" s="71"/>
      <c r="K1064" s="71"/>
      <c r="L1064" s="67"/>
      <c r="N1064" s="71"/>
      <c r="O1064" s="71"/>
      <c r="P1064" s="67"/>
      <c r="R1064" s="67"/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6"/>
      <c r="AK1064" s="6"/>
      <c r="AL1064" s="6"/>
      <c r="AM1064" s="6"/>
      <c r="AN1064" s="6"/>
      <c r="AO1064" s="6"/>
      <c r="AP1064" s="6"/>
      <c r="AQ1064" s="6"/>
      <c r="AR1064" s="6"/>
      <c r="AS1064" s="6"/>
      <c r="AT1064" s="6"/>
      <c r="AU1064" s="6"/>
      <c r="AV1064" s="6"/>
      <c r="AW1064" s="6"/>
      <c r="AX1064" s="6"/>
      <c r="AY1064" s="6"/>
      <c r="AZ1064" s="6"/>
      <c r="BA1064" s="6"/>
      <c r="BB1064" s="6"/>
      <c r="BC1064" s="6"/>
      <c r="BD1064" s="6"/>
      <c r="BE1064" s="6"/>
      <c r="BF1064" s="6"/>
      <c r="BG1064" s="6"/>
      <c r="BH1064" s="6"/>
      <c r="BI1064" s="6"/>
      <c r="BJ1064" s="6"/>
      <c r="BK1064" s="6"/>
      <c r="BL1064" s="6"/>
      <c r="BM1064" s="6"/>
      <c r="BN1064" s="6"/>
      <c r="BO1064" s="6"/>
      <c r="BP1064" s="6"/>
      <c r="BQ1064" s="6"/>
      <c r="BR1064" s="6"/>
      <c r="BS1064" s="6"/>
      <c r="BT1064" s="6"/>
      <c r="BU1064" s="6"/>
      <c r="BV1064" s="6"/>
      <c r="BW1064" s="6"/>
      <c r="BX1064" s="6"/>
      <c r="BY1064" s="6"/>
      <c r="BZ1064" s="6"/>
      <c r="CA1064" s="6"/>
      <c r="CB1064" s="6"/>
      <c r="CC1064" s="6"/>
    </row>
    <row r="1065" spans="2:81" x14ac:dyDescent="0.2">
      <c r="B1065" s="68"/>
      <c r="C1065" s="69"/>
      <c r="D1065" s="70"/>
      <c r="F1065" s="68"/>
      <c r="G1065" s="69"/>
      <c r="H1065" s="70"/>
      <c r="J1065" s="71"/>
      <c r="K1065" s="71"/>
      <c r="L1065" s="67"/>
      <c r="N1065" s="71"/>
      <c r="O1065" s="71"/>
      <c r="P1065" s="67"/>
      <c r="R1065" s="67"/>
      <c r="S1065" s="6"/>
      <c r="T1065" s="6"/>
      <c r="U1065" s="6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  <c r="AG1065" s="6"/>
      <c r="AH1065" s="6"/>
      <c r="AI1065" s="6"/>
      <c r="AJ1065" s="6"/>
      <c r="AK1065" s="6"/>
      <c r="AL1065" s="6"/>
      <c r="AM1065" s="6"/>
      <c r="AN1065" s="6"/>
      <c r="AO1065" s="6"/>
      <c r="AP1065" s="6"/>
      <c r="AQ1065" s="6"/>
      <c r="AR1065" s="6"/>
      <c r="AS1065" s="6"/>
      <c r="AT1065" s="6"/>
      <c r="AU1065" s="6"/>
      <c r="AV1065" s="6"/>
      <c r="AW1065" s="6"/>
      <c r="AX1065" s="6"/>
      <c r="AY1065" s="6"/>
      <c r="AZ1065" s="6"/>
      <c r="BA1065" s="6"/>
      <c r="BB1065" s="6"/>
      <c r="BC1065" s="6"/>
      <c r="BD1065" s="6"/>
      <c r="BE1065" s="6"/>
      <c r="BF1065" s="6"/>
      <c r="BG1065" s="6"/>
      <c r="BH1065" s="6"/>
      <c r="BI1065" s="6"/>
      <c r="BJ1065" s="6"/>
      <c r="BK1065" s="6"/>
      <c r="BL1065" s="6"/>
      <c r="BM1065" s="6"/>
      <c r="BN1065" s="6"/>
      <c r="BO1065" s="6"/>
      <c r="BP1065" s="6"/>
      <c r="BQ1065" s="6"/>
      <c r="BR1065" s="6"/>
      <c r="BS1065" s="6"/>
      <c r="BT1065" s="6"/>
      <c r="BU1065" s="6"/>
      <c r="BV1065" s="6"/>
      <c r="BW1065" s="6"/>
      <c r="BX1065" s="6"/>
      <c r="BY1065" s="6"/>
      <c r="BZ1065" s="6"/>
      <c r="CA1065" s="6"/>
      <c r="CB1065" s="6"/>
      <c r="CC1065" s="6"/>
    </row>
    <row r="1066" spans="2:81" x14ac:dyDescent="0.2">
      <c r="B1066" s="68"/>
      <c r="C1066" s="69"/>
      <c r="D1066" s="70"/>
      <c r="F1066" s="68"/>
      <c r="G1066" s="69"/>
      <c r="H1066" s="70"/>
      <c r="J1066" s="71"/>
      <c r="K1066" s="71"/>
      <c r="L1066" s="67"/>
      <c r="N1066" s="71"/>
      <c r="O1066" s="71"/>
      <c r="P1066" s="67"/>
      <c r="R1066" s="67"/>
      <c r="S1066" s="6"/>
      <c r="T1066" s="6"/>
      <c r="U1066" s="6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  <c r="AG1066" s="6"/>
      <c r="AH1066" s="6"/>
      <c r="AI1066" s="6"/>
      <c r="AJ1066" s="6"/>
      <c r="AK1066" s="6"/>
      <c r="AL1066" s="6"/>
      <c r="AM1066" s="6"/>
      <c r="AN1066" s="6"/>
      <c r="AO1066" s="6"/>
      <c r="AP1066" s="6"/>
      <c r="AQ1066" s="6"/>
      <c r="AR1066" s="6"/>
      <c r="AS1066" s="6"/>
      <c r="AT1066" s="6"/>
      <c r="AU1066" s="6"/>
      <c r="AV1066" s="6"/>
      <c r="AW1066" s="6"/>
      <c r="AX1066" s="6"/>
      <c r="AY1066" s="6"/>
      <c r="AZ1066" s="6"/>
      <c r="BA1066" s="6"/>
      <c r="BB1066" s="6"/>
      <c r="BC1066" s="6"/>
      <c r="BD1066" s="6"/>
      <c r="BE1066" s="6"/>
      <c r="BF1066" s="6"/>
      <c r="BG1066" s="6"/>
      <c r="BH1066" s="6"/>
      <c r="BI1066" s="6"/>
      <c r="BJ1066" s="6"/>
      <c r="BK1066" s="6"/>
      <c r="BL1066" s="6"/>
      <c r="BM1066" s="6"/>
      <c r="BN1066" s="6"/>
      <c r="BO1066" s="6"/>
      <c r="BP1066" s="6"/>
      <c r="BQ1066" s="6"/>
      <c r="BR1066" s="6"/>
      <c r="BS1066" s="6"/>
      <c r="BT1066" s="6"/>
      <c r="BU1066" s="6"/>
      <c r="BV1066" s="6"/>
      <c r="BW1066" s="6"/>
      <c r="BX1066" s="6"/>
      <c r="BY1066" s="6"/>
      <c r="BZ1066" s="6"/>
      <c r="CA1066" s="6"/>
      <c r="CB1066" s="6"/>
      <c r="CC1066" s="6"/>
    </row>
    <row r="1067" spans="2:81" x14ac:dyDescent="0.2">
      <c r="B1067" s="68"/>
      <c r="C1067" s="69"/>
      <c r="D1067" s="70"/>
      <c r="F1067" s="68"/>
      <c r="G1067" s="69"/>
      <c r="H1067" s="70"/>
      <c r="J1067" s="71"/>
      <c r="K1067" s="71"/>
      <c r="L1067" s="67"/>
      <c r="N1067" s="71"/>
      <c r="O1067" s="71"/>
      <c r="P1067" s="67"/>
      <c r="R1067" s="67"/>
      <c r="S1067" s="6"/>
      <c r="T1067" s="6"/>
      <c r="U1067" s="6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  <c r="AG1067" s="6"/>
      <c r="AH1067" s="6"/>
      <c r="AI1067" s="6"/>
      <c r="AJ1067" s="6"/>
      <c r="AK1067" s="6"/>
      <c r="AL1067" s="6"/>
      <c r="AM1067" s="6"/>
      <c r="AN1067" s="6"/>
      <c r="AO1067" s="6"/>
      <c r="AP1067" s="6"/>
      <c r="AQ1067" s="6"/>
      <c r="AR1067" s="6"/>
      <c r="AS1067" s="6"/>
      <c r="AT1067" s="6"/>
      <c r="AU1067" s="6"/>
      <c r="AV1067" s="6"/>
      <c r="AW1067" s="6"/>
      <c r="AX1067" s="6"/>
      <c r="AY1067" s="6"/>
      <c r="AZ1067" s="6"/>
      <c r="BA1067" s="6"/>
      <c r="BB1067" s="6"/>
      <c r="BC1067" s="6"/>
      <c r="BD1067" s="6"/>
      <c r="BE1067" s="6"/>
      <c r="BF1067" s="6"/>
      <c r="BG1067" s="6"/>
      <c r="BH1067" s="6"/>
      <c r="BI1067" s="6"/>
      <c r="BJ1067" s="6"/>
      <c r="BK1067" s="6"/>
      <c r="BL1067" s="6"/>
      <c r="BM1067" s="6"/>
      <c r="BN1067" s="6"/>
      <c r="BO1067" s="6"/>
      <c r="BP1067" s="6"/>
      <c r="BQ1067" s="6"/>
      <c r="BR1067" s="6"/>
      <c r="BS1067" s="6"/>
      <c r="BT1067" s="6"/>
      <c r="BU1067" s="6"/>
      <c r="BV1067" s="6"/>
      <c r="BW1067" s="6"/>
      <c r="BX1067" s="6"/>
      <c r="BY1067" s="6"/>
      <c r="BZ1067" s="6"/>
      <c r="CA1067" s="6"/>
      <c r="CB1067" s="6"/>
      <c r="CC1067" s="6"/>
    </row>
    <row r="1068" spans="2:81" x14ac:dyDescent="0.2">
      <c r="B1068" s="68"/>
      <c r="C1068" s="69"/>
      <c r="D1068" s="70"/>
      <c r="F1068" s="68"/>
      <c r="G1068" s="69"/>
      <c r="H1068" s="70"/>
      <c r="J1068" s="71"/>
      <c r="K1068" s="71"/>
      <c r="L1068" s="67"/>
      <c r="N1068" s="71"/>
      <c r="O1068" s="71"/>
      <c r="P1068" s="67"/>
      <c r="R1068" s="67"/>
      <c r="S1068" s="6"/>
      <c r="T1068" s="6"/>
      <c r="U1068" s="6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  <c r="AG1068" s="6"/>
      <c r="AH1068" s="6"/>
      <c r="AI1068" s="6"/>
      <c r="AJ1068" s="6"/>
      <c r="AK1068" s="6"/>
      <c r="AL1068" s="6"/>
      <c r="AM1068" s="6"/>
      <c r="AN1068" s="6"/>
      <c r="AO1068" s="6"/>
      <c r="AP1068" s="6"/>
      <c r="AQ1068" s="6"/>
      <c r="AR1068" s="6"/>
      <c r="AS1068" s="6"/>
      <c r="AT1068" s="6"/>
      <c r="AU1068" s="6"/>
      <c r="AV1068" s="6"/>
      <c r="AW1068" s="6"/>
      <c r="AX1068" s="6"/>
      <c r="AY1068" s="6"/>
      <c r="AZ1068" s="6"/>
      <c r="BA1068" s="6"/>
      <c r="BB1068" s="6"/>
      <c r="BC1068" s="6"/>
      <c r="BD1068" s="6"/>
      <c r="BE1068" s="6"/>
      <c r="BF1068" s="6"/>
      <c r="BG1068" s="6"/>
      <c r="BH1068" s="6"/>
      <c r="BI1068" s="6"/>
      <c r="BJ1068" s="6"/>
      <c r="BK1068" s="6"/>
      <c r="BL1068" s="6"/>
      <c r="BM1068" s="6"/>
      <c r="BN1068" s="6"/>
      <c r="BO1068" s="6"/>
      <c r="BP1068" s="6"/>
      <c r="BQ1068" s="6"/>
      <c r="BR1068" s="6"/>
      <c r="BS1068" s="6"/>
      <c r="BT1068" s="6"/>
      <c r="BU1068" s="6"/>
      <c r="BV1068" s="6"/>
      <c r="BW1068" s="6"/>
      <c r="BX1068" s="6"/>
      <c r="BY1068" s="6"/>
      <c r="BZ1068" s="6"/>
      <c r="CA1068" s="6"/>
      <c r="CB1068" s="6"/>
      <c r="CC1068" s="6"/>
    </row>
    <row r="1069" spans="2:81" x14ac:dyDescent="0.2">
      <c r="B1069" s="68"/>
      <c r="C1069" s="69"/>
      <c r="D1069" s="70"/>
      <c r="F1069" s="68"/>
      <c r="G1069" s="69"/>
      <c r="H1069" s="70"/>
      <c r="J1069" s="71"/>
      <c r="K1069" s="71"/>
      <c r="L1069" s="67"/>
      <c r="N1069" s="71"/>
      <c r="O1069" s="71"/>
      <c r="P1069" s="67"/>
      <c r="R1069" s="67"/>
      <c r="S1069" s="6"/>
      <c r="T1069" s="6"/>
      <c r="U1069" s="6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  <c r="AG1069" s="6"/>
      <c r="AH1069" s="6"/>
      <c r="AI1069" s="6"/>
      <c r="AJ1069" s="6"/>
      <c r="AK1069" s="6"/>
      <c r="AL1069" s="6"/>
      <c r="AM1069" s="6"/>
      <c r="AN1069" s="6"/>
      <c r="AO1069" s="6"/>
      <c r="AP1069" s="6"/>
      <c r="AQ1069" s="6"/>
      <c r="AR1069" s="6"/>
      <c r="AS1069" s="6"/>
      <c r="AT1069" s="6"/>
      <c r="AU1069" s="6"/>
      <c r="AV1069" s="6"/>
      <c r="AW1069" s="6"/>
      <c r="AX1069" s="6"/>
      <c r="AY1069" s="6"/>
      <c r="AZ1069" s="6"/>
      <c r="BA1069" s="6"/>
      <c r="BB1069" s="6"/>
      <c r="BC1069" s="6"/>
      <c r="BD1069" s="6"/>
      <c r="BE1069" s="6"/>
      <c r="BF1069" s="6"/>
      <c r="BG1069" s="6"/>
      <c r="BH1069" s="6"/>
      <c r="BI1069" s="6"/>
      <c r="BJ1069" s="6"/>
      <c r="BK1069" s="6"/>
      <c r="BL1069" s="6"/>
      <c r="BM1069" s="6"/>
      <c r="BN1069" s="6"/>
      <c r="BO1069" s="6"/>
      <c r="BP1069" s="6"/>
      <c r="BQ1069" s="6"/>
      <c r="BR1069" s="6"/>
      <c r="BS1069" s="6"/>
      <c r="BT1069" s="6"/>
      <c r="BU1069" s="6"/>
      <c r="BV1069" s="6"/>
      <c r="BW1069" s="6"/>
      <c r="BX1069" s="6"/>
      <c r="BY1069" s="6"/>
      <c r="BZ1069" s="6"/>
      <c r="CA1069" s="6"/>
      <c r="CB1069" s="6"/>
      <c r="CC1069" s="6"/>
    </row>
    <row r="1070" spans="2:81" x14ac:dyDescent="0.2">
      <c r="B1070" s="68"/>
      <c r="C1070" s="69"/>
      <c r="D1070" s="70"/>
      <c r="F1070" s="68"/>
      <c r="G1070" s="69"/>
      <c r="H1070" s="70"/>
      <c r="J1070" s="71"/>
      <c r="K1070" s="71"/>
      <c r="L1070" s="67"/>
      <c r="N1070" s="71"/>
      <c r="O1070" s="71"/>
      <c r="P1070" s="67"/>
      <c r="R1070" s="67"/>
      <c r="S1070" s="6"/>
      <c r="T1070" s="6"/>
      <c r="U1070" s="6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  <c r="AG1070" s="6"/>
      <c r="AH1070" s="6"/>
      <c r="AI1070" s="6"/>
      <c r="AJ1070" s="6"/>
      <c r="AK1070" s="6"/>
      <c r="AL1070" s="6"/>
      <c r="AM1070" s="6"/>
      <c r="AN1070" s="6"/>
      <c r="AO1070" s="6"/>
      <c r="AP1070" s="6"/>
      <c r="AQ1070" s="6"/>
      <c r="AR1070" s="6"/>
      <c r="AS1070" s="6"/>
      <c r="AT1070" s="6"/>
      <c r="AU1070" s="6"/>
      <c r="AV1070" s="6"/>
      <c r="AW1070" s="6"/>
      <c r="AX1070" s="6"/>
      <c r="AY1070" s="6"/>
      <c r="AZ1070" s="6"/>
      <c r="BA1070" s="6"/>
      <c r="BB1070" s="6"/>
      <c r="BC1070" s="6"/>
      <c r="BD1070" s="6"/>
      <c r="BE1070" s="6"/>
      <c r="BF1070" s="6"/>
      <c r="BG1070" s="6"/>
      <c r="BH1070" s="6"/>
      <c r="BI1070" s="6"/>
      <c r="BJ1070" s="6"/>
      <c r="BK1070" s="6"/>
      <c r="BL1070" s="6"/>
      <c r="BM1070" s="6"/>
      <c r="BN1070" s="6"/>
      <c r="BO1070" s="6"/>
      <c r="BP1070" s="6"/>
      <c r="BQ1070" s="6"/>
      <c r="BR1070" s="6"/>
      <c r="BS1070" s="6"/>
      <c r="BT1070" s="6"/>
      <c r="BU1070" s="6"/>
      <c r="BV1070" s="6"/>
      <c r="BW1070" s="6"/>
      <c r="BX1070" s="6"/>
      <c r="BY1070" s="6"/>
      <c r="BZ1070" s="6"/>
      <c r="CA1070" s="6"/>
      <c r="CB1070" s="6"/>
      <c r="CC1070" s="6"/>
    </row>
    <row r="1071" spans="2:81" x14ac:dyDescent="0.2">
      <c r="B1071" s="68"/>
      <c r="C1071" s="69"/>
      <c r="D1071" s="70"/>
      <c r="F1071" s="68"/>
      <c r="G1071" s="69"/>
      <c r="H1071" s="70"/>
      <c r="J1071" s="71"/>
      <c r="K1071" s="71"/>
      <c r="L1071" s="67"/>
      <c r="N1071" s="71"/>
      <c r="O1071" s="71"/>
      <c r="P1071" s="67"/>
      <c r="R1071" s="67"/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6"/>
      <c r="AK1071" s="6"/>
      <c r="AL1071" s="6"/>
      <c r="AM1071" s="6"/>
      <c r="AN1071" s="6"/>
      <c r="AO1071" s="6"/>
      <c r="AP1071" s="6"/>
      <c r="AQ1071" s="6"/>
      <c r="AR1071" s="6"/>
      <c r="AS1071" s="6"/>
      <c r="AT1071" s="6"/>
      <c r="AU1071" s="6"/>
      <c r="AV1071" s="6"/>
      <c r="AW1071" s="6"/>
      <c r="AX1071" s="6"/>
      <c r="AY1071" s="6"/>
      <c r="AZ1071" s="6"/>
      <c r="BA1071" s="6"/>
      <c r="BB1071" s="6"/>
      <c r="BC1071" s="6"/>
      <c r="BD1071" s="6"/>
      <c r="BE1071" s="6"/>
      <c r="BF1071" s="6"/>
      <c r="BG1071" s="6"/>
      <c r="BH1071" s="6"/>
      <c r="BI1071" s="6"/>
      <c r="BJ1071" s="6"/>
      <c r="BK1071" s="6"/>
      <c r="BL1071" s="6"/>
      <c r="BM1071" s="6"/>
      <c r="BN1071" s="6"/>
      <c r="BO1071" s="6"/>
      <c r="BP1071" s="6"/>
      <c r="BQ1071" s="6"/>
      <c r="BR1071" s="6"/>
      <c r="BS1071" s="6"/>
      <c r="BT1071" s="6"/>
      <c r="BU1071" s="6"/>
      <c r="BV1071" s="6"/>
      <c r="BW1071" s="6"/>
      <c r="BX1071" s="6"/>
      <c r="BY1071" s="6"/>
      <c r="BZ1071" s="6"/>
      <c r="CA1071" s="6"/>
      <c r="CB1071" s="6"/>
      <c r="CC1071" s="6"/>
    </row>
    <row r="1072" spans="2:81" x14ac:dyDescent="0.2">
      <c r="B1072" s="68"/>
      <c r="C1072" s="69"/>
      <c r="D1072" s="70"/>
      <c r="F1072" s="68"/>
      <c r="G1072" s="69"/>
      <c r="H1072" s="70"/>
      <c r="J1072" s="71"/>
      <c r="K1072" s="71"/>
      <c r="L1072" s="67"/>
      <c r="N1072" s="71"/>
      <c r="O1072" s="71"/>
      <c r="P1072" s="67"/>
      <c r="R1072" s="67"/>
      <c r="S1072" s="6"/>
      <c r="T1072" s="6"/>
      <c r="U1072" s="6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  <c r="AG1072" s="6"/>
      <c r="AH1072" s="6"/>
      <c r="AI1072" s="6"/>
      <c r="AJ1072" s="6"/>
      <c r="AK1072" s="6"/>
      <c r="AL1072" s="6"/>
      <c r="AM1072" s="6"/>
      <c r="AN1072" s="6"/>
      <c r="AO1072" s="6"/>
      <c r="AP1072" s="6"/>
      <c r="AQ1072" s="6"/>
      <c r="AR1072" s="6"/>
      <c r="AS1072" s="6"/>
      <c r="AT1072" s="6"/>
      <c r="AU1072" s="6"/>
      <c r="AV1072" s="6"/>
      <c r="AW1072" s="6"/>
      <c r="AX1072" s="6"/>
      <c r="AY1072" s="6"/>
      <c r="AZ1072" s="6"/>
      <c r="BA1072" s="6"/>
      <c r="BB1072" s="6"/>
      <c r="BC1072" s="6"/>
      <c r="BD1072" s="6"/>
      <c r="BE1072" s="6"/>
      <c r="BF1072" s="6"/>
      <c r="BG1072" s="6"/>
      <c r="BH1072" s="6"/>
      <c r="BI1072" s="6"/>
      <c r="BJ1072" s="6"/>
      <c r="BK1072" s="6"/>
      <c r="BL1072" s="6"/>
      <c r="BM1072" s="6"/>
      <c r="BN1072" s="6"/>
      <c r="BO1072" s="6"/>
      <c r="BP1072" s="6"/>
      <c r="BQ1072" s="6"/>
      <c r="BR1072" s="6"/>
      <c r="BS1072" s="6"/>
      <c r="BT1072" s="6"/>
      <c r="BU1072" s="6"/>
      <c r="BV1072" s="6"/>
      <c r="BW1072" s="6"/>
      <c r="BX1072" s="6"/>
      <c r="BY1072" s="6"/>
      <c r="BZ1072" s="6"/>
      <c r="CA1072" s="6"/>
      <c r="CB1072" s="6"/>
      <c r="CC1072" s="6"/>
    </row>
    <row r="1073" spans="2:81" x14ac:dyDescent="0.2">
      <c r="B1073" s="68"/>
      <c r="C1073" s="69"/>
      <c r="D1073" s="70"/>
      <c r="F1073" s="68"/>
      <c r="G1073" s="69"/>
      <c r="H1073" s="70"/>
      <c r="J1073" s="71"/>
      <c r="K1073" s="71"/>
      <c r="L1073" s="67"/>
      <c r="N1073" s="71"/>
      <c r="O1073" s="71"/>
      <c r="P1073" s="67"/>
      <c r="R1073" s="67"/>
      <c r="S1073" s="6"/>
      <c r="T1073" s="6"/>
      <c r="U1073" s="6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  <c r="AG1073" s="6"/>
      <c r="AH1073" s="6"/>
      <c r="AI1073" s="6"/>
      <c r="AJ1073" s="6"/>
      <c r="AK1073" s="6"/>
      <c r="AL1073" s="6"/>
      <c r="AM1073" s="6"/>
      <c r="AN1073" s="6"/>
      <c r="AO1073" s="6"/>
      <c r="AP1073" s="6"/>
      <c r="AQ1073" s="6"/>
      <c r="AR1073" s="6"/>
      <c r="AS1073" s="6"/>
      <c r="AT1073" s="6"/>
      <c r="AU1073" s="6"/>
      <c r="AV1073" s="6"/>
      <c r="AW1073" s="6"/>
      <c r="AX1073" s="6"/>
      <c r="AY1073" s="6"/>
      <c r="AZ1073" s="6"/>
      <c r="BA1073" s="6"/>
      <c r="BB1073" s="6"/>
      <c r="BC1073" s="6"/>
      <c r="BD1073" s="6"/>
      <c r="BE1073" s="6"/>
      <c r="BF1073" s="6"/>
      <c r="BG1073" s="6"/>
      <c r="BH1073" s="6"/>
      <c r="BI1073" s="6"/>
      <c r="BJ1073" s="6"/>
      <c r="BK1073" s="6"/>
      <c r="BL1073" s="6"/>
      <c r="BM1073" s="6"/>
      <c r="BN1073" s="6"/>
      <c r="BO1073" s="6"/>
      <c r="BP1073" s="6"/>
      <c r="BQ1073" s="6"/>
      <c r="BR1073" s="6"/>
      <c r="BS1073" s="6"/>
      <c r="BT1073" s="6"/>
      <c r="BU1073" s="6"/>
      <c r="BV1073" s="6"/>
      <c r="BW1073" s="6"/>
      <c r="BX1073" s="6"/>
      <c r="BY1073" s="6"/>
      <c r="BZ1073" s="6"/>
      <c r="CA1073" s="6"/>
      <c r="CB1073" s="6"/>
      <c r="CC1073" s="6"/>
    </row>
    <row r="1074" spans="2:81" x14ac:dyDescent="0.2">
      <c r="B1074" s="68"/>
      <c r="C1074" s="69"/>
      <c r="D1074" s="70"/>
      <c r="F1074" s="68"/>
      <c r="G1074" s="69"/>
      <c r="H1074" s="70"/>
      <c r="J1074" s="71"/>
      <c r="K1074" s="71"/>
      <c r="L1074" s="67"/>
      <c r="N1074" s="71"/>
      <c r="O1074" s="71"/>
      <c r="P1074" s="67"/>
      <c r="R1074" s="67"/>
      <c r="S1074" s="6"/>
      <c r="T1074" s="6"/>
      <c r="U1074" s="6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  <c r="AG1074" s="6"/>
      <c r="AH1074" s="6"/>
      <c r="AI1074" s="6"/>
      <c r="AJ1074" s="6"/>
      <c r="AK1074" s="6"/>
      <c r="AL1074" s="6"/>
      <c r="AM1074" s="6"/>
      <c r="AN1074" s="6"/>
      <c r="AO1074" s="6"/>
      <c r="AP1074" s="6"/>
      <c r="AQ1074" s="6"/>
      <c r="AR1074" s="6"/>
      <c r="AS1074" s="6"/>
      <c r="AT1074" s="6"/>
      <c r="AU1074" s="6"/>
      <c r="AV1074" s="6"/>
      <c r="AW1074" s="6"/>
      <c r="AX1074" s="6"/>
      <c r="AY1074" s="6"/>
      <c r="AZ1074" s="6"/>
      <c r="BA1074" s="6"/>
      <c r="BB1074" s="6"/>
      <c r="BC1074" s="6"/>
      <c r="BD1074" s="6"/>
      <c r="BE1074" s="6"/>
      <c r="BF1074" s="6"/>
      <c r="BG1074" s="6"/>
      <c r="BH1074" s="6"/>
      <c r="BI1074" s="6"/>
      <c r="BJ1074" s="6"/>
      <c r="BK1074" s="6"/>
      <c r="BL1074" s="6"/>
      <c r="BM1074" s="6"/>
      <c r="BN1074" s="6"/>
      <c r="BO1074" s="6"/>
      <c r="BP1074" s="6"/>
      <c r="BQ1074" s="6"/>
      <c r="BR1074" s="6"/>
      <c r="BS1074" s="6"/>
      <c r="BT1074" s="6"/>
      <c r="BU1074" s="6"/>
      <c r="BV1074" s="6"/>
      <c r="BW1074" s="6"/>
      <c r="BX1074" s="6"/>
      <c r="BY1074" s="6"/>
      <c r="BZ1074" s="6"/>
      <c r="CA1074" s="6"/>
      <c r="CB1074" s="6"/>
      <c r="CC1074" s="6"/>
    </row>
    <row r="1075" spans="2:81" x14ac:dyDescent="0.2">
      <c r="B1075" s="68"/>
      <c r="C1075" s="69"/>
      <c r="D1075" s="70"/>
      <c r="F1075" s="68"/>
      <c r="G1075" s="69"/>
      <c r="H1075" s="70"/>
      <c r="J1075" s="71"/>
      <c r="K1075" s="71"/>
      <c r="L1075" s="67"/>
      <c r="N1075" s="71"/>
      <c r="O1075" s="71"/>
      <c r="P1075" s="67"/>
      <c r="R1075" s="67"/>
      <c r="S1075" s="6"/>
      <c r="T1075" s="6"/>
      <c r="U1075" s="6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  <c r="AG1075" s="6"/>
      <c r="AH1075" s="6"/>
      <c r="AI1075" s="6"/>
      <c r="AJ1075" s="6"/>
      <c r="AK1075" s="6"/>
      <c r="AL1075" s="6"/>
      <c r="AM1075" s="6"/>
      <c r="AN1075" s="6"/>
      <c r="AO1075" s="6"/>
      <c r="AP1075" s="6"/>
      <c r="AQ1075" s="6"/>
      <c r="AR1075" s="6"/>
      <c r="AS1075" s="6"/>
      <c r="AT1075" s="6"/>
      <c r="AU1075" s="6"/>
      <c r="AV1075" s="6"/>
      <c r="AW1075" s="6"/>
      <c r="AX1075" s="6"/>
      <c r="AY1075" s="6"/>
      <c r="AZ1075" s="6"/>
      <c r="BA1075" s="6"/>
      <c r="BB1075" s="6"/>
      <c r="BC1075" s="6"/>
      <c r="BD1075" s="6"/>
      <c r="BE1075" s="6"/>
      <c r="BF1075" s="6"/>
      <c r="BG1075" s="6"/>
      <c r="BH1075" s="6"/>
      <c r="BI1075" s="6"/>
      <c r="BJ1075" s="6"/>
      <c r="BK1075" s="6"/>
      <c r="BL1075" s="6"/>
      <c r="BM1075" s="6"/>
      <c r="BN1075" s="6"/>
      <c r="BO1075" s="6"/>
      <c r="BP1075" s="6"/>
      <c r="BQ1075" s="6"/>
      <c r="BR1075" s="6"/>
      <c r="BS1075" s="6"/>
      <c r="BT1075" s="6"/>
      <c r="BU1075" s="6"/>
      <c r="BV1075" s="6"/>
      <c r="BW1075" s="6"/>
      <c r="BX1075" s="6"/>
      <c r="BY1075" s="6"/>
      <c r="BZ1075" s="6"/>
      <c r="CA1075" s="6"/>
      <c r="CB1075" s="6"/>
      <c r="CC1075" s="6"/>
    </row>
    <row r="1076" spans="2:81" x14ac:dyDescent="0.2">
      <c r="B1076" s="68"/>
      <c r="C1076" s="69"/>
      <c r="D1076" s="70"/>
      <c r="F1076" s="68"/>
      <c r="G1076" s="69"/>
      <c r="H1076" s="70"/>
      <c r="J1076" s="71"/>
      <c r="K1076" s="71"/>
      <c r="L1076" s="67"/>
      <c r="N1076" s="71"/>
      <c r="O1076" s="71"/>
      <c r="P1076" s="67"/>
      <c r="R1076" s="67"/>
      <c r="S1076" s="6"/>
      <c r="T1076" s="6"/>
      <c r="U1076" s="6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  <c r="AG1076" s="6"/>
      <c r="AH1076" s="6"/>
      <c r="AI1076" s="6"/>
      <c r="AJ1076" s="6"/>
      <c r="AK1076" s="6"/>
      <c r="AL1076" s="6"/>
      <c r="AM1076" s="6"/>
      <c r="AN1076" s="6"/>
      <c r="AO1076" s="6"/>
      <c r="AP1076" s="6"/>
      <c r="AQ1076" s="6"/>
      <c r="AR1076" s="6"/>
      <c r="AS1076" s="6"/>
      <c r="AT1076" s="6"/>
      <c r="AU1076" s="6"/>
      <c r="AV1076" s="6"/>
      <c r="AW1076" s="6"/>
      <c r="AX1076" s="6"/>
      <c r="AY1076" s="6"/>
      <c r="AZ1076" s="6"/>
      <c r="BA1076" s="6"/>
      <c r="BB1076" s="6"/>
      <c r="BC1076" s="6"/>
      <c r="BD1076" s="6"/>
      <c r="BE1076" s="6"/>
      <c r="BF1076" s="6"/>
      <c r="BG1076" s="6"/>
      <c r="BH1076" s="6"/>
      <c r="BI1076" s="6"/>
      <c r="BJ1076" s="6"/>
      <c r="BK1076" s="6"/>
      <c r="BL1076" s="6"/>
      <c r="BM1076" s="6"/>
      <c r="BN1076" s="6"/>
      <c r="BO1076" s="6"/>
      <c r="BP1076" s="6"/>
      <c r="BQ1076" s="6"/>
      <c r="BR1076" s="6"/>
      <c r="BS1076" s="6"/>
      <c r="BT1076" s="6"/>
      <c r="BU1076" s="6"/>
      <c r="BV1076" s="6"/>
      <c r="BW1076" s="6"/>
      <c r="BX1076" s="6"/>
      <c r="BY1076" s="6"/>
      <c r="BZ1076" s="6"/>
      <c r="CA1076" s="6"/>
      <c r="CB1076" s="6"/>
      <c r="CC1076" s="6"/>
    </row>
    <row r="1077" spans="2:81" x14ac:dyDescent="0.2">
      <c r="B1077" s="68"/>
      <c r="C1077" s="69"/>
      <c r="D1077" s="70"/>
      <c r="F1077" s="68"/>
      <c r="G1077" s="69"/>
      <c r="H1077" s="70"/>
      <c r="J1077" s="71"/>
      <c r="K1077" s="71"/>
      <c r="L1077" s="67"/>
      <c r="N1077" s="71"/>
      <c r="O1077" s="71"/>
      <c r="P1077" s="67"/>
      <c r="R1077" s="67"/>
      <c r="S1077" s="6"/>
      <c r="T1077" s="6"/>
      <c r="U1077" s="6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  <c r="AG1077" s="6"/>
      <c r="AH1077" s="6"/>
      <c r="AI1077" s="6"/>
      <c r="AJ1077" s="6"/>
      <c r="AK1077" s="6"/>
      <c r="AL1077" s="6"/>
      <c r="AM1077" s="6"/>
      <c r="AN1077" s="6"/>
      <c r="AO1077" s="6"/>
      <c r="AP1077" s="6"/>
      <c r="AQ1077" s="6"/>
      <c r="AR1077" s="6"/>
      <c r="AS1077" s="6"/>
      <c r="AT1077" s="6"/>
      <c r="AU1077" s="6"/>
      <c r="AV1077" s="6"/>
      <c r="AW1077" s="6"/>
      <c r="AX1077" s="6"/>
      <c r="AY1077" s="6"/>
      <c r="AZ1077" s="6"/>
      <c r="BA1077" s="6"/>
      <c r="BB1077" s="6"/>
      <c r="BC1077" s="6"/>
      <c r="BD1077" s="6"/>
      <c r="BE1077" s="6"/>
      <c r="BF1077" s="6"/>
      <c r="BG1077" s="6"/>
      <c r="BH1077" s="6"/>
      <c r="BI1077" s="6"/>
      <c r="BJ1077" s="6"/>
      <c r="BK1077" s="6"/>
      <c r="BL1077" s="6"/>
      <c r="BM1077" s="6"/>
      <c r="BN1077" s="6"/>
      <c r="BO1077" s="6"/>
      <c r="BP1077" s="6"/>
      <c r="BQ1077" s="6"/>
      <c r="BR1077" s="6"/>
      <c r="BS1077" s="6"/>
      <c r="BT1077" s="6"/>
      <c r="BU1077" s="6"/>
      <c r="BV1077" s="6"/>
      <c r="BW1077" s="6"/>
      <c r="BX1077" s="6"/>
      <c r="BY1077" s="6"/>
      <c r="BZ1077" s="6"/>
      <c r="CA1077" s="6"/>
      <c r="CB1077" s="6"/>
      <c r="CC1077" s="6"/>
    </row>
    <row r="1078" spans="2:81" x14ac:dyDescent="0.2">
      <c r="B1078" s="68"/>
      <c r="C1078" s="69"/>
      <c r="D1078" s="70"/>
      <c r="F1078" s="68"/>
      <c r="G1078" s="69"/>
      <c r="H1078" s="70"/>
      <c r="J1078" s="71"/>
      <c r="K1078" s="71"/>
      <c r="L1078" s="67"/>
      <c r="N1078" s="71"/>
      <c r="O1078" s="71"/>
      <c r="P1078" s="67"/>
      <c r="R1078" s="67"/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6"/>
      <c r="AK1078" s="6"/>
      <c r="AL1078" s="6"/>
      <c r="AM1078" s="6"/>
      <c r="AN1078" s="6"/>
      <c r="AO1078" s="6"/>
      <c r="AP1078" s="6"/>
      <c r="AQ1078" s="6"/>
      <c r="AR1078" s="6"/>
      <c r="AS1078" s="6"/>
      <c r="AT1078" s="6"/>
      <c r="AU1078" s="6"/>
      <c r="AV1078" s="6"/>
      <c r="AW1078" s="6"/>
      <c r="AX1078" s="6"/>
      <c r="AY1078" s="6"/>
      <c r="AZ1078" s="6"/>
      <c r="BA1078" s="6"/>
      <c r="BB1078" s="6"/>
      <c r="BC1078" s="6"/>
      <c r="BD1078" s="6"/>
      <c r="BE1078" s="6"/>
      <c r="BF1078" s="6"/>
      <c r="BG1078" s="6"/>
      <c r="BH1078" s="6"/>
      <c r="BI1078" s="6"/>
      <c r="BJ1078" s="6"/>
      <c r="BK1078" s="6"/>
      <c r="BL1078" s="6"/>
      <c r="BM1078" s="6"/>
      <c r="BN1078" s="6"/>
      <c r="BO1078" s="6"/>
      <c r="BP1078" s="6"/>
      <c r="BQ1078" s="6"/>
      <c r="BR1078" s="6"/>
      <c r="BS1078" s="6"/>
      <c r="BT1078" s="6"/>
      <c r="BU1078" s="6"/>
      <c r="BV1078" s="6"/>
      <c r="BW1078" s="6"/>
      <c r="BX1078" s="6"/>
      <c r="BY1078" s="6"/>
      <c r="BZ1078" s="6"/>
      <c r="CA1078" s="6"/>
      <c r="CB1078" s="6"/>
      <c r="CC1078" s="6"/>
    </row>
    <row r="1079" spans="2:81" x14ac:dyDescent="0.2">
      <c r="B1079" s="68"/>
      <c r="C1079" s="69"/>
      <c r="D1079" s="70"/>
      <c r="F1079" s="68"/>
      <c r="G1079" s="69"/>
      <c r="H1079" s="70"/>
      <c r="J1079" s="71"/>
      <c r="K1079" s="71"/>
      <c r="L1079" s="67"/>
      <c r="N1079" s="71"/>
      <c r="O1079" s="71"/>
      <c r="P1079" s="67"/>
      <c r="R1079" s="67"/>
      <c r="S1079" s="6"/>
      <c r="T1079" s="6"/>
      <c r="U1079" s="6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  <c r="AG1079" s="6"/>
      <c r="AH1079" s="6"/>
      <c r="AI1079" s="6"/>
      <c r="AJ1079" s="6"/>
      <c r="AK1079" s="6"/>
      <c r="AL1079" s="6"/>
      <c r="AM1079" s="6"/>
      <c r="AN1079" s="6"/>
      <c r="AO1079" s="6"/>
      <c r="AP1079" s="6"/>
      <c r="AQ1079" s="6"/>
      <c r="AR1079" s="6"/>
      <c r="AS1079" s="6"/>
      <c r="AT1079" s="6"/>
      <c r="AU1079" s="6"/>
      <c r="AV1079" s="6"/>
      <c r="AW1079" s="6"/>
      <c r="AX1079" s="6"/>
      <c r="AY1079" s="6"/>
      <c r="AZ1079" s="6"/>
      <c r="BA1079" s="6"/>
      <c r="BB1079" s="6"/>
      <c r="BC1079" s="6"/>
      <c r="BD1079" s="6"/>
      <c r="BE1079" s="6"/>
      <c r="BF1079" s="6"/>
      <c r="BG1079" s="6"/>
      <c r="BH1079" s="6"/>
      <c r="BI1079" s="6"/>
      <c r="BJ1079" s="6"/>
      <c r="BK1079" s="6"/>
      <c r="BL1079" s="6"/>
      <c r="BM1079" s="6"/>
      <c r="BN1079" s="6"/>
      <c r="BO1079" s="6"/>
      <c r="BP1079" s="6"/>
      <c r="BQ1079" s="6"/>
      <c r="BR1079" s="6"/>
      <c r="BS1079" s="6"/>
      <c r="BT1079" s="6"/>
      <c r="BU1079" s="6"/>
      <c r="BV1079" s="6"/>
      <c r="BW1079" s="6"/>
      <c r="BX1079" s="6"/>
      <c r="BY1079" s="6"/>
      <c r="BZ1079" s="6"/>
      <c r="CA1079" s="6"/>
      <c r="CB1079" s="6"/>
      <c r="CC1079" s="6"/>
    </row>
    <row r="1080" spans="2:81" x14ac:dyDescent="0.2">
      <c r="B1080" s="68"/>
      <c r="C1080" s="69"/>
      <c r="D1080" s="70"/>
      <c r="F1080" s="68"/>
      <c r="G1080" s="69"/>
      <c r="H1080" s="70"/>
      <c r="J1080" s="71"/>
      <c r="K1080" s="71"/>
      <c r="L1080" s="67"/>
      <c r="N1080" s="71"/>
      <c r="O1080" s="71"/>
      <c r="P1080" s="67"/>
      <c r="R1080" s="67"/>
      <c r="S1080" s="6"/>
      <c r="T1080" s="6"/>
      <c r="U1080" s="6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  <c r="AG1080" s="6"/>
      <c r="AH1080" s="6"/>
      <c r="AI1080" s="6"/>
      <c r="AJ1080" s="6"/>
      <c r="AK1080" s="6"/>
      <c r="AL1080" s="6"/>
      <c r="AM1080" s="6"/>
      <c r="AN1080" s="6"/>
      <c r="AO1080" s="6"/>
      <c r="AP1080" s="6"/>
      <c r="AQ1080" s="6"/>
      <c r="AR1080" s="6"/>
      <c r="AS1080" s="6"/>
      <c r="AT1080" s="6"/>
      <c r="AU1080" s="6"/>
      <c r="AV1080" s="6"/>
      <c r="AW1080" s="6"/>
      <c r="AX1080" s="6"/>
      <c r="AY1080" s="6"/>
      <c r="AZ1080" s="6"/>
      <c r="BA1080" s="6"/>
      <c r="BB1080" s="6"/>
      <c r="BC1080" s="6"/>
      <c r="BD1080" s="6"/>
      <c r="BE1080" s="6"/>
      <c r="BF1080" s="6"/>
      <c r="BG1080" s="6"/>
      <c r="BH1080" s="6"/>
      <c r="BI1080" s="6"/>
      <c r="BJ1080" s="6"/>
      <c r="BK1080" s="6"/>
      <c r="BL1080" s="6"/>
      <c r="BM1080" s="6"/>
      <c r="BN1080" s="6"/>
      <c r="BO1080" s="6"/>
      <c r="BP1080" s="6"/>
      <c r="BQ1080" s="6"/>
      <c r="BR1080" s="6"/>
      <c r="BS1080" s="6"/>
      <c r="BT1080" s="6"/>
      <c r="BU1080" s="6"/>
      <c r="BV1080" s="6"/>
      <c r="BW1080" s="6"/>
      <c r="BX1080" s="6"/>
      <c r="BY1080" s="6"/>
      <c r="BZ1080" s="6"/>
      <c r="CA1080" s="6"/>
      <c r="CB1080" s="6"/>
      <c r="CC1080" s="6"/>
    </row>
    <row r="1081" spans="2:81" x14ac:dyDescent="0.2">
      <c r="B1081" s="68"/>
      <c r="C1081" s="69"/>
      <c r="D1081" s="70"/>
      <c r="F1081" s="68"/>
      <c r="G1081" s="69"/>
      <c r="H1081" s="70"/>
      <c r="J1081" s="71"/>
      <c r="K1081" s="71"/>
      <c r="L1081" s="67"/>
      <c r="N1081" s="71"/>
      <c r="O1081" s="71"/>
      <c r="P1081" s="67"/>
      <c r="R1081" s="67"/>
      <c r="S1081" s="6"/>
      <c r="T1081" s="6"/>
      <c r="U1081" s="6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  <c r="AG1081" s="6"/>
      <c r="AH1081" s="6"/>
      <c r="AI1081" s="6"/>
      <c r="AJ1081" s="6"/>
      <c r="AK1081" s="6"/>
      <c r="AL1081" s="6"/>
      <c r="AM1081" s="6"/>
      <c r="AN1081" s="6"/>
      <c r="AO1081" s="6"/>
      <c r="AP1081" s="6"/>
      <c r="AQ1081" s="6"/>
      <c r="AR1081" s="6"/>
      <c r="AS1081" s="6"/>
      <c r="AT1081" s="6"/>
      <c r="AU1081" s="6"/>
      <c r="AV1081" s="6"/>
      <c r="AW1081" s="6"/>
      <c r="AX1081" s="6"/>
      <c r="AY1081" s="6"/>
      <c r="AZ1081" s="6"/>
      <c r="BA1081" s="6"/>
      <c r="BB1081" s="6"/>
      <c r="BC1081" s="6"/>
      <c r="BD1081" s="6"/>
      <c r="BE1081" s="6"/>
      <c r="BF1081" s="6"/>
      <c r="BG1081" s="6"/>
      <c r="BH1081" s="6"/>
      <c r="BI1081" s="6"/>
      <c r="BJ1081" s="6"/>
      <c r="BK1081" s="6"/>
      <c r="BL1081" s="6"/>
      <c r="BM1081" s="6"/>
      <c r="BN1081" s="6"/>
      <c r="BO1081" s="6"/>
      <c r="BP1081" s="6"/>
      <c r="BQ1081" s="6"/>
      <c r="BR1081" s="6"/>
      <c r="BS1081" s="6"/>
      <c r="BT1081" s="6"/>
      <c r="BU1081" s="6"/>
      <c r="BV1081" s="6"/>
      <c r="BW1081" s="6"/>
      <c r="BX1081" s="6"/>
      <c r="BY1081" s="6"/>
      <c r="BZ1081" s="6"/>
      <c r="CA1081" s="6"/>
      <c r="CB1081" s="6"/>
      <c r="CC1081" s="6"/>
    </row>
    <row r="1082" spans="2:81" x14ac:dyDescent="0.2">
      <c r="B1082" s="68"/>
      <c r="C1082" s="69"/>
      <c r="D1082" s="70"/>
      <c r="F1082" s="68"/>
      <c r="G1082" s="69"/>
      <c r="H1082" s="70"/>
      <c r="J1082" s="71"/>
      <c r="K1082" s="71"/>
      <c r="L1082" s="67"/>
      <c r="N1082" s="71"/>
      <c r="O1082" s="71"/>
      <c r="P1082" s="67"/>
      <c r="R1082" s="67"/>
      <c r="S1082" s="6"/>
      <c r="T1082" s="6"/>
      <c r="U1082" s="6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  <c r="AG1082" s="6"/>
      <c r="AH1082" s="6"/>
      <c r="AI1082" s="6"/>
      <c r="AJ1082" s="6"/>
      <c r="AK1082" s="6"/>
      <c r="AL1082" s="6"/>
      <c r="AM1082" s="6"/>
      <c r="AN1082" s="6"/>
      <c r="AO1082" s="6"/>
      <c r="AP1082" s="6"/>
      <c r="AQ1082" s="6"/>
      <c r="AR1082" s="6"/>
      <c r="AS1082" s="6"/>
      <c r="AT1082" s="6"/>
      <c r="AU1082" s="6"/>
      <c r="AV1082" s="6"/>
      <c r="AW1082" s="6"/>
      <c r="AX1082" s="6"/>
      <c r="AY1082" s="6"/>
      <c r="AZ1082" s="6"/>
      <c r="BA1082" s="6"/>
      <c r="BB1082" s="6"/>
      <c r="BC1082" s="6"/>
      <c r="BD1082" s="6"/>
      <c r="BE1082" s="6"/>
      <c r="BF1082" s="6"/>
      <c r="BG1082" s="6"/>
      <c r="BH1082" s="6"/>
      <c r="BI1082" s="6"/>
      <c r="BJ1082" s="6"/>
      <c r="BK1082" s="6"/>
      <c r="BL1082" s="6"/>
      <c r="BM1082" s="6"/>
      <c r="BN1082" s="6"/>
      <c r="BO1082" s="6"/>
      <c r="BP1082" s="6"/>
      <c r="BQ1082" s="6"/>
      <c r="BR1082" s="6"/>
      <c r="BS1082" s="6"/>
      <c r="BT1082" s="6"/>
      <c r="BU1082" s="6"/>
      <c r="BV1082" s="6"/>
      <c r="BW1082" s="6"/>
      <c r="BX1082" s="6"/>
      <c r="BY1082" s="6"/>
      <c r="BZ1082" s="6"/>
      <c r="CA1082" s="6"/>
      <c r="CB1082" s="6"/>
      <c r="CC1082" s="6"/>
    </row>
    <row r="1083" spans="2:81" x14ac:dyDescent="0.2">
      <c r="B1083" s="68"/>
      <c r="C1083" s="69"/>
      <c r="D1083" s="70"/>
      <c r="F1083" s="68"/>
      <c r="G1083" s="69"/>
      <c r="H1083" s="70"/>
      <c r="J1083" s="71"/>
      <c r="K1083" s="71"/>
      <c r="L1083" s="67"/>
      <c r="N1083" s="71"/>
      <c r="O1083" s="71"/>
      <c r="P1083" s="67"/>
      <c r="R1083" s="67"/>
      <c r="S1083" s="6"/>
      <c r="T1083" s="6"/>
      <c r="U1083" s="6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  <c r="AG1083" s="6"/>
      <c r="AH1083" s="6"/>
      <c r="AI1083" s="6"/>
      <c r="AJ1083" s="6"/>
      <c r="AK1083" s="6"/>
      <c r="AL1083" s="6"/>
      <c r="AM1083" s="6"/>
      <c r="AN1083" s="6"/>
      <c r="AO1083" s="6"/>
      <c r="AP1083" s="6"/>
      <c r="AQ1083" s="6"/>
      <c r="AR1083" s="6"/>
      <c r="AS1083" s="6"/>
      <c r="AT1083" s="6"/>
      <c r="AU1083" s="6"/>
      <c r="AV1083" s="6"/>
      <c r="AW1083" s="6"/>
      <c r="AX1083" s="6"/>
      <c r="AY1083" s="6"/>
      <c r="AZ1083" s="6"/>
      <c r="BA1083" s="6"/>
      <c r="BB1083" s="6"/>
      <c r="BC1083" s="6"/>
      <c r="BD1083" s="6"/>
      <c r="BE1083" s="6"/>
      <c r="BF1083" s="6"/>
      <c r="BG1083" s="6"/>
      <c r="BH1083" s="6"/>
      <c r="BI1083" s="6"/>
      <c r="BJ1083" s="6"/>
      <c r="BK1083" s="6"/>
      <c r="BL1083" s="6"/>
      <c r="BM1083" s="6"/>
      <c r="BN1083" s="6"/>
      <c r="BO1083" s="6"/>
      <c r="BP1083" s="6"/>
      <c r="BQ1083" s="6"/>
      <c r="BR1083" s="6"/>
      <c r="BS1083" s="6"/>
      <c r="BT1083" s="6"/>
      <c r="BU1083" s="6"/>
      <c r="BV1083" s="6"/>
      <c r="BW1083" s="6"/>
      <c r="BX1083" s="6"/>
      <c r="BY1083" s="6"/>
      <c r="BZ1083" s="6"/>
      <c r="CA1083" s="6"/>
      <c r="CB1083" s="6"/>
      <c r="CC1083" s="6"/>
    </row>
    <row r="1084" spans="2:81" x14ac:dyDescent="0.2">
      <c r="B1084" s="68"/>
      <c r="C1084" s="69"/>
      <c r="D1084" s="70"/>
      <c r="F1084" s="68"/>
      <c r="G1084" s="69"/>
      <c r="H1084" s="70"/>
      <c r="J1084" s="71"/>
      <c r="K1084" s="71"/>
      <c r="L1084" s="67"/>
      <c r="N1084" s="71"/>
      <c r="O1084" s="71"/>
      <c r="P1084" s="67"/>
      <c r="R1084" s="67"/>
      <c r="S1084" s="6"/>
      <c r="T1084" s="6"/>
      <c r="U1084" s="6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  <c r="AG1084" s="6"/>
      <c r="AH1084" s="6"/>
      <c r="AI1084" s="6"/>
      <c r="AJ1084" s="6"/>
      <c r="AK1084" s="6"/>
      <c r="AL1084" s="6"/>
      <c r="AM1084" s="6"/>
      <c r="AN1084" s="6"/>
      <c r="AO1084" s="6"/>
      <c r="AP1084" s="6"/>
      <c r="AQ1084" s="6"/>
      <c r="AR1084" s="6"/>
      <c r="AS1084" s="6"/>
      <c r="AT1084" s="6"/>
      <c r="AU1084" s="6"/>
      <c r="AV1084" s="6"/>
      <c r="AW1084" s="6"/>
      <c r="AX1084" s="6"/>
      <c r="AY1084" s="6"/>
      <c r="AZ1084" s="6"/>
      <c r="BA1084" s="6"/>
      <c r="BB1084" s="6"/>
      <c r="BC1084" s="6"/>
      <c r="BD1084" s="6"/>
      <c r="BE1084" s="6"/>
      <c r="BF1084" s="6"/>
      <c r="BG1084" s="6"/>
      <c r="BH1084" s="6"/>
      <c r="BI1084" s="6"/>
      <c r="BJ1084" s="6"/>
      <c r="BK1084" s="6"/>
      <c r="BL1084" s="6"/>
      <c r="BM1084" s="6"/>
      <c r="BN1084" s="6"/>
      <c r="BO1084" s="6"/>
      <c r="BP1084" s="6"/>
      <c r="BQ1084" s="6"/>
      <c r="BR1084" s="6"/>
      <c r="BS1084" s="6"/>
      <c r="BT1084" s="6"/>
      <c r="BU1084" s="6"/>
      <c r="BV1084" s="6"/>
      <c r="BW1084" s="6"/>
      <c r="BX1084" s="6"/>
      <c r="BY1084" s="6"/>
      <c r="BZ1084" s="6"/>
      <c r="CA1084" s="6"/>
      <c r="CB1084" s="6"/>
      <c r="CC1084" s="6"/>
    </row>
    <row r="1085" spans="2:81" x14ac:dyDescent="0.2">
      <c r="B1085" s="68"/>
      <c r="C1085" s="69"/>
      <c r="D1085" s="70"/>
      <c r="F1085" s="68"/>
      <c r="G1085" s="69"/>
      <c r="H1085" s="70"/>
      <c r="J1085" s="71"/>
      <c r="K1085" s="71"/>
      <c r="L1085" s="67"/>
      <c r="N1085" s="71"/>
      <c r="O1085" s="71"/>
      <c r="P1085" s="67"/>
      <c r="R1085" s="67"/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6"/>
      <c r="AK1085" s="6"/>
      <c r="AL1085" s="6"/>
      <c r="AM1085" s="6"/>
      <c r="AN1085" s="6"/>
      <c r="AO1085" s="6"/>
      <c r="AP1085" s="6"/>
      <c r="AQ1085" s="6"/>
      <c r="AR1085" s="6"/>
      <c r="AS1085" s="6"/>
      <c r="AT1085" s="6"/>
      <c r="AU1085" s="6"/>
      <c r="AV1085" s="6"/>
      <c r="AW1085" s="6"/>
      <c r="AX1085" s="6"/>
      <c r="AY1085" s="6"/>
      <c r="AZ1085" s="6"/>
      <c r="BA1085" s="6"/>
      <c r="BB1085" s="6"/>
      <c r="BC1085" s="6"/>
      <c r="BD1085" s="6"/>
      <c r="BE1085" s="6"/>
      <c r="BF1085" s="6"/>
      <c r="BG1085" s="6"/>
      <c r="BH1085" s="6"/>
      <c r="BI1085" s="6"/>
      <c r="BJ1085" s="6"/>
      <c r="BK1085" s="6"/>
      <c r="BL1085" s="6"/>
      <c r="BM1085" s="6"/>
      <c r="BN1085" s="6"/>
      <c r="BO1085" s="6"/>
      <c r="BP1085" s="6"/>
      <c r="BQ1085" s="6"/>
      <c r="BR1085" s="6"/>
      <c r="BS1085" s="6"/>
      <c r="BT1085" s="6"/>
      <c r="BU1085" s="6"/>
      <c r="BV1085" s="6"/>
      <c r="BW1085" s="6"/>
      <c r="BX1085" s="6"/>
      <c r="BY1085" s="6"/>
      <c r="BZ1085" s="6"/>
      <c r="CA1085" s="6"/>
      <c r="CB1085" s="6"/>
      <c r="CC1085" s="6"/>
    </row>
    <row r="1086" spans="2:81" x14ac:dyDescent="0.2">
      <c r="B1086" s="68"/>
      <c r="C1086" s="69"/>
      <c r="D1086" s="70"/>
      <c r="F1086" s="68"/>
      <c r="G1086" s="69"/>
      <c r="H1086" s="70"/>
      <c r="J1086" s="71"/>
      <c r="K1086" s="71"/>
      <c r="L1086" s="67"/>
      <c r="N1086" s="71"/>
      <c r="O1086" s="71"/>
      <c r="P1086" s="67"/>
      <c r="R1086" s="67"/>
      <c r="S1086" s="6"/>
      <c r="T1086" s="6"/>
      <c r="U1086" s="6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  <c r="AG1086" s="6"/>
      <c r="AH1086" s="6"/>
      <c r="AI1086" s="6"/>
      <c r="AJ1086" s="6"/>
      <c r="AK1086" s="6"/>
      <c r="AL1086" s="6"/>
      <c r="AM1086" s="6"/>
      <c r="AN1086" s="6"/>
      <c r="AO1086" s="6"/>
      <c r="AP1086" s="6"/>
      <c r="AQ1086" s="6"/>
      <c r="AR1086" s="6"/>
      <c r="AS1086" s="6"/>
      <c r="AT1086" s="6"/>
      <c r="AU1086" s="6"/>
      <c r="AV1086" s="6"/>
      <c r="AW1086" s="6"/>
      <c r="AX1086" s="6"/>
      <c r="AY1086" s="6"/>
      <c r="AZ1086" s="6"/>
      <c r="BA1086" s="6"/>
      <c r="BB1086" s="6"/>
      <c r="BC1086" s="6"/>
      <c r="BD1086" s="6"/>
      <c r="BE1086" s="6"/>
      <c r="BF1086" s="6"/>
      <c r="BG1086" s="6"/>
      <c r="BH1086" s="6"/>
      <c r="BI1086" s="6"/>
      <c r="BJ1086" s="6"/>
      <c r="BK1086" s="6"/>
      <c r="BL1086" s="6"/>
      <c r="BM1086" s="6"/>
      <c r="BN1086" s="6"/>
      <c r="BO1086" s="6"/>
      <c r="BP1086" s="6"/>
      <c r="BQ1086" s="6"/>
      <c r="BR1086" s="6"/>
      <c r="BS1086" s="6"/>
      <c r="BT1086" s="6"/>
      <c r="BU1086" s="6"/>
      <c r="BV1086" s="6"/>
      <c r="BW1086" s="6"/>
      <c r="BX1086" s="6"/>
      <c r="BY1086" s="6"/>
      <c r="BZ1086" s="6"/>
      <c r="CA1086" s="6"/>
      <c r="CB1086" s="6"/>
      <c r="CC1086" s="6"/>
    </row>
    <row r="1087" spans="2:81" x14ac:dyDescent="0.2">
      <c r="B1087" s="68"/>
      <c r="C1087" s="69"/>
      <c r="D1087" s="70"/>
      <c r="F1087" s="68"/>
      <c r="G1087" s="69"/>
      <c r="H1087" s="70"/>
      <c r="J1087" s="71"/>
      <c r="K1087" s="71"/>
      <c r="L1087" s="67"/>
      <c r="N1087" s="71"/>
      <c r="O1087" s="71"/>
      <c r="P1087" s="67"/>
      <c r="R1087" s="67"/>
      <c r="S1087" s="6"/>
      <c r="T1087" s="6"/>
      <c r="U1087" s="6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  <c r="AG1087" s="6"/>
      <c r="AH1087" s="6"/>
      <c r="AI1087" s="6"/>
      <c r="AJ1087" s="6"/>
      <c r="AK1087" s="6"/>
      <c r="AL1087" s="6"/>
      <c r="AM1087" s="6"/>
      <c r="AN1087" s="6"/>
      <c r="AO1087" s="6"/>
      <c r="AP1087" s="6"/>
      <c r="AQ1087" s="6"/>
      <c r="AR1087" s="6"/>
      <c r="AS1087" s="6"/>
      <c r="AT1087" s="6"/>
      <c r="AU1087" s="6"/>
      <c r="AV1087" s="6"/>
      <c r="AW1087" s="6"/>
      <c r="AX1087" s="6"/>
      <c r="AY1087" s="6"/>
      <c r="AZ1087" s="6"/>
      <c r="BA1087" s="6"/>
      <c r="BB1087" s="6"/>
      <c r="BC1087" s="6"/>
      <c r="BD1087" s="6"/>
      <c r="BE1087" s="6"/>
      <c r="BF1087" s="6"/>
      <c r="BG1087" s="6"/>
      <c r="BH1087" s="6"/>
      <c r="BI1087" s="6"/>
      <c r="BJ1087" s="6"/>
      <c r="BK1087" s="6"/>
      <c r="BL1087" s="6"/>
      <c r="BM1087" s="6"/>
      <c r="BN1087" s="6"/>
      <c r="BO1087" s="6"/>
      <c r="BP1087" s="6"/>
      <c r="BQ1087" s="6"/>
      <c r="BR1087" s="6"/>
      <c r="BS1087" s="6"/>
      <c r="BT1087" s="6"/>
      <c r="BU1087" s="6"/>
      <c r="BV1087" s="6"/>
      <c r="BW1087" s="6"/>
      <c r="BX1087" s="6"/>
      <c r="BY1087" s="6"/>
      <c r="BZ1087" s="6"/>
      <c r="CA1087" s="6"/>
      <c r="CB1087" s="6"/>
      <c r="CC1087" s="6"/>
    </row>
    <row r="1088" spans="2:81" x14ac:dyDescent="0.2">
      <c r="B1088" s="68"/>
      <c r="C1088" s="69"/>
      <c r="D1088" s="70"/>
      <c r="F1088" s="68"/>
      <c r="G1088" s="69"/>
      <c r="H1088" s="70"/>
      <c r="J1088" s="71"/>
      <c r="K1088" s="71"/>
      <c r="L1088" s="67"/>
      <c r="N1088" s="71"/>
      <c r="O1088" s="71"/>
      <c r="P1088" s="67"/>
      <c r="R1088" s="67"/>
      <c r="S1088" s="6"/>
      <c r="T1088" s="6"/>
      <c r="U1088" s="6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  <c r="AG1088" s="6"/>
      <c r="AH1088" s="6"/>
      <c r="AI1088" s="6"/>
      <c r="AJ1088" s="6"/>
      <c r="AK1088" s="6"/>
      <c r="AL1088" s="6"/>
      <c r="AM1088" s="6"/>
      <c r="AN1088" s="6"/>
      <c r="AO1088" s="6"/>
      <c r="AP1088" s="6"/>
      <c r="AQ1088" s="6"/>
      <c r="AR1088" s="6"/>
      <c r="AS1088" s="6"/>
      <c r="AT1088" s="6"/>
      <c r="AU1088" s="6"/>
      <c r="AV1088" s="6"/>
      <c r="AW1088" s="6"/>
      <c r="AX1088" s="6"/>
      <c r="AY1088" s="6"/>
      <c r="AZ1088" s="6"/>
      <c r="BA1088" s="6"/>
      <c r="BB1088" s="6"/>
      <c r="BC1088" s="6"/>
      <c r="BD1088" s="6"/>
      <c r="BE1088" s="6"/>
      <c r="BF1088" s="6"/>
      <c r="BG1088" s="6"/>
      <c r="BH1088" s="6"/>
      <c r="BI1088" s="6"/>
      <c r="BJ1088" s="6"/>
      <c r="BK1088" s="6"/>
      <c r="BL1088" s="6"/>
      <c r="BM1088" s="6"/>
      <c r="BN1088" s="6"/>
      <c r="BO1088" s="6"/>
      <c r="BP1088" s="6"/>
      <c r="BQ1088" s="6"/>
      <c r="BR1088" s="6"/>
      <c r="BS1088" s="6"/>
      <c r="BT1088" s="6"/>
      <c r="BU1088" s="6"/>
      <c r="BV1088" s="6"/>
      <c r="BW1088" s="6"/>
      <c r="BX1088" s="6"/>
      <c r="BY1088" s="6"/>
      <c r="BZ1088" s="6"/>
      <c r="CA1088" s="6"/>
      <c r="CB1088" s="6"/>
      <c r="CC1088" s="6"/>
    </row>
    <row r="1089" spans="2:81" x14ac:dyDescent="0.2">
      <c r="B1089" s="68"/>
      <c r="C1089" s="69"/>
      <c r="D1089" s="70"/>
      <c r="F1089" s="68"/>
      <c r="G1089" s="69"/>
      <c r="H1089" s="70"/>
      <c r="J1089" s="71"/>
      <c r="K1089" s="71"/>
      <c r="L1089" s="67"/>
      <c r="N1089" s="71"/>
      <c r="O1089" s="71"/>
      <c r="P1089" s="67"/>
      <c r="R1089" s="67"/>
      <c r="S1089" s="6"/>
      <c r="T1089" s="6"/>
      <c r="U1089" s="6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  <c r="AG1089" s="6"/>
      <c r="AH1089" s="6"/>
      <c r="AI1089" s="6"/>
      <c r="AJ1089" s="6"/>
      <c r="AK1089" s="6"/>
      <c r="AL1089" s="6"/>
      <c r="AM1089" s="6"/>
      <c r="AN1089" s="6"/>
      <c r="AO1089" s="6"/>
      <c r="AP1089" s="6"/>
      <c r="AQ1089" s="6"/>
      <c r="AR1089" s="6"/>
      <c r="AS1089" s="6"/>
      <c r="AT1089" s="6"/>
      <c r="AU1089" s="6"/>
      <c r="AV1089" s="6"/>
      <c r="AW1089" s="6"/>
      <c r="AX1089" s="6"/>
      <c r="AY1089" s="6"/>
      <c r="AZ1089" s="6"/>
      <c r="BA1089" s="6"/>
      <c r="BB1089" s="6"/>
      <c r="BC1089" s="6"/>
      <c r="BD1089" s="6"/>
      <c r="BE1089" s="6"/>
      <c r="BF1089" s="6"/>
      <c r="BG1089" s="6"/>
      <c r="BH1089" s="6"/>
      <c r="BI1089" s="6"/>
      <c r="BJ1089" s="6"/>
      <c r="BK1089" s="6"/>
      <c r="BL1089" s="6"/>
      <c r="BM1089" s="6"/>
      <c r="BN1089" s="6"/>
      <c r="BO1089" s="6"/>
      <c r="BP1089" s="6"/>
      <c r="BQ1089" s="6"/>
      <c r="BR1089" s="6"/>
      <c r="BS1089" s="6"/>
      <c r="BT1089" s="6"/>
      <c r="BU1089" s="6"/>
      <c r="BV1089" s="6"/>
      <c r="BW1089" s="6"/>
      <c r="BX1089" s="6"/>
      <c r="BY1089" s="6"/>
      <c r="BZ1089" s="6"/>
      <c r="CA1089" s="6"/>
      <c r="CB1089" s="6"/>
      <c r="CC1089" s="6"/>
    </row>
    <row r="1090" spans="2:81" x14ac:dyDescent="0.2">
      <c r="B1090" s="68"/>
      <c r="C1090" s="69"/>
      <c r="D1090" s="70"/>
      <c r="F1090" s="68"/>
      <c r="G1090" s="69"/>
      <c r="H1090" s="70"/>
      <c r="J1090" s="71"/>
      <c r="K1090" s="71"/>
      <c r="L1090" s="67"/>
      <c r="N1090" s="71"/>
      <c r="O1090" s="71"/>
      <c r="P1090" s="67"/>
      <c r="R1090" s="67"/>
      <c r="S1090" s="6"/>
      <c r="T1090" s="6"/>
      <c r="U1090" s="6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  <c r="AG1090" s="6"/>
      <c r="AH1090" s="6"/>
      <c r="AI1090" s="6"/>
      <c r="AJ1090" s="6"/>
      <c r="AK1090" s="6"/>
      <c r="AL1090" s="6"/>
      <c r="AM1090" s="6"/>
      <c r="AN1090" s="6"/>
      <c r="AO1090" s="6"/>
      <c r="AP1090" s="6"/>
      <c r="AQ1090" s="6"/>
      <c r="AR1090" s="6"/>
      <c r="AS1090" s="6"/>
      <c r="AT1090" s="6"/>
      <c r="AU1090" s="6"/>
      <c r="AV1090" s="6"/>
      <c r="AW1090" s="6"/>
      <c r="AX1090" s="6"/>
      <c r="AY1090" s="6"/>
      <c r="AZ1090" s="6"/>
      <c r="BA1090" s="6"/>
      <c r="BB1090" s="6"/>
      <c r="BC1090" s="6"/>
      <c r="BD1090" s="6"/>
      <c r="BE1090" s="6"/>
      <c r="BF1090" s="6"/>
      <c r="BG1090" s="6"/>
      <c r="BH1090" s="6"/>
      <c r="BI1090" s="6"/>
      <c r="BJ1090" s="6"/>
      <c r="BK1090" s="6"/>
      <c r="BL1090" s="6"/>
      <c r="BM1090" s="6"/>
      <c r="BN1090" s="6"/>
      <c r="BO1090" s="6"/>
      <c r="BP1090" s="6"/>
      <c r="BQ1090" s="6"/>
      <c r="BR1090" s="6"/>
      <c r="BS1090" s="6"/>
      <c r="BT1090" s="6"/>
      <c r="BU1090" s="6"/>
      <c r="BV1090" s="6"/>
      <c r="BW1090" s="6"/>
      <c r="BX1090" s="6"/>
      <c r="BY1090" s="6"/>
      <c r="BZ1090" s="6"/>
      <c r="CA1090" s="6"/>
      <c r="CB1090" s="6"/>
      <c r="CC1090" s="6"/>
    </row>
    <row r="1091" spans="2:81" x14ac:dyDescent="0.2">
      <c r="B1091" s="68"/>
      <c r="C1091" s="69"/>
      <c r="D1091" s="70"/>
      <c r="F1091" s="68"/>
      <c r="G1091" s="69"/>
      <c r="H1091" s="70"/>
      <c r="J1091" s="71"/>
      <c r="K1091" s="71"/>
      <c r="L1091" s="67"/>
      <c r="N1091" s="71"/>
      <c r="O1091" s="71"/>
      <c r="P1091" s="67"/>
      <c r="R1091" s="67"/>
      <c r="S1091" s="6"/>
      <c r="T1091" s="6"/>
      <c r="U1091" s="6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  <c r="AG1091" s="6"/>
      <c r="AH1091" s="6"/>
      <c r="AI1091" s="6"/>
      <c r="AJ1091" s="6"/>
      <c r="AK1091" s="6"/>
      <c r="AL1091" s="6"/>
      <c r="AM1091" s="6"/>
      <c r="AN1091" s="6"/>
      <c r="AO1091" s="6"/>
      <c r="AP1091" s="6"/>
      <c r="AQ1091" s="6"/>
      <c r="AR1091" s="6"/>
      <c r="AS1091" s="6"/>
      <c r="AT1091" s="6"/>
      <c r="AU1091" s="6"/>
      <c r="AV1091" s="6"/>
      <c r="AW1091" s="6"/>
      <c r="AX1091" s="6"/>
      <c r="AY1091" s="6"/>
      <c r="AZ1091" s="6"/>
      <c r="BA1091" s="6"/>
      <c r="BB1091" s="6"/>
      <c r="BC1091" s="6"/>
      <c r="BD1091" s="6"/>
      <c r="BE1091" s="6"/>
      <c r="BF1091" s="6"/>
      <c r="BG1091" s="6"/>
      <c r="BH1091" s="6"/>
      <c r="BI1091" s="6"/>
      <c r="BJ1091" s="6"/>
      <c r="BK1091" s="6"/>
      <c r="BL1091" s="6"/>
      <c r="BM1091" s="6"/>
      <c r="BN1091" s="6"/>
      <c r="BO1091" s="6"/>
      <c r="BP1091" s="6"/>
      <c r="BQ1091" s="6"/>
      <c r="BR1091" s="6"/>
      <c r="BS1091" s="6"/>
      <c r="BT1091" s="6"/>
      <c r="BU1091" s="6"/>
      <c r="BV1091" s="6"/>
      <c r="BW1091" s="6"/>
      <c r="BX1091" s="6"/>
      <c r="BY1091" s="6"/>
      <c r="BZ1091" s="6"/>
      <c r="CA1091" s="6"/>
      <c r="CB1091" s="6"/>
      <c r="CC1091" s="6"/>
    </row>
    <row r="1092" spans="2:81" x14ac:dyDescent="0.2">
      <c r="B1092" s="68"/>
      <c r="C1092" s="69"/>
      <c r="D1092" s="70"/>
      <c r="F1092" s="68"/>
      <c r="G1092" s="69"/>
      <c r="H1092" s="70"/>
      <c r="J1092" s="71"/>
      <c r="K1092" s="71"/>
      <c r="L1092" s="67"/>
      <c r="N1092" s="71"/>
      <c r="O1092" s="71"/>
      <c r="P1092" s="67"/>
      <c r="R1092" s="67"/>
      <c r="S1092" s="6"/>
      <c r="T1092" s="6"/>
      <c r="U1092" s="6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  <c r="AG1092" s="6"/>
      <c r="AH1092" s="6"/>
      <c r="AI1092" s="6"/>
      <c r="AJ1092" s="6"/>
      <c r="AK1092" s="6"/>
      <c r="AL1092" s="6"/>
      <c r="AM1092" s="6"/>
      <c r="AN1092" s="6"/>
      <c r="AO1092" s="6"/>
      <c r="AP1092" s="6"/>
      <c r="AQ1092" s="6"/>
      <c r="AR1092" s="6"/>
      <c r="AS1092" s="6"/>
      <c r="AT1092" s="6"/>
      <c r="AU1092" s="6"/>
      <c r="AV1092" s="6"/>
      <c r="AW1092" s="6"/>
      <c r="AX1092" s="6"/>
      <c r="AY1092" s="6"/>
      <c r="AZ1092" s="6"/>
      <c r="BA1092" s="6"/>
      <c r="BB1092" s="6"/>
      <c r="BC1092" s="6"/>
      <c r="BD1092" s="6"/>
      <c r="BE1092" s="6"/>
      <c r="BF1092" s="6"/>
      <c r="BG1092" s="6"/>
      <c r="BH1092" s="6"/>
      <c r="BI1092" s="6"/>
      <c r="BJ1092" s="6"/>
      <c r="BK1092" s="6"/>
      <c r="BL1092" s="6"/>
      <c r="BM1092" s="6"/>
      <c r="BN1092" s="6"/>
      <c r="BO1092" s="6"/>
      <c r="BP1092" s="6"/>
      <c r="BQ1092" s="6"/>
      <c r="BR1092" s="6"/>
      <c r="BS1092" s="6"/>
      <c r="BT1092" s="6"/>
      <c r="BU1092" s="6"/>
      <c r="BV1092" s="6"/>
      <c r="BW1092" s="6"/>
      <c r="BX1092" s="6"/>
      <c r="BY1092" s="6"/>
      <c r="BZ1092" s="6"/>
      <c r="CA1092" s="6"/>
      <c r="CB1092" s="6"/>
      <c r="CC1092" s="6"/>
    </row>
    <row r="1093" spans="2:81" x14ac:dyDescent="0.2">
      <c r="B1093" s="68"/>
      <c r="C1093" s="69"/>
      <c r="D1093" s="70"/>
      <c r="F1093" s="68"/>
      <c r="G1093" s="69"/>
      <c r="H1093" s="70"/>
      <c r="J1093" s="71"/>
      <c r="K1093" s="71"/>
      <c r="L1093" s="67"/>
      <c r="N1093" s="71"/>
      <c r="O1093" s="71"/>
      <c r="P1093" s="67"/>
      <c r="R1093" s="67"/>
      <c r="S1093" s="6"/>
      <c r="T1093" s="6"/>
      <c r="U1093" s="6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  <c r="AG1093" s="6"/>
      <c r="AH1093" s="6"/>
      <c r="AI1093" s="6"/>
      <c r="AJ1093" s="6"/>
      <c r="AK1093" s="6"/>
      <c r="AL1093" s="6"/>
      <c r="AM1093" s="6"/>
      <c r="AN1093" s="6"/>
      <c r="AO1093" s="6"/>
      <c r="AP1093" s="6"/>
      <c r="AQ1093" s="6"/>
      <c r="AR1093" s="6"/>
      <c r="AS1093" s="6"/>
      <c r="AT1093" s="6"/>
      <c r="AU1093" s="6"/>
      <c r="AV1093" s="6"/>
      <c r="AW1093" s="6"/>
      <c r="AX1093" s="6"/>
      <c r="AY1093" s="6"/>
      <c r="AZ1093" s="6"/>
      <c r="BA1093" s="6"/>
      <c r="BB1093" s="6"/>
      <c r="BC1093" s="6"/>
      <c r="BD1093" s="6"/>
      <c r="BE1093" s="6"/>
      <c r="BF1093" s="6"/>
      <c r="BG1093" s="6"/>
      <c r="BH1093" s="6"/>
      <c r="BI1093" s="6"/>
      <c r="BJ1093" s="6"/>
      <c r="BK1093" s="6"/>
      <c r="BL1093" s="6"/>
      <c r="BM1093" s="6"/>
      <c r="BN1093" s="6"/>
      <c r="BO1093" s="6"/>
      <c r="BP1093" s="6"/>
      <c r="BQ1093" s="6"/>
      <c r="BR1093" s="6"/>
      <c r="BS1093" s="6"/>
      <c r="BT1093" s="6"/>
      <c r="BU1093" s="6"/>
      <c r="BV1093" s="6"/>
      <c r="BW1093" s="6"/>
      <c r="BX1093" s="6"/>
      <c r="BY1093" s="6"/>
      <c r="BZ1093" s="6"/>
      <c r="CA1093" s="6"/>
      <c r="CB1093" s="6"/>
      <c r="CC1093" s="6"/>
    </row>
    <row r="1094" spans="2:81" x14ac:dyDescent="0.2">
      <c r="B1094" s="68"/>
      <c r="C1094" s="69"/>
      <c r="D1094" s="70"/>
      <c r="F1094" s="68"/>
      <c r="G1094" s="69"/>
      <c r="H1094" s="70"/>
      <c r="J1094" s="71"/>
      <c r="K1094" s="71"/>
      <c r="L1094" s="67"/>
      <c r="N1094" s="71"/>
      <c r="O1094" s="71"/>
      <c r="P1094" s="67"/>
      <c r="R1094" s="67"/>
      <c r="S1094" s="6"/>
      <c r="T1094" s="6"/>
      <c r="U1094" s="6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  <c r="AG1094" s="6"/>
      <c r="AH1094" s="6"/>
      <c r="AI1094" s="6"/>
      <c r="AJ1094" s="6"/>
      <c r="AK1094" s="6"/>
      <c r="AL1094" s="6"/>
      <c r="AM1094" s="6"/>
      <c r="AN1094" s="6"/>
      <c r="AO1094" s="6"/>
      <c r="AP1094" s="6"/>
      <c r="AQ1094" s="6"/>
      <c r="AR1094" s="6"/>
      <c r="AS1094" s="6"/>
      <c r="AT1094" s="6"/>
      <c r="AU1094" s="6"/>
      <c r="AV1094" s="6"/>
      <c r="AW1094" s="6"/>
      <c r="AX1094" s="6"/>
      <c r="AY1094" s="6"/>
      <c r="AZ1094" s="6"/>
      <c r="BA1094" s="6"/>
      <c r="BB1094" s="6"/>
      <c r="BC1094" s="6"/>
      <c r="BD1094" s="6"/>
      <c r="BE1094" s="6"/>
      <c r="BF1094" s="6"/>
      <c r="BG1094" s="6"/>
      <c r="BH1094" s="6"/>
      <c r="BI1094" s="6"/>
      <c r="BJ1094" s="6"/>
      <c r="BK1094" s="6"/>
      <c r="BL1094" s="6"/>
      <c r="BM1094" s="6"/>
      <c r="BN1094" s="6"/>
      <c r="BO1094" s="6"/>
      <c r="BP1094" s="6"/>
      <c r="BQ1094" s="6"/>
      <c r="BR1094" s="6"/>
      <c r="BS1094" s="6"/>
      <c r="BT1094" s="6"/>
      <c r="BU1094" s="6"/>
      <c r="BV1094" s="6"/>
      <c r="BW1094" s="6"/>
      <c r="BX1094" s="6"/>
      <c r="BY1094" s="6"/>
      <c r="BZ1094" s="6"/>
      <c r="CA1094" s="6"/>
      <c r="CB1094" s="6"/>
      <c r="CC1094" s="6"/>
    </row>
    <row r="1095" spans="2:81" x14ac:dyDescent="0.2">
      <c r="B1095" s="68"/>
      <c r="C1095" s="69"/>
      <c r="D1095" s="70"/>
      <c r="F1095" s="68"/>
      <c r="G1095" s="69"/>
      <c r="H1095" s="70"/>
      <c r="J1095" s="71"/>
      <c r="K1095" s="71"/>
      <c r="L1095" s="67"/>
      <c r="N1095" s="71"/>
      <c r="O1095" s="71"/>
      <c r="P1095" s="67"/>
      <c r="R1095" s="67"/>
      <c r="S1095" s="6"/>
      <c r="T1095" s="6"/>
      <c r="U1095" s="6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  <c r="AG1095" s="6"/>
      <c r="AH1095" s="6"/>
      <c r="AI1095" s="6"/>
      <c r="AJ1095" s="6"/>
      <c r="AK1095" s="6"/>
      <c r="AL1095" s="6"/>
      <c r="AM1095" s="6"/>
      <c r="AN1095" s="6"/>
      <c r="AO1095" s="6"/>
      <c r="AP1095" s="6"/>
      <c r="AQ1095" s="6"/>
      <c r="AR1095" s="6"/>
      <c r="AS1095" s="6"/>
      <c r="AT1095" s="6"/>
      <c r="AU1095" s="6"/>
      <c r="AV1095" s="6"/>
      <c r="AW1095" s="6"/>
      <c r="AX1095" s="6"/>
      <c r="AY1095" s="6"/>
      <c r="AZ1095" s="6"/>
      <c r="BA1095" s="6"/>
      <c r="BB1095" s="6"/>
      <c r="BC1095" s="6"/>
      <c r="BD1095" s="6"/>
      <c r="BE1095" s="6"/>
      <c r="BF1095" s="6"/>
      <c r="BG1095" s="6"/>
      <c r="BH1095" s="6"/>
      <c r="BI1095" s="6"/>
      <c r="BJ1095" s="6"/>
      <c r="BK1095" s="6"/>
      <c r="BL1095" s="6"/>
      <c r="BM1095" s="6"/>
      <c r="BN1095" s="6"/>
      <c r="BO1095" s="6"/>
      <c r="BP1095" s="6"/>
      <c r="BQ1095" s="6"/>
      <c r="BR1095" s="6"/>
      <c r="BS1095" s="6"/>
      <c r="BT1095" s="6"/>
      <c r="BU1095" s="6"/>
      <c r="BV1095" s="6"/>
      <c r="BW1095" s="6"/>
      <c r="BX1095" s="6"/>
      <c r="BY1095" s="6"/>
      <c r="BZ1095" s="6"/>
      <c r="CA1095" s="6"/>
      <c r="CB1095" s="6"/>
      <c r="CC1095" s="6"/>
    </row>
    <row r="1096" spans="2:81" x14ac:dyDescent="0.2">
      <c r="B1096" s="68"/>
      <c r="C1096" s="69"/>
      <c r="D1096" s="70"/>
      <c r="F1096" s="68"/>
      <c r="G1096" s="69"/>
      <c r="H1096" s="70"/>
      <c r="J1096" s="71"/>
      <c r="K1096" s="71"/>
      <c r="L1096" s="67"/>
      <c r="N1096" s="71"/>
      <c r="O1096" s="71"/>
      <c r="P1096" s="67"/>
      <c r="R1096" s="67"/>
      <c r="S1096" s="6"/>
      <c r="T1096" s="6"/>
      <c r="U1096" s="6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  <c r="AG1096" s="6"/>
      <c r="AH1096" s="6"/>
      <c r="AI1096" s="6"/>
      <c r="AJ1096" s="6"/>
      <c r="AK1096" s="6"/>
      <c r="AL1096" s="6"/>
      <c r="AM1096" s="6"/>
      <c r="AN1096" s="6"/>
      <c r="AO1096" s="6"/>
      <c r="AP1096" s="6"/>
      <c r="AQ1096" s="6"/>
      <c r="AR1096" s="6"/>
      <c r="AS1096" s="6"/>
      <c r="AT1096" s="6"/>
      <c r="AU1096" s="6"/>
      <c r="AV1096" s="6"/>
      <c r="AW1096" s="6"/>
      <c r="AX1096" s="6"/>
      <c r="AY1096" s="6"/>
      <c r="AZ1096" s="6"/>
      <c r="BA1096" s="6"/>
      <c r="BB1096" s="6"/>
      <c r="BC1096" s="6"/>
      <c r="BD1096" s="6"/>
      <c r="BE1096" s="6"/>
      <c r="BF1096" s="6"/>
      <c r="BG1096" s="6"/>
      <c r="BH1096" s="6"/>
      <c r="BI1096" s="6"/>
      <c r="BJ1096" s="6"/>
      <c r="BK1096" s="6"/>
      <c r="BL1096" s="6"/>
      <c r="BM1096" s="6"/>
      <c r="BN1096" s="6"/>
      <c r="BO1096" s="6"/>
      <c r="BP1096" s="6"/>
      <c r="BQ1096" s="6"/>
      <c r="BR1096" s="6"/>
      <c r="BS1096" s="6"/>
      <c r="BT1096" s="6"/>
      <c r="BU1096" s="6"/>
      <c r="BV1096" s="6"/>
      <c r="BW1096" s="6"/>
      <c r="BX1096" s="6"/>
      <c r="BY1096" s="6"/>
      <c r="BZ1096" s="6"/>
      <c r="CA1096" s="6"/>
      <c r="CB1096" s="6"/>
      <c r="CC1096" s="6"/>
    </row>
    <row r="1097" spans="2:81" x14ac:dyDescent="0.2">
      <c r="B1097" s="68"/>
      <c r="C1097" s="69"/>
      <c r="D1097" s="70"/>
      <c r="F1097" s="68"/>
      <c r="G1097" s="69"/>
      <c r="H1097" s="70"/>
      <c r="J1097" s="71"/>
      <c r="K1097" s="71"/>
      <c r="L1097" s="67"/>
      <c r="N1097" s="71"/>
      <c r="O1097" s="71"/>
      <c r="P1097" s="67"/>
      <c r="R1097" s="67"/>
      <c r="S1097" s="6"/>
      <c r="T1097" s="6"/>
      <c r="U1097" s="6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  <c r="AG1097" s="6"/>
      <c r="AH1097" s="6"/>
      <c r="AI1097" s="6"/>
      <c r="AJ1097" s="6"/>
      <c r="AK1097" s="6"/>
      <c r="AL1097" s="6"/>
      <c r="AM1097" s="6"/>
      <c r="AN1097" s="6"/>
      <c r="AO1097" s="6"/>
      <c r="AP1097" s="6"/>
      <c r="AQ1097" s="6"/>
      <c r="AR1097" s="6"/>
      <c r="AS1097" s="6"/>
      <c r="AT1097" s="6"/>
      <c r="AU1097" s="6"/>
      <c r="AV1097" s="6"/>
      <c r="AW1097" s="6"/>
      <c r="AX1097" s="6"/>
      <c r="AY1097" s="6"/>
      <c r="AZ1097" s="6"/>
      <c r="BA1097" s="6"/>
      <c r="BB1097" s="6"/>
      <c r="BC1097" s="6"/>
      <c r="BD1097" s="6"/>
      <c r="BE1097" s="6"/>
      <c r="BF1097" s="6"/>
      <c r="BG1097" s="6"/>
      <c r="BH1097" s="6"/>
      <c r="BI1097" s="6"/>
      <c r="BJ1097" s="6"/>
      <c r="BK1097" s="6"/>
      <c r="BL1097" s="6"/>
      <c r="BM1097" s="6"/>
      <c r="BN1097" s="6"/>
      <c r="BO1097" s="6"/>
      <c r="BP1097" s="6"/>
      <c r="BQ1097" s="6"/>
      <c r="BR1097" s="6"/>
      <c r="BS1097" s="6"/>
      <c r="BT1097" s="6"/>
      <c r="BU1097" s="6"/>
      <c r="BV1097" s="6"/>
      <c r="BW1097" s="6"/>
      <c r="BX1097" s="6"/>
      <c r="BY1097" s="6"/>
      <c r="BZ1097" s="6"/>
      <c r="CA1097" s="6"/>
      <c r="CB1097" s="6"/>
      <c r="CC1097" s="6"/>
    </row>
    <row r="1098" spans="2:81" x14ac:dyDescent="0.2">
      <c r="B1098" s="68"/>
      <c r="C1098" s="69"/>
      <c r="D1098" s="70"/>
      <c r="F1098" s="68"/>
      <c r="G1098" s="69"/>
      <c r="H1098" s="70"/>
      <c r="J1098" s="71"/>
      <c r="K1098" s="71"/>
      <c r="L1098" s="67"/>
      <c r="N1098" s="71"/>
      <c r="O1098" s="71"/>
      <c r="P1098" s="67"/>
      <c r="R1098" s="67"/>
      <c r="S1098" s="6"/>
      <c r="T1098" s="6"/>
      <c r="U1098" s="6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  <c r="AG1098" s="6"/>
      <c r="AH1098" s="6"/>
      <c r="AI1098" s="6"/>
      <c r="AJ1098" s="6"/>
      <c r="AK1098" s="6"/>
      <c r="AL1098" s="6"/>
      <c r="AM1098" s="6"/>
      <c r="AN1098" s="6"/>
      <c r="AO1098" s="6"/>
      <c r="AP1098" s="6"/>
      <c r="AQ1098" s="6"/>
      <c r="AR1098" s="6"/>
      <c r="AS1098" s="6"/>
      <c r="AT1098" s="6"/>
      <c r="AU1098" s="6"/>
      <c r="AV1098" s="6"/>
      <c r="AW1098" s="6"/>
      <c r="AX1098" s="6"/>
      <c r="AY1098" s="6"/>
      <c r="AZ1098" s="6"/>
      <c r="BA1098" s="6"/>
      <c r="BB1098" s="6"/>
      <c r="BC1098" s="6"/>
      <c r="BD1098" s="6"/>
      <c r="BE1098" s="6"/>
      <c r="BF1098" s="6"/>
      <c r="BG1098" s="6"/>
      <c r="BH1098" s="6"/>
      <c r="BI1098" s="6"/>
      <c r="BJ1098" s="6"/>
      <c r="BK1098" s="6"/>
      <c r="BL1098" s="6"/>
      <c r="BM1098" s="6"/>
      <c r="BN1098" s="6"/>
      <c r="BO1098" s="6"/>
      <c r="BP1098" s="6"/>
      <c r="BQ1098" s="6"/>
      <c r="BR1098" s="6"/>
      <c r="BS1098" s="6"/>
      <c r="BT1098" s="6"/>
      <c r="BU1098" s="6"/>
      <c r="BV1098" s="6"/>
      <c r="BW1098" s="6"/>
      <c r="BX1098" s="6"/>
      <c r="BY1098" s="6"/>
      <c r="BZ1098" s="6"/>
      <c r="CA1098" s="6"/>
      <c r="CB1098" s="6"/>
      <c r="CC1098" s="6"/>
    </row>
    <row r="1099" spans="2:81" x14ac:dyDescent="0.2">
      <c r="B1099" s="68"/>
      <c r="C1099" s="69"/>
      <c r="D1099" s="70"/>
      <c r="F1099" s="68"/>
      <c r="G1099" s="69"/>
      <c r="H1099" s="70"/>
      <c r="J1099" s="71"/>
      <c r="K1099" s="71"/>
      <c r="L1099" s="67"/>
      <c r="N1099" s="71"/>
      <c r="O1099" s="71"/>
      <c r="P1099" s="67"/>
      <c r="R1099" s="67"/>
      <c r="S1099" s="6"/>
      <c r="T1099" s="6"/>
      <c r="U1099" s="6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  <c r="AG1099" s="6"/>
      <c r="AH1099" s="6"/>
      <c r="AI1099" s="6"/>
      <c r="AJ1099" s="6"/>
      <c r="AK1099" s="6"/>
      <c r="AL1099" s="6"/>
      <c r="AM1099" s="6"/>
      <c r="AN1099" s="6"/>
      <c r="AO1099" s="6"/>
      <c r="AP1099" s="6"/>
      <c r="AQ1099" s="6"/>
      <c r="AR1099" s="6"/>
      <c r="AS1099" s="6"/>
      <c r="AT1099" s="6"/>
      <c r="AU1099" s="6"/>
      <c r="AV1099" s="6"/>
      <c r="AW1099" s="6"/>
      <c r="AX1099" s="6"/>
      <c r="AY1099" s="6"/>
      <c r="AZ1099" s="6"/>
      <c r="BA1099" s="6"/>
      <c r="BB1099" s="6"/>
      <c r="BC1099" s="6"/>
      <c r="BD1099" s="6"/>
      <c r="BE1099" s="6"/>
      <c r="BF1099" s="6"/>
      <c r="BG1099" s="6"/>
      <c r="BH1099" s="6"/>
      <c r="BI1099" s="6"/>
      <c r="BJ1099" s="6"/>
      <c r="BK1099" s="6"/>
      <c r="BL1099" s="6"/>
      <c r="BM1099" s="6"/>
      <c r="BN1099" s="6"/>
      <c r="BO1099" s="6"/>
      <c r="BP1099" s="6"/>
      <c r="BQ1099" s="6"/>
      <c r="BR1099" s="6"/>
      <c r="BS1099" s="6"/>
      <c r="BT1099" s="6"/>
      <c r="BU1099" s="6"/>
      <c r="BV1099" s="6"/>
      <c r="BW1099" s="6"/>
      <c r="BX1099" s="6"/>
      <c r="BY1099" s="6"/>
      <c r="BZ1099" s="6"/>
      <c r="CA1099" s="6"/>
      <c r="CB1099" s="6"/>
      <c r="CC1099" s="6"/>
    </row>
    <row r="1100" spans="2:81" x14ac:dyDescent="0.2">
      <c r="B1100" s="68"/>
      <c r="C1100" s="69"/>
      <c r="D1100" s="70"/>
      <c r="F1100" s="68"/>
      <c r="G1100" s="69"/>
      <c r="H1100" s="70"/>
      <c r="J1100" s="71"/>
      <c r="K1100" s="71"/>
      <c r="L1100" s="67"/>
      <c r="N1100" s="71"/>
      <c r="O1100" s="71"/>
      <c r="P1100" s="67"/>
      <c r="R1100" s="67"/>
      <c r="S1100" s="6"/>
      <c r="T1100" s="6"/>
      <c r="U1100" s="6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  <c r="AG1100" s="6"/>
      <c r="AH1100" s="6"/>
      <c r="AI1100" s="6"/>
      <c r="AJ1100" s="6"/>
      <c r="AK1100" s="6"/>
      <c r="AL1100" s="6"/>
      <c r="AM1100" s="6"/>
      <c r="AN1100" s="6"/>
      <c r="AO1100" s="6"/>
      <c r="AP1100" s="6"/>
      <c r="AQ1100" s="6"/>
      <c r="AR1100" s="6"/>
      <c r="AS1100" s="6"/>
      <c r="AT1100" s="6"/>
      <c r="AU1100" s="6"/>
      <c r="AV1100" s="6"/>
      <c r="AW1100" s="6"/>
      <c r="AX1100" s="6"/>
      <c r="AY1100" s="6"/>
      <c r="AZ1100" s="6"/>
      <c r="BA1100" s="6"/>
      <c r="BB1100" s="6"/>
      <c r="BC1100" s="6"/>
      <c r="BD1100" s="6"/>
      <c r="BE1100" s="6"/>
      <c r="BF1100" s="6"/>
      <c r="BG1100" s="6"/>
      <c r="BH1100" s="6"/>
      <c r="BI1100" s="6"/>
      <c r="BJ1100" s="6"/>
      <c r="BK1100" s="6"/>
      <c r="BL1100" s="6"/>
      <c r="BM1100" s="6"/>
      <c r="BN1100" s="6"/>
      <c r="BO1100" s="6"/>
      <c r="BP1100" s="6"/>
      <c r="BQ1100" s="6"/>
      <c r="BR1100" s="6"/>
      <c r="BS1100" s="6"/>
      <c r="BT1100" s="6"/>
      <c r="BU1100" s="6"/>
      <c r="BV1100" s="6"/>
      <c r="BW1100" s="6"/>
      <c r="BX1100" s="6"/>
      <c r="BY1100" s="6"/>
      <c r="BZ1100" s="6"/>
      <c r="CA1100" s="6"/>
      <c r="CB1100" s="6"/>
      <c r="CC1100" s="6"/>
    </row>
    <row r="1101" spans="2:81" x14ac:dyDescent="0.2">
      <c r="B1101" s="68"/>
      <c r="C1101" s="69"/>
      <c r="D1101" s="70"/>
      <c r="F1101" s="68"/>
      <c r="G1101" s="69"/>
      <c r="H1101" s="70"/>
      <c r="J1101" s="71"/>
      <c r="K1101" s="71"/>
      <c r="L1101" s="67"/>
      <c r="N1101" s="71"/>
      <c r="O1101" s="71"/>
      <c r="P1101" s="67"/>
      <c r="R1101" s="67"/>
      <c r="S1101" s="6"/>
      <c r="T1101" s="6"/>
      <c r="U1101" s="6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  <c r="AG1101" s="6"/>
      <c r="AH1101" s="6"/>
      <c r="AI1101" s="6"/>
      <c r="AJ1101" s="6"/>
      <c r="AK1101" s="6"/>
      <c r="AL1101" s="6"/>
      <c r="AM1101" s="6"/>
      <c r="AN1101" s="6"/>
      <c r="AO1101" s="6"/>
      <c r="AP1101" s="6"/>
      <c r="AQ1101" s="6"/>
      <c r="AR1101" s="6"/>
      <c r="AS1101" s="6"/>
      <c r="AT1101" s="6"/>
      <c r="AU1101" s="6"/>
      <c r="AV1101" s="6"/>
      <c r="AW1101" s="6"/>
      <c r="AX1101" s="6"/>
      <c r="AY1101" s="6"/>
      <c r="AZ1101" s="6"/>
      <c r="BA1101" s="6"/>
      <c r="BB1101" s="6"/>
      <c r="BC1101" s="6"/>
      <c r="BD1101" s="6"/>
      <c r="BE1101" s="6"/>
      <c r="BF1101" s="6"/>
      <c r="BG1101" s="6"/>
      <c r="BH1101" s="6"/>
      <c r="BI1101" s="6"/>
      <c r="BJ1101" s="6"/>
      <c r="BK1101" s="6"/>
      <c r="BL1101" s="6"/>
      <c r="BM1101" s="6"/>
      <c r="BN1101" s="6"/>
      <c r="BO1101" s="6"/>
      <c r="BP1101" s="6"/>
      <c r="BQ1101" s="6"/>
      <c r="BR1101" s="6"/>
      <c r="BS1101" s="6"/>
      <c r="BT1101" s="6"/>
      <c r="BU1101" s="6"/>
      <c r="BV1101" s="6"/>
      <c r="BW1101" s="6"/>
      <c r="BX1101" s="6"/>
      <c r="BY1101" s="6"/>
      <c r="BZ1101" s="6"/>
      <c r="CA1101" s="6"/>
      <c r="CB1101" s="6"/>
      <c r="CC1101" s="6"/>
    </row>
    <row r="1102" spans="2:81" x14ac:dyDescent="0.2">
      <c r="B1102" s="68"/>
      <c r="C1102" s="69"/>
      <c r="D1102" s="70"/>
      <c r="F1102" s="68"/>
      <c r="G1102" s="69"/>
      <c r="H1102" s="70"/>
      <c r="J1102" s="71"/>
      <c r="K1102" s="71"/>
      <c r="L1102" s="67"/>
      <c r="N1102" s="71"/>
      <c r="O1102" s="71"/>
      <c r="P1102" s="67"/>
      <c r="R1102" s="67"/>
      <c r="S1102" s="6"/>
      <c r="T1102" s="6"/>
      <c r="U1102" s="6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  <c r="AG1102" s="6"/>
      <c r="AH1102" s="6"/>
      <c r="AI1102" s="6"/>
      <c r="AJ1102" s="6"/>
      <c r="AK1102" s="6"/>
      <c r="AL1102" s="6"/>
      <c r="AM1102" s="6"/>
      <c r="AN1102" s="6"/>
      <c r="AO1102" s="6"/>
      <c r="AP1102" s="6"/>
      <c r="AQ1102" s="6"/>
      <c r="AR1102" s="6"/>
      <c r="AS1102" s="6"/>
      <c r="AT1102" s="6"/>
      <c r="AU1102" s="6"/>
      <c r="AV1102" s="6"/>
      <c r="AW1102" s="6"/>
      <c r="AX1102" s="6"/>
      <c r="AY1102" s="6"/>
      <c r="AZ1102" s="6"/>
      <c r="BA1102" s="6"/>
      <c r="BB1102" s="6"/>
      <c r="BC1102" s="6"/>
      <c r="BD1102" s="6"/>
      <c r="BE1102" s="6"/>
      <c r="BF1102" s="6"/>
      <c r="BG1102" s="6"/>
      <c r="BH1102" s="6"/>
      <c r="BI1102" s="6"/>
      <c r="BJ1102" s="6"/>
      <c r="BK1102" s="6"/>
      <c r="BL1102" s="6"/>
      <c r="BM1102" s="6"/>
      <c r="BN1102" s="6"/>
      <c r="BO1102" s="6"/>
      <c r="BP1102" s="6"/>
      <c r="BQ1102" s="6"/>
      <c r="BR1102" s="6"/>
      <c r="BS1102" s="6"/>
      <c r="BT1102" s="6"/>
      <c r="BU1102" s="6"/>
      <c r="BV1102" s="6"/>
      <c r="BW1102" s="6"/>
      <c r="BX1102" s="6"/>
      <c r="BY1102" s="6"/>
      <c r="BZ1102" s="6"/>
      <c r="CA1102" s="6"/>
      <c r="CB1102" s="6"/>
      <c r="CC1102" s="6"/>
    </row>
    <row r="1103" spans="2:81" x14ac:dyDescent="0.2">
      <c r="B1103" s="68"/>
      <c r="C1103" s="69"/>
      <c r="D1103" s="70"/>
      <c r="F1103" s="68"/>
      <c r="G1103" s="69"/>
      <c r="H1103" s="70"/>
      <c r="J1103" s="71"/>
      <c r="K1103" s="71"/>
      <c r="L1103" s="67"/>
      <c r="N1103" s="71"/>
      <c r="O1103" s="71"/>
      <c r="P1103" s="67"/>
      <c r="R1103" s="67"/>
      <c r="S1103" s="6"/>
      <c r="T1103" s="6"/>
      <c r="U1103" s="6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  <c r="AG1103" s="6"/>
      <c r="AH1103" s="6"/>
      <c r="AI1103" s="6"/>
      <c r="AJ1103" s="6"/>
      <c r="AK1103" s="6"/>
      <c r="AL1103" s="6"/>
      <c r="AM1103" s="6"/>
      <c r="AN1103" s="6"/>
      <c r="AO1103" s="6"/>
      <c r="AP1103" s="6"/>
      <c r="AQ1103" s="6"/>
      <c r="AR1103" s="6"/>
      <c r="AS1103" s="6"/>
      <c r="AT1103" s="6"/>
      <c r="AU1103" s="6"/>
      <c r="AV1103" s="6"/>
      <c r="AW1103" s="6"/>
      <c r="AX1103" s="6"/>
      <c r="AY1103" s="6"/>
      <c r="AZ1103" s="6"/>
      <c r="BA1103" s="6"/>
      <c r="BB1103" s="6"/>
      <c r="BC1103" s="6"/>
      <c r="BD1103" s="6"/>
      <c r="BE1103" s="6"/>
      <c r="BF1103" s="6"/>
      <c r="BG1103" s="6"/>
      <c r="BH1103" s="6"/>
      <c r="BI1103" s="6"/>
      <c r="BJ1103" s="6"/>
      <c r="BK1103" s="6"/>
      <c r="BL1103" s="6"/>
      <c r="BM1103" s="6"/>
      <c r="BN1103" s="6"/>
      <c r="BO1103" s="6"/>
      <c r="BP1103" s="6"/>
      <c r="BQ1103" s="6"/>
      <c r="BR1103" s="6"/>
      <c r="BS1103" s="6"/>
      <c r="BT1103" s="6"/>
      <c r="BU1103" s="6"/>
      <c r="BV1103" s="6"/>
      <c r="BW1103" s="6"/>
      <c r="BX1103" s="6"/>
      <c r="BY1103" s="6"/>
      <c r="BZ1103" s="6"/>
      <c r="CA1103" s="6"/>
      <c r="CB1103" s="6"/>
      <c r="CC1103" s="6"/>
    </row>
    <row r="1104" spans="2:81" x14ac:dyDescent="0.2">
      <c r="B1104" s="68"/>
      <c r="C1104" s="69"/>
      <c r="D1104" s="70"/>
      <c r="F1104" s="68"/>
      <c r="G1104" s="69"/>
      <c r="H1104" s="70"/>
      <c r="J1104" s="71"/>
      <c r="K1104" s="71"/>
      <c r="L1104" s="67"/>
      <c r="N1104" s="71"/>
      <c r="O1104" s="71"/>
      <c r="P1104" s="67"/>
      <c r="R1104" s="67"/>
      <c r="S1104" s="6"/>
      <c r="T1104" s="6"/>
      <c r="U1104" s="6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  <c r="AG1104" s="6"/>
      <c r="AH1104" s="6"/>
      <c r="AI1104" s="6"/>
      <c r="AJ1104" s="6"/>
      <c r="AK1104" s="6"/>
      <c r="AL1104" s="6"/>
      <c r="AM1104" s="6"/>
      <c r="AN1104" s="6"/>
      <c r="AO1104" s="6"/>
      <c r="AP1104" s="6"/>
      <c r="AQ1104" s="6"/>
      <c r="AR1104" s="6"/>
      <c r="AS1104" s="6"/>
      <c r="AT1104" s="6"/>
      <c r="AU1104" s="6"/>
      <c r="AV1104" s="6"/>
      <c r="AW1104" s="6"/>
      <c r="AX1104" s="6"/>
      <c r="AY1104" s="6"/>
      <c r="AZ1104" s="6"/>
      <c r="BA1104" s="6"/>
      <c r="BB1104" s="6"/>
      <c r="BC1104" s="6"/>
      <c r="BD1104" s="6"/>
      <c r="BE1104" s="6"/>
      <c r="BF1104" s="6"/>
      <c r="BG1104" s="6"/>
      <c r="BH1104" s="6"/>
      <c r="BI1104" s="6"/>
      <c r="BJ1104" s="6"/>
      <c r="BK1104" s="6"/>
      <c r="BL1104" s="6"/>
      <c r="BM1104" s="6"/>
      <c r="BN1104" s="6"/>
      <c r="BO1104" s="6"/>
      <c r="BP1104" s="6"/>
      <c r="BQ1104" s="6"/>
      <c r="BR1104" s="6"/>
      <c r="BS1104" s="6"/>
      <c r="BT1104" s="6"/>
      <c r="BU1104" s="6"/>
      <c r="BV1104" s="6"/>
      <c r="BW1104" s="6"/>
      <c r="BX1104" s="6"/>
      <c r="BY1104" s="6"/>
      <c r="BZ1104" s="6"/>
      <c r="CA1104" s="6"/>
      <c r="CB1104" s="6"/>
      <c r="CC1104" s="6"/>
    </row>
    <row r="1105" spans="2:81" x14ac:dyDescent="0.2">
      <c r="B1105" s="68"/>
      <c r="C1105" s="69"/>
      <c r="D1105" s="70"/>
      <c r="F1105" s="68"/>
      <c r="G1105" s="69"/>
      <c r="H1105" s="70"/>
      <c r="J1105" s="71"/>
      <c r="K1105" s="71"/>
      <c r="L1105" s="67"/>
      <c r="N1105" s="71"/>
      <c r="O1105" s="71"/>
      <c r="P1105" s="67"/>
      <c r="R1105" s="67"/>
      <c r="S1105" s="6"/>
      <c r="T1105" s="6"/>
      <c r="U1105" s="6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  <c r="AG1105" s="6"/>
      <c r="AH1105" s="6"/>
      <c r="AI1105" s="6"/>
      <c r="AJ1105" s="6"/>
      <c r="AK1105" s="6"/>
      <c r="AL1105" s="6"/>
      <c r="AM1105" s="6"/>
      <c r="AN1105" s="6"/>
      <c r="AO1105" s="6"/>
      <c r="AP1105" s="6"/>
      <c r="AQ1105" s="6"/>
      <c r="AR1105" s="6"/>
      <c r="AS1105" s="6"/>
      <c r="AT1105" s="6"/>
      <c r="AU1105" s="6"/>
      <c r="AV1105" s="6"/>
      <c r="AW1105" s="6"/>
      <c r="AX1105" s="6"/>
      <c r="AY1105" s="6"/>
      <c r="AZ1105" s="6"/>
      <c r="BA1105" s="6"/>
      <c r="BB1105" s="6"/>
      <c r="BC1105" s="6"/>
      <c r="BD1105" s="6"/>
      <c r="BE1105" s="6"/>
      <c r="BF1105" s="6"/>
      <c r="BG1105" s="6"/>
      <c r="BH1105" s="6"/>
      <c r="BI1105" s="6"/>
      <c r="BJ1105" s="6"/>
      <c r="BK1105" s="6"/>
      <c r="BL1105" s="6"/>
      <c r="BM1105" s="6"/>
      <c r="BN1105" s="6"/>
      <c r="BO1105" s="6"/>
      <c r="BP1105" s="6"/>
      <c r="BQ1105" s="6"/>
      <c r="BR1105" s="6"/>
      <c r="BS1105" s="6"/>
      <c r="BT1105" s="6"/>
      <c r="BU1105" s="6"/>
      <c r="BV1105" s="6"/>
      <c r="BW1105" s="6"/>
      <c r="BX1105" s="6"/>
      <c r="BY1105" s="6"/>
      <c r="BZ1105" s="6"/>
      <c r="CA1105" s="6"/>
      <c r="CB1105" s="6"/>
      <c r="CC1105" s="6"/>
    </row>
    <row r="1106" spans="2:81" x14ac:dyDescent="0.2">
      <c r="B1106" s="68"/>
      <c r="C1106" s="69"/>
      <c r="D1106" s="70"/>
      <c r="F1106" s="68"/>
      <c r="G1106" s="69"/>
      <c r="H1106" s="70"/>
      <c r="J1106" s="71"/>
      <c r="K1106" s="71"/>
      <c r="L1106" s="67"/>
      <c r="N1106" s="71"/>
      <c r="O1106" s="71"/>
      <c r="P1106" s="67"/>
      <c r="R1106" s="67"/>
      <c r="S1106" s="6"/>
      <c r="T1106" s="6"/>
      <c r="U1106" s="6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  <c r="AG1106" s="6"/>
      <c r="AH1106" s="6"/>
      <c r="AI1106" s="6"/>
      <c r="AJ1106" s="6"/>
      <c r="AK1106" s="6"/>
      <c r="AL1106" s="6"/>
      <c r="AM1106" s="6"/>
      <c r="AN1106" s="6"/>
      <c r="AO1106" s="6"/>
      <c r="AP1106" s="6"/>
      <c r="AQ1106" s="6"/>
      <c r="AR1106" s="6"/>
      <c r="AS1106" s="6"/>
      <c r="AT1106" s="6"/>
      <c r="AU1106" s="6"/>
      <c r="AV1106" s="6"/>
      <c r="AW1106" s="6"/>
      <c r="AX1106" s="6"/>
      <c r="AY1106" s="6"/>
      <c r="AZ1106" s="6"/>
      <c r="BA1106" s="6"/>
      <c r="BB1106" s="6"/>
      <c r="BC1106" s="6"/>
      <c r="BD1106" s="6"/>
      <c r="BE1106" s="6"/>
      <c r="BF1106" s="6"/>
      <c r="BG1106" s="6"/>
      <c r="BH1106" s="6"/>
      <c r="BI1106" s="6"/>
      <c r="BJ1106" s="6"/>
      <c r="BK1106" s="6"/>
      <c r="BL1106" s="6"/>
      <c r="BM1106" s="6"/>
      <c r="BN1106" s="6"/>
      <c r="BO1106" s="6"/>
      <c r="BP1106" s="6"/>
      <c r="BQ1106" s="6"/>
      <c r="BR1106" s="6"/>
      <c r="BS1106" s="6"/>
      <c r="BT1106" s="6"/>
      <c r="BU1106" s="6"/>
      <c r="BV1106" s="6"/>
      <c r="BW1106" s="6"/>
      <c r="BX1106" s="6"/>
      <c r="BY1106" s="6"/>
      <c r="BZ1106" s="6"/>
      <c r="CA1106" s="6"/>
      <c r="CB1106" s="6"/>
      <c r="CC1106" s="6"/>
    </row>
    <row r="1107" spans="2:81" x14ac:dyDescent="0.2">
      <c r="B1107" s="68"/>
      <c r="C1107" s="69"/>
      <c r="D1107" s="70"/>
      <c r="F1107" s="68"/>
      <c r="G1107" s="69"/>
      <c r="H1107" s="70"/>
      <c r="J1107" s="71"/>
      <c r="K1107" s="71"/>
      <c r="L1107" s="67"/>
      <c r="N1107" s="71"/>
      <c r="O1107" s="71"/>
      <c r="P1107" s="67"/>
      <c r="R1107" s="67"/>
      <c r="S1107" s="6"/>
      <c r="T1107" s="6"/>
      <c r="U1107" s="6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  <c r="AG1107" s="6"/>
      <c r="AH1107" s="6"/>
      <c r="AI1107" s="6"/>
      <c r="AJ1107" s="6"/>
      <c r="AK1107" s="6"/>
      <c r="AL1107" s="6"/>
      <c r="AM1107" s="6"/>
      <c r="AN1107" s="6"/>
      <c r="AO1107" s="6"/>
      <c r="AP1107" s="6"/>
      <c r="AQ1107" s="6"/>
      <c r="AR1107" s="6"/>
      <c r="AS1107" s="6"/>
      <c r="AT1107" s="6"/>
      <c r="AU1107" s="6"/>
      <c r="AV1107" s="6"/>
      <c r="AW1107" s="6"/>
      <c r="AX1107" s="6"/>
      <c r="AY1107" s="6"/>
      <c r="AZ1107" s="6"/>
      <c r="BA1107" s="6"/>
      <c r="BB1107" s="6"/>
      <c r="BC1107" s="6"/>
      <c r="BD1107" s="6"/>
      <c r="BE1107" s="6"/>
      <c r="BF1107" s="6"/>
      <c r="BG1107" s="6"/>
      <c r="BH1107" s="6"/>
      <c r="BI1107" s="6"/>
      <c r="BJ1107" s="6"/>
      <c r="BK1107" s="6"/>
      <c r="BL1107" s="6"/>
      <c r="BM1107" s="6"/>
      <c r="BN1107" s="6"/>
      <c r="BO1107" s="6"/>
      <c r="BP1107" s="6"/>
      <c r="BQ1107" s="6"/>
      <c r="BR1107" s="6"/>
      <c r="BS1107" s="6"/>
      <c r="BT1107" s="6"/>
      <c r="BU1107" s="6"/>
      <c r="BV1107" s="6"/>
      <c r="BW1107" s="6"/>
      <c r="BX1107" s="6"/>
      <c r="BY1107" s="6"/>
      <c r="BZ1107" s="6"/>
      <c r="CA1107" s="6"/>
      <c r="CB1107" s="6"/>
      <c r="CC1107" s="6"/>
    </row>
    <row r="1108" spans="2:81" x14ac:dyDescent="0.2">
      <c r="B1108" s="68"/>
      <c r="C1108" s="69"/>
      <c r="D1108" s="70"/>
      <c r="F1108" s="68"/>
      <c r="G1108" s="69"/>
      <c r="H1108" s="70"/>
      <c r="J1108" s="71"/>
      <c r="K1108" s="71"/>
      <c r="L1108" s="67"/>
      <c r="N1108" s="71"/>
      <c r="O1108" s="71"/>
      <c r="P1108" s="67"/>
      <c r="R1108" s="67"/>
      <c r="S1108" s="6"/>
      <c r="T1108" s="6"/>
      <c r="U1108" s="6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  <c r="AG1108" s="6"/>
      <c r="AH1108" s="6"/>
      <c r="AI1108" s="6"/>
      <c r="AJ1108" s="6"/>
      <c r="AK1108" s="6"/>
      <c r="AL1108" s="6"/>
      <c r="AM1108" s="6"/>
      <c r="AN1108" s="6"/>
      <c r="AO1108" s="6"/>
      <c r="AP1108" s="6"/>
      <c r="AQ1108" s="6"/>
      <c r="AR1108" s="6"/>
      <c r="AS1108" s="6"/>
      <c r="AT1108" s="6"/>
      <c r="AU1108" s="6"/>
      <c r="AV1108" s="6"/>
      <c r="AW1108" s="6"/>
      <c r="AX1108" s="6"/>
      <c r="AY1108" s="6"/>
      <c r="AZ1108" s="6"/>
      <c r="BA1108" s="6"/>
      <c r="BB1108" s="6"/>
      <c r="BC1108" s="6"/>
      <c r="BD1108" s="6"/>
      <c r="BE1108" s="6"/>
      <c r="BF1108" s="6"/>
      <c r="BG1108" s="6"/>
      <c r="BH1108" s="6"/>
      <c r="BI1108" s="6"/>
      <c r="BJ1108" s="6"/>
      <c r="BK1108" s="6"/>
      <c r="BL1108" s="6"/>
      <c r="BM1108" s="6"/>
      <c r="BN1108" s="6"/>
      <c r="BO1108" s="6"/>
      <c r="BP1108" s="6"/>
      <c r="BQ1108" s="6"/>
      <c r="BR1108" s="6"/>
      <c r="BS1108" s="6"/>
      <c r="BT1108" s="6"/>
      <c r="BU1108" s="6"/>
      <c r="BV1108" s="6"/>
      <c r="BW1108" s="6"/>
      <c r="BX1108" s="6"/>
      <c r="BY1108" s="6"/>
      <c r="BZ1108" s="6"/>
      <c r="CA1108" s="6"/>
      <c r="CB1108" s="6"/>
      <c r="CC1108" s="6"/>
    </row>
    <row r="1109" spans="2:81" x14ac:dyDescent="0.2">
      <c r="B1109" s="68"/>
      <c r="C1109" s="69"/>
      <c r="D1109" s="70"/>
      <c r="F1109" s="68"/>
      <c r="G1109" s="69"/>
      <c r="H1109" s="70"/>
      <c r="J1109" s="71"/>
      <c r="K1109" s="71"/>
      <c r="L1109" s="67"/>
      <c r="N1109" s="71"/>
      <c r="O1109" s="71"/>
      <c r="P1109" s="67"/>
      <c r="R1109" s="67"/>
      <c r="S1109" s="6"/>
      <c r="T1109" s="6"/>
      <c r="U1109" s="6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  <c r="AG1109" s="6"/>
      <c r="AH1109" s="6"/>
      <c r="AI1109" s="6"/>
      <c r="AJ1109" s="6"/>
      <c r="AK1109" s="6"/>
      <c r="AL1109" s="6"/>
      <c r="AM1109" s="6"/>
      <c r="AN1109" s="6"/>
      <c r="AO1109" s="6"/>
      <c r="AP1109" s="6"/>
      <c r="AQ1109" s="6"/>
      <c r="AR1109" s="6"/>
      <c r="AS1109" s="6"/>
      <c r="AT1109" s="6"/>
      <c r="AU1109" s="6"/>
      <c r="AV1109" s="6"/>
      <c r="AW1109" s="6"/>
      <c r="AX1109" s="6"/>
      <c r="AY1109" s="6"/>
      <c r="AZ1109" s="6"/>
      <c r="BA1109" s="6"/>
      <c r="BB1109" s="6"/>
      <c r="BC1109" s="6"/>
      <c r="BD1109" s="6"/>
      <c r="BE1109" s="6"/>
      <c r="BF1109" s="6"/>
      <c r="BG1109" s="6"/>
      <c r="BH1109" s="6"/>
      <c r="BI1109" s="6"/>
      <c r="BJ1109" s="6"/>
      <c r="BK1109" s="6"/>
      <c r="BL1109" s="6"/>
      <c r="BM1109" s="6"/>
      <c r="BN1109" s="6"/>
      <c r="BO1109" s="6"/>
      <c r="BP1109" s="6"/>
      <c r="BQ1109" s="6"/>
      <c r="BR1109" s="6"/>
      <c r="BS1109" s="6"/>
      <c r="BT1109" s="6"/>
      <c r="BU1109" s="6"/>
      <c r="BV1109" s="6"/>
      <c r="BW1109" s="6"/>
      <c r="BX1109" s="6"/>
      <c r="BY1109" s="6"/>
      <c r="BZ1109" s="6"/>
      <c r="CA1109" s="6"/>
      <c r="CB1109" s="6"/>
      <c r="CC1109" s="6"/>
    </row>
    <row r="1110" spans="2:81" x14ac:dyDescent="0.2">
      <c r="B1110" s="68"/>
      <c r="C1110" s="69"/>
      <c r="D1110" s="70"/>
      <c r="F1110" s="68"/>
      <c r="G1110" s="69"/>
      <c r="H1110" s="70"/>
      <c r="J1110" s="71"/>
      <c r="K1110" s="71"/>
      <c r="L1110" s="67"/>
      <c r="N1110" s="71"/>
      <c r="O1110" s="71"/>
      <c r="P1110" s="67"/>
      <c r="R1110" s="67"/>
      <c r="S1110" s="6"/>
      <c r="T1110" s="6"/>
      <c r="U1110" s="6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  <c r="AG1110" s="6"/>
      <c r="AH1110" s="6"/>
      <c r="AI1110" s="6"/>
      <c r="AJ1110" s="6"/>
      <c r="AK1110" s="6"/>
      <c r="AL1110" s="6"/>
      <c r="AM1110" s="6"/>
      <c r="AN1110" s="6"/>
      <c r="AO1110" s="6"/>
      <c r="AP1110" s="6"/>
      <c r="AQ1110" s="6"/>
      <c r="AR1110" s="6"/>
      <c r="AS1110" s="6"/>
      <c r="AT1110" s="6"/>
      <c r="AU1110" s="6"/>
      <c r="AV1110" s="6"/>
      <c r="AW1110" s="6"/>
      <c r="AX1110" s="6"/>
      <c r="AY1110" s="6"/>
      <c r="AZ1110" s="6"/>
      <c r="BA1110" s="6"/>
      <c r="BB1110" s="6"/>
      <c r="BC1110" s="6"/>
      <c r="BD1110" s="6"/>
      <c r="BE1110" s="6"/>
      <c r="BF1110" s="6"/>
      <c r="BG1110" s="6"/>
      <c r="BH1110" s="6"/>
      <c r="BI1110" s="6"/>
      <c r="BJ1110" s="6"/>
      <c r="BK1110" s="6"/>
      <c r="BL1110" s="6"/>
      <c r="BM1110" s="6"/>
      <c r="BN1110" s="6"/>
      <c r="BO1110" s="6"/>
      <c r="BP1110" s="6"/>
      <c r="BQ1110" s="6"/>
      <c r="BR1110" s="6"/>
      <c r="BS1110" s="6"/>
      <c r="BT1110" s="6"/>
      <c r="BU1110" s="6"/>
      <c r="BV1110" s="6"/>
      <c r="BW1110" s="6"/>
      <c r="BX1110" s="6"/>
      <c r="BY1110" s="6"/>
      <c r="BZ1110" s="6"/>
      <c r="CA1110" s="6"/>
      <c r="CB1110" s="6"/>
      <c r="CC1110" s="6"/>
    </row>
    <row r="1111" spans="2:81" x14ac:dyDescent="0.2">
      <c r="B1111" s="68"/>
      <c r="C1111" s="69"/>
      <c r="D1111" s="70"/>
      <c r="F1111" s="68"/>
      <c r="G1111" s="69"/>
      <c r="H1111" s="70"/>
      <c r="J1111" s="71"/>
      <c r="K1111" s="71"/>
      <c r="L1111" s="67"/>
      <c r="N1111" s="71"/>
      <c r="O1111" s="71"/>
      <c r="P1111" s="67"/>
      <c r="R1111" s="67"/>
      <c r="S1111" s="6"/>
      <c r="T1111" s="6"/>
      <c r="U1111" s="6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  <c r="AG1111" s="6"/>
      <c r="AH1111" s="6"/>
      <c r="AI1111" s="6"/>
      <c r="AJ1111" s="6"/>
      <c r="AK1111" s="6"/>
      <c r="AL1111" s="6"/>
      <c r="AM1111" s="6"/>
      <c r="AN1111" s="6"/>
      <c r="AO1111" s="6"/>
      <c r="AP1111" s="6"/>
      <c r="AQ1111" s="6"/>
      <c r="AR1111" s="6"/>
      <c r="AS1111" s="6"/>
      <c r="AT1111" s="6"/>
      <c r="AU1111" s="6"/>
      <c r="AV1111" s="6"/>
      <c r="AW1111" s="6"/>
      <c r="AX1111" s="6"/>
      <c r="AY1111" s="6"/>
      <c r="AZ1111" s="6"/>
      <c r="BA1111" s="6"/>
      <c r="BB1111" s="6"/>
      <c r="BC1111" s="6"/>
      <c r="BD1111" s="6"/>
      <c r="BE1111" s="6"/>
      <c r="BF1111" s="6"/>
      <c r="BG1111" s="6"/>
      <c r="BH1111" s="6"/>
      <c r="BI1111" s="6"/>
      <c r="BJ1111" s="6"/>
      <c r="BK1111" s="6"/>
      <c r="BL1111" s="6"/>
      <c r="BM1111" s="6"/>
      <c r="BN1111" s="6"/>
      <c r="BO1111" s="6"/>
      <c r="BP1111" s="6"/>
      <c r="BQ1111" s="6"/>
      <c r="BR1111" s="6"/>
      <c r="BS1111" s="6"/>
      <c r="BT1111" s="6"/>
      <c r="BU1111" s="6"/>
      <c r="BV1111" s="6"/>
      <c r="BW1111" s="6"/>
      <c r="BX1111" s="6"/>
      <c r="BY1111" s="6"/>
      <c r="BZ1111" s="6"/>
      <c r="CA1111" s="6"/>
      <c r="CB1111" s="6"/>
      <c r="CC1111" s="6"/>
    </row>
    <row r="1112" spans="2:81" x14ac:dyDescent="0.2">
      <c r="B1112" s="68"/>
      <c r="C1112" s="69"/>
      <c r="D1112" s="70"/>
      <c r="F1112" s="68"/>
      <c r="G1112" s="69"/>
      <c r="H1112" s="70"/>
      <c r="J1112" s="71"/>
      <c r="K1112" s="71"/>
      <c r="L1112" s="67"/>
      <c r="N1112" s="71"/>
      <c r="O1112" s="71"/>
      <c r="P1112" s="67"/>
      <c r="R1112" s="67"/>
      <c r="S1112" s="6"/>
      <c r="T1112" s="6"/>
      <c r="U1112" s="6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  <c r="AG1112" s="6"/>
      <c r="AH1112" s="6"/>
      <c r="AI1112" s="6"/>
      <c r="AJ1112" s="6"/>
      <c r="AK1112" s="6"/>
      <c r="AL1112" s="6"/>
      <c r="AM1112" s="6"/>
      <c r="AN1112" s="6"/>
      <c r="AO1112" s="6"/>
      <c r="AP1112" s="6"/>
      <c r="AQ1112" s="6"/>
      <c r="AR1112" s="6"/>
      <c r="AS1112" s="6"/>
      <c r="AT1112" s="6"/>
      <c r="AU1112" s="6"/>
      <c r="AV1112" s="6"/>
      <c r="AW1112" s="6"/>
      <c r="AX1112" s="6"/>
      <c r="AY1112" s="6"/>
      <c r="AZ1112" s="6"/>
      <c r="BA1112" s="6"/>
      <c r="BB1112" s="6"/>
      <c r="BC1112" s="6"/>
      <c r="BD1112" s="6"/>
      <c r="BE1112" s="6"/>
      <c r="BF1112" s="6"/>
      <c r="BG1112" s="6"/>
      <c r="BH1112" s="6"/>
      <c r="BI1112" s="6"/>
      <c r="BJ1112" s="6"/>
      <c r="BK1112" s="6"/>
      <c r="BL1112" s="6"/>
      <c r="BM1112" s="6"/>
      <c r="BN1112" s="6"/>
      <c r="BO1112" s="6"/>
      <c r="BP1112" s="6"/>
      <c r="BQ1112" s="6"/>
      <c r="BR1112" s="6"/>
      <c r="BS1112" s="6"/>
      <c r="BT1112" s="6"/>
      <c r="BU1112" s="6"/>
      <c r="BV1112" s="6"/>
      <c r="BW1112" s="6"/>
      <c r="BX1112" s="6"/>
      <c r="BY1112" s="6"/>
      <c r="BZ1112" s="6"/>
      <c r="CA1112" s="6"/>
      <c r="CB1112" s="6"/>
      <c r="CC1112" s="6"/>
    </row>
    <row r="1113" spans="2:81" x14ac:dyDescent="0.2">
      <c r="B1113" s="68"/>
      <c r="C1113" s="69"/>
      <c r="D1113" s="70"/>
      <c r="F1113" s="68"/>
      <c r="G1113" s="69"/>
      <c r="H1113" s="70"/>
      <c r="J1113" s="71"/>
      <c r="K1113" s="71"/>
      <c r="L1113" s="67"/>
      <c r="N1113" s="71"/>
      <c r="O1113" s="71"/>
      <c r="P1113" s="67"/>
      <c r="R1113" s="67"/>
      <c r="S1113" s="6"/>
      <c r="T1113" s="6"/>
      <c r="U1113" s="6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  <c r="AG1113" s="6"/>
      <c r="AH1113" s="6"/>
      <c r="AI1113" s="6"/>
      <c r="AJ1113" s="6"/>
      <c r="AK1113" s="6"/>
      <c r="AL1113" s="6"/>
      <c r="AM1113" s="6"/>
      <c r="AN1113" s="6"/>
      <c r="AO1113" s="6"/>
      <c r="AP1113" s="6"/>
      <c r="AQ1113" s="6"/>
      <c r="AR1113" s="6"/>
      <c r="AS1113" s="6"/>
      <c r="AT1113" s="6"/>
      <c r="AU1113" s="6"/>
      <c r="AV1113" s="6"/>
      <c r="AW1113" s="6"/>
      <c r="AX1113" s="6"/>
      <c r="AY1113" s="6"/>
      <c r="AZ1113" s="6"/>
      <c r="BA1113" s="6"/>
      <c r="BB1113" s="6"/>
      <c r="BC1113" s="6"/>
      <c r="BD1113" s="6"/>
      <c r="BE1113" s="6"/>
      <c r="BF1113" s="6"/>
      <c r="BG1113" s="6"/>
      <c r="BH1113" s="6"/>
      <c r="BI1113" s="6"/>
      <c r="BJ1113" s="6"/>
      <c r="BK1113" s="6"/>
      <c r="BL1113" s="6"/>
      <c r="BM1113" s="6"/>
      <c r="BN1113" s="6"/>
      <c r="BO1113" s="6"/>
      <c r="BP1113" s="6"/>
      <c r="BQ1113" s="6"/>
      <c r="BR1113" s="6"/>
      <c r="BS1113" s="6"/>
      <c r="BT1113" s="6"/>
      <c r="BU1113" s="6"/>
      <c r="BV1113" s="6"/>
      <c r="BW1113" s="6"/>
      <c r="BX1113" s="6"/>
      <c r="BY1113" s="6"/>
      <c r="BZ1113" s="6"/>
      <c r="CA1113" s="6"/>
      <c r="CB1113" s="6"/>
      <c r="CC1113" s="6"/>
    </row>
    <row r="1114" spans="2:81" x14ac:dyDescent="0.2">
      <c r="B1114" s="68"/>
      <c r="C1114" s="69"/>
      <c r="D1114" s="70"/>
      <c r="F1114" s="68"/>
      <c r="G1114" s="69"/>
      <c r="H1114" s="70"/>
      <c r="J1114" s="71"/>
      <c r="K1114" s="71"/>
      <c r="L1114" s="67"/>
      <c r="N1114" s="71"/>
      <c r="O1114" s="71"/>
      <c r="P1114" s="67"/>
      <c r="R1114" s="67"/>
      <c r="S1114" s="6"/>
      <c r="T1114" s="6"/>
      <c r="U1114" s="6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  <c r="AG1114" s="6"/>
      <c r="AH1114" s="6"/>
      <c r="AI1114" s="6"/>
      <c r="AJ1114" s="6"/>
      <c r="AK1114" s="6"/>
      <c r="AL1114" s="6"/>
      <c r="AM1114" s="6"/>
      <c r="AN1114" s="6"/>
      <c r="AO1114" s="6"/>
      <c r="AP1114" s="6"/>
      <c r="AQ1114" s="6"/>
      <c r="AR1114" s="6"/>
      <c r="AS1114" s="6"/>
      <c r="AT1114" s="6"/>
      <c r="AU1114" s="6"/>
      <c r="AV1114" s="6"/>
      <c r="AW1114" s="6"/>
      <c r="AX1114" s="6"/>
      <c r="AY1114" s="6"/>
      <c r="AZ1114" s="6"/>
      <c r="BA1114" s="6"/>
      <c r="BB1114" s="6"/>
      <c r="BC1114" s="6"/>
      <c r="BD1114" s="6"/>
      <c r="BE1114" s="6"/>
      <c r="BF1114" s="6"/>
      <c r="BG1114" s="6"/>
      <c r="BH1114" s="6"/>
      <c r="BI1114" s="6"/>
      <c r="BJ1114" s="6"/>
      <c r="BK1114" s="6"/>
      <c r="BL1114" s="6"/>
      <c r="BM1114" s="6"/>
      <c r="BN1114" s="6"/>
      <c r="BO1114" s="6"/>
      <c r="BP1114" s="6"/>
      <c r="BQ1114" s="6"/>
      <c r="BR1114" s="6"/>
      <c r="BS1114" s="6"/>
      <c r="BT1114" s="6"/>
      <c r="BU1114" s="6"/>
      <c r="BV1114" s="6"/>
      <c r="BW1114" s="6"/>
      <c r="BX1114" s="6"/>
      <c r="BY1114" s="6"/>
      <c r="BZ1114" s="6"/>
      <c r="CA1114" s="6"/>
      <c r="CB1114" s="6"/>
      <c r="CC1114" s="6"/>
    </row>
    <row r="1115" spans="2:81" x14ac:dyDescent="0.2">
      <c r="B1115" s="68"/>
      <c r="C1115" s="69"/>
      <c r="D1115" s="70"/>
      <c r="F1115" s="68"/>
      <c r="G1115" s="69"/>
      <c r="H1115" s="70"/>
      <c r="J1115" s="71"/>
      <c r="K1115" s="71"/>
      <c r="L1115" s="67"/>
      <c r="N1115" s="71"/>
      <c r="O1115" s="71"/>
      <c r="P1115" s="67"/>
      <c r="R1115" s="67"/>
      <c r="S1115" s="6"/>
      <c r="T1115" s="6"/>
      <c r="U1115" s="6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  <c r="AG1115" s="6"/>
      <c r="AH1115" s="6"/>
      <c r="AI1115" s="6"/>
      <c r="AJ1115" s="6"/>
      <c r="AK1115" s="6"/>
      <c r="AL1115" s="6"/>
      <c r="AM1115" s="6"/>
      <c r="AN1115" s="6"/>
      <c r="AO1115" s="6"/>
      <c r="AP1115" s="6"/>
      <c r="AQ1115" s="6"/>
      <c r="AR1115" s="6"/>
      <c r="AS1115" s="6"/>
      <c r="AT1115" s="6"/>
      <c r="AU1115" s="6"/>
      <c r="AV1115" s="6"/>
      <c r="AW1115" s="6"/>
      <c r="AX1115" s="6"/>
      <c r="AY1115" s="6"/>
      <c r="AZ1115" s="6"/>
      <c r="BA1115" s="6"/>
      <c r="BB1115" s="6"/>
      <c r="BC1115" s="6"/>
      <c r="BD1115" s="6"/>
      <c r="BE1115" s="6"/>
      <c r="BF1115" s="6"/>
      <c r="BG1115" s="6"/>
      <c r="BH1115" s="6"/>
      <c r="BI1115" s="6"/>
      <c r="BJ1115" s="6"/>
      <c r="BK1115" s="6"/>
      <c r="BL1115" s="6"/>
      <c r="BM1115" s="6"/>
      <c r="BN1115" s="6"/>
      <c r="BO1115" s="6"/>
      <c r="BP1115" s="6"/>
      <c r="BQ1115" s="6"/>
      <c r="BR1115" s="6"/>
      <c r="BS1115" s="6"/>
      <c r="BT1115" s="6"/>
      <c r="BU1115" s="6"/>
      <c r="BV1115" s="6"/>
      <c r="BW1115" s="6"/>
      <c r="BX1115" s="6"/>
      <c r="BY1115" s="6"/>
      <c r="BZ1115" s="6"/>
      <c r="CA1115" s="6"/>
      <c r="CB1115" s="6"/>
      <c r="CC1115" s="6"/>
    </row>
    <row r="1116" spans="2:81" x14ac:dyDescent="0.2">
      <c r="B1116" s="68"/>
      <c r="C1116" s="69"/>
      <c r="D1116" s="70"/>
      <c r="F1116" s="68"/>
      <c r="G1116" s="69"/>
      <c r="H1116" s="70"/>
      <c r="J1116" s="71"/>
      <c r="K1116" s="71"/>
      <c r="L1116" s="67"/>
      <c r="N1116" s="71"/>
      <c r="O1116" s="71"/>
      <c r="P1116" s="67"/>
      <c r="R1116" s="67"/>
      <c r="S1116" s="6"/>
      <c r="T1116" s="6"/>
      <c r="U1116" s="6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  <c r="AG1116" s="6"/>
      <c r="AH1116" s="6"/>
      <c r="AI1116" s="6"/>
      <c r="AJ1116" s="6"/>
      <c r="AK1116" s="6"/>
      <c r="AL1116" s="6"/>
      <c r="AM1116" s="6"/>
      <c r="AN1116" s="6"/>
      <c r="AO1116" s="6"/>
      <c r="AP1116" s="6"/>
      <c r="AQ1116" s="6"/>
      <c r="AR1116" s="6"/>
      <c r="AS1116" s="6"/>
      <c r="AT1116" s="6"/>
      <c r="AU1116" s="6"/>
      <c r="AV1116" s="6"/>
      <c r="AW1116" s="6"/>
      <c r="AX1116" s="6"/>
      <c r="AY1116" s="6"/>
      <c r="AZ1116" s="6"/>
      <c r="BA1116" s="6"/>
      <c r="BB1116" s="6"/>
      <c r="BC1116" s="6"/>
      <c r="BD1116" s="6"/>
      <c r="BE1116" s="6"/>
      <c r="BF1116" s="6"/>
      <c r="BG1116" s="6"/>
      <c r="BH1116" s="6"/>
      <c r="BI1116" s="6"/>
      <c r="BJ1116" s="6"/>
      <c r="BK1116" s="6"/>
      <c r="BL1116" s="6"/>
      <c r="BM1116" s="6"/>
      <c r="BN1116" s="6"/>
      <c r="BO1116" s="6"/>
      <c r="BP1116" s="6"/>
      <c r="BQ1116" s="6"/>
      <c r="BR1116" s="6"/>
      <c r="BS1116" s="6"/>
      <c r="BT1116" s="6"/>
      <c r="BU1116" s="6"/>
      <c r="BV1116" s="6"/>
      <c r="BW1116" s="6"/>
      <c r="BX1116" s="6"/>
      <c r="BY1116" s="6"/>
      <c r="BZ1116" s="6"/>
      <c r="CA1116" s="6"/>
      <c r="CB1116" s="6"/>
      <c r="CC1116" s="6"/>
    </row>
    <row r="1117" spans="2:81" x14ac:dyDescent="0.2">
      <c r="B1117" s="68"/>
      <c r="C1117" s="69"/>
      <c r="D1117" s="70"/>
      <c r="F1117" s="68"/>
      <c r="G1117" s="69"/>
      <c r="H1117" s="70"/>
      <c r="J1117" s="71"/>
      <c r="K1117" s="71"/>
      <c r="L1117" s="67"/>
      <c r="N1117" s="71"/>
      <c r="O1117" s="71"/>
      <c r="P1117" s="67"/>
      <c r="R1117" s="67"/>
      <c r="S1117" s="6"/>
      <c r="T1117" s="6"/>
      <c r="U1117" s="6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  <c r="AG1117" s="6"/>
      <c r="AH1117" s="6"/>
      <c r="AI1117" s="6"/>
      <c r="AJ1117" s="6"/>
      <c r="AK1117" s="6"/>
      <c r="AL1117" s="6"/>
      <c r="AM1117" s="6"/>
      <c r="AN1117" s="6"/>
      <c r="AO1117" s="6"/>
      <c r="AP1117" s="6"/>
      <c r="AQ1117" s="6"/>
      <c r="AR1117" s="6"/>
      <c r="AS1117" s="6"/>
      <c r="AT1117" s="6"/>
      <c r="AU1117" s="6"/>
      <c r="AV1117" s="6"/>
      <c r="AW1117" s="6"/>
      <c r="AX1117" s="6"/>
      <c r="AY1117" s="6"/>
      <c r="AZ1117" s="6"/>
      <c r="BA1117" s="6"/>
      <c r="BB1117" s="6"/>
      <c r="BC1117" s="6"/>
      <c r="BD1117" s="6"/>
      <c r="BE1117" s="6"/>
      <c r="BF1117" s="6"/>
      <c r="BG1117" s="6"/>
      <c r="BH1117" s="6"/>
      <c r="BI1117" s="6"/>
      <c r="BJ1117" s="6"/>
      <c r="BK1117" s="6"/>
      <c r="BL1117" s="6"/>
      <c r="BM1117" s="6"/>
      <c r="BN1117" s="6"/>
      <c r="BO1117" s="6"/>
      <c r="BP1117" s="6"/>
      <c r="BQ1117" s="6"/>
      <c r="BR1117" s="6"/>
      <c r="BS1117" s="6"/>
      <c r="BT1117" s="6"/>
      <c r="BU1117" s="6"/>
      <c r="BV1117" s="6"/>
      <c r="BW1117" s="6"/>
      <c r="BX1117" s="6"/>
      <c r="BY1117" s="6"/>
      <c r="BZ1117" s="6"/>
      <c r="CA1117" s="6"/>
      <c r="CB1117" s="6"/>
      <c r="CC1117" s="6"/>
    </row>
    <row r="1118" spans="2:81" x14ac:dyDescent="0.2">
      <c r="B1118" s="68"/>
      <c r="C1118" s="69"/>
      <c r="D1118" s="70"/>
      <c r="F1118" s="68"/>
      <c r="G1118" s="69"/>
      <c r="H1118" s="70"/>
      <c r="J1118" s="71"/>
      <c r="K1118" s="71"/>
      <c r="L1118" s="67"/>
      <c r="N1118" s="71"/>
      <c r="O1118" s="71"/>
      <c r="P1118" s="67"/>
      <c r="R1118" s="67"/>
      <c r="S1118" s="6"/>
      <c r="T1118" s="6"/>
      <c r="U1118" s="6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  <c r="AG1118" s="6"/>
      <c r="AH1118" s="6"/>
      <c r="AI1118" s="6"/>
      <c r="AJ1118" s="6"/>
      <c r="AK1118" s="6"/>
      <c r="AL1118" s="6"/>
      <c r="AM1118" s="6"/>
      <c r="AN1118" s="6"/>
      <c r="AO1118" s="6"/>
      <c r="AP1118" s="6"/>
      <c r="AQ1118" s="6"/>
      <c r="AR1118" s="6"/>
      <c r="AS1118" s="6"/>
      <c r="AT1118" s="6"/>
      <c r="AU1118" s="6"/>
      <c r="AV1118" s="6"/>
      <c r="AW1118" s="6"/>
      <c r="AX1118" s="6"/>
      <c r="AY1118" s="6"/>
      <c r="AZ1118" s="6"/>
      <c r="BA1118" s="6"/>
      <c r="BB1118" s="6"/>
      <c r="BC1118" s="6"/>
      <c r="BD1118" s="6"/>
      <c r="BE1118" s="6"/>
      <c r="BF1118" s="6"/>
      <c r="BG1118" s="6"/>
      <c r="BH1118" s="6"/>
      <c r="BI1118" s="6"/>
      <c r="BJ1118" s="6"/>
      <c r="BK1118" s="6"/>
      <c r="BL1118" s="6"/>
      <c r="BM1118" s="6"/>
      <c r="BN1118" s="6"/>
      <c r="BO1118" s="6"/>
      <c r="BP1118" s="6"/>
      <c r="BQ1118" s="6"/>
      <c r="BR1118" s="6"/>
      <c r="BS1118" s="6"/>
      <c r="BT1118" s="6"/>
      <c r="BU1118" s="6"/>
      <c r="BV1118" s="6"/>
      <c r="BW1118" s="6"/>
      <c r="BX1118" s="6"/>
      <c r="BY1118" s="6"/>
      <c r="BZ1118" s="6"/>
      <c r="CA1118" s="6"/>
      <c r="CB1118" s="6"/>
      <c r="CC1118" s="6"/>
    </row>
    <row r="1119" spans="2:81" x14ac:dyDescent="0.2">
      <c r="B1119" s="68"/>
      <c r="C1119" s="69"/>
      <c r="D1119" s="70"/>
      <c r="F1119" s="68"/>
      <c r="G1119" s="69"/>
      <c r="H1119" s="70"/>
      <c r="J1119" s="71"/>
      <c r="K1119" s="71"/>
      <c r="L1119" s="67"/>
      <c r="N1119" s="71"/>
      <c r="O1119" s="71"/>
      <c r="P1119" s="67"/>
      <c r="R1119" s="67"/>
      <c r="S1119" s="6"/>
      <c r="T1119" s="6"/>
      <c r="U1119" s="6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  <c r="AG1119" s="6"/>
      <c r="AH1119" s="6"/>
      <c r="AI1119" s="6"/>
      <c r="AJ1119" s="6"/>
      <c r="AK1119" s="6"/>
      <c r="AL1119" s="6"/>
      <c r="AM1119" s="6"/>
      <c r="AN1119" s="6"/>
      <c r="AO1119" s="6"/>
      <c r="AP1119" s="6"/>
      <c r="AQ1119" s="6"/>
      <c r="AR1119" s="6"/>
      <c r="AS1119" s="6"/>
      <c r="AT1119" s="6"/>
      <c r="AU1119" s="6"/>
      <c r="AV1119" s="6"/>
      <c r="AW1119" s="6"/>
      <c r="AX1119" s="6"/>
      <c r="AY1119" s="6"/>
      <c r="AZ1119" s="6"/>
      <c r="BA1119" s="6"/>
      <c r="BB1119" s="6"/>
      <c r="BC1119" s="6"/>
      <c r="BD1119" s="6"/>
      <c r="BE1119" s="6"/>
      <c r="BF1119" s="6"/>
      <c r="BG1119" s="6"/>
      <c r="BH1119" s="6"/>
      <c r="BI1119" s="6"/>
      <c r="BJ1119" s="6"/>
      <c r="BK1119" s="6"/>
      <c r="BL1119" s="6"/>
      <c r="BM1119" s="6"/>
      <c r="BN1119" s="6"/>
      <c r="BO1119" s="6"/>
      <c r="BP1119" s="6"/>
      <c r="BQ1119" s="6"/>
      <c r="BR1119" s="6"/>
      <c r="BS1119" s="6"/>
      <c r="BT1119" s="6"/>
      <c r="BU1119" s="6"/>
      <c r="BV1119" s="6"/>
      <c r="BW1119" s="6"/>
      <c r="BX1119" s="6"/>
      <c r="BY1119" s="6"/>
      <c r="BZ1119" s="6"/>
      <c r="CA1119" s="6"/>
      <c r="CB1119" s="6"/>
      <c r="CC1119" s="6"/>
    </row>
    <row r="1120" spans="2:81" x14ac:dyDescent="0.2">
      <c r="B1120" s="68"/>
      <c r="C1120" s="69"/>
      <c r="D1120" s="70"/>
      <c r="F1120" s="68"/>
      <c r="G1120" s="69"/>
      <c r="H1120" s="70"/>
      <c r="J1120" s="71"/>
      <c r="K1120" s="71"/>
      <c r="L1120" s="67"/>
      <c r="N1120" s="71"/>
      <c r="O1120" s="71"/>
      <c r="P1120" s="67"/>
      <c r="R1120" s="67"/>
      <c r="S1120" s="6"/>
      <c r="T1120" s="6"/>
      <c r="U1120" s="6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  <c r="AG1120" s="6"/>
      <c r="AH1120" s="6"/>
      <c r="AI1120" s="6"/>
      <c r="AJ1120" s="6"/>
      <c r="AK1120" s="6"/>
      <c r="AL1120" s="6"/>
      <c r="AM1120" s="6"/>
      <c r="AN1120" s="6"/>
      <c r="AO1120" s="6"/>
      <c r="AP1120" s="6"/>
      <c r="AQ1120" s="6"/>
      <c r="AR1120" s="6"/>
      <c r="AS1120" s="6"/>
      <c r="AT1120" s="6"/>
      <c r="AU1120" s="6"/>
      <c r="AV1120" s="6"/>
      <c r="AW1120" s="6"/>
      <c r="AX1120" s="6"/>
      <c r="AY1120" s="6"/>
      <c r="AZ1120" s="6"/>
      <c r="BA1120" s="6"/>
      <c r="BB1120" s="6"/>
      <c r="BC1120" s="6"/>
      <c r="BD1120" s="6"/>
      <c r="BE1120" s="6"/>
      <c r="BF1120" s="6"/>
      <c r="BG1120" s="6"/>
      <c r="BH1120" s="6"/>
      <c r="BI1120" s="6"/>
      <c r="BJ1120" s="6"/>
      <c r="BK1120" s="6"/>
      <c r="BL1120" s="6"/>
      <c r="BM1120" s="6"/>
      <c r="BN1120" s="6"/>
      <c r="BO1120" s="6"/>
      <c r="BP1120" s="6"/>
      <c r="BQ1120" s="6"/>
      <c r="BR1120" s="6"/>
      <c r="BS1120" s="6"/>
      <c r="BT1120" s="6"/>
      <c r="BU1120" s="6"/>
      <c r="BV1120" s="6"/>
      <c r="BW1120" s="6"/>
      <c r="BX1120" s="6"/>
      <c r="BY1120" s="6"/>
      <c r="BZ1120" s="6"/>
      <c r="CA1120" s="6"/>
      <c r="CB1120" s="6"/>
      <c r="CC1120" s="6"/>
    </row>
    <row r="1121" spans="2:81" x14ac:dyDescent="0.2">
      <c r="B1121" s="68"/>
      <c r="C1121" s="69"/>
      <c r="D1121" s="70"/>
      <c r="F1121" s="68"/>
      <c r="G1121" s="69"/>
      <c r="H1121" s="70"/>
      <c r="J1121" s="71"/>
      <c r="K1121" s="71"/>
      <c r="L1121" s="67"/>
      <c r="N1121" s="71"/>
      <c r="O1121" s="71"/>
      <c r="P1121" s="67"/>
      <c r="R1121" s="67"/>
      <c r="S1121" s="6"/>
      <c r="T1121" s="6"/>
      <c r="U1121" s="6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  <c r="AG1121" s="6"/>
      <c r="AH1121" s="6"/>
      <c r="AI1121" s="6"/>
      <c r="AJ1121" s="6"/>
      <c r="AK1121" s="6"/>
      <c r="AL1121" s="6"/>
      <c r="AM1121" s="6"/>
      <c r="AN1121" s="6"/>
      <c r="AO1121" s="6"/>
      <c r="AP1121" s="6"/>
      <c r="AQ1121" s="6"/>
      <c r="AR1121" s="6"/>
      <c r="AS1121" s="6"/>
      <c r="AT1121" s="6"/>
      <c r="AU1121" s="6"/>
      <c r="AV1121" s="6"/>
      <c r="AW1121" s="6"/>
      <c r="AX1121" s="6"/>
      <c r="AY1121" s="6"/>
      <c r="AZ1121" s="6"/>
      <c r="BA1121" s="6"/>
      <c r="BB1121" s="6"/>
      <c r="BC1121" s="6"/>
      <c r="BD1121" s="6"/>
      <c r="BE1121" s="6"/>
      <c r="BF1121" s="6"/>
      <c r="BG1121" s="6"/>
      <c r="BH1121" s="6"/>
      <c r="BI1121" s="6"/>
      <c r="BJ1121" s="6"/>
      <c r="BK1121" s="6"/>
      <c r="BL1121" s="6"/>
      <c r="BM1121" s="6"/>
      <c r="BN1121" s="6"/>
      <c r="BO1121" s="6"/>
      <c r="BP1121" s="6"/>
      <c r="BQ1121" s="6"/>
      <c r="BR1121" s="6"/>
      <c r="BS1121" s="6"/>
      <c r="BT1121" s="6"/>
      <c r="BU1121" s="6"/>
      <c r="BV1121" s="6"/>
      <c r="BW1121" s="6"/>
      <c r="BX1121" s="6"/>
      <c r="BY1121" s="6"/>
      <c r="BZ1121" s="6"/>
      <c r="CA1121" s="6"/>
      <c r="CB1121" s="6"/>
      <c r="CC1121" s="6"/>
    </row>
    <row r="1122" spans="2:81" x14ac:dyDescent="0.2">
      <c r="B1122" s="68"/>
      <c r="C1122" s="69"/>
      <c r="D1122" s="70"/>
      <c r="F1122" s="68"/>
      <c r="G1122" s="69"/>
      <c r="H1122" s="70"/>
      <c r="J1122" s="71"/>
      <c r="K1122" s="71"/>
      <c r="L1122" s="67"/>
      <c r="N1122" s="71"/>
      <c r="O1122" s="71"/>
      <c r="P1122" s="67"/>
      <c r="R1122" s="67"/>
      <c r="S1122" s="6"/>
      <c r="T1122" s="6"/>
      <c r="U1122" s="6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  <c r="AG1122" s="6"/>
      <c r="AH1122" s="6"/>
      <c r="AI1122" s="6"/>
      <c r="AJ1122" s="6"/>
      <c r="AK1122" s="6"/>
      <c r="AL1122" s="6"/>
      <c r="AM1122" s="6"/>
      <c r="AN1122" s="6"/>
      <c r="AO1122" s="6"/>
      <c r="AP1122" s="6"/>
      <c r="AQ1122" s="6"/>
      <c r="AR1122" s="6"/>
      <c r="AS1122" s="6"/>
      <c r="AT1122" s="6"/>
      <c r="AU1122" s="6"/>
      <c r="AV1122" s="6"/>
      <c r="AW1122" s="6"/>
      <c r="AX1122" s="6"/>
      <c r="AY1122" s="6"/>
      <c r="AZ1122" s="6"/>
      <c r="BA1122" s="6"/>
      <c r="BB1122" s="6"/>
      <c r="BC1122" s="6"/>
      <c r="BD1122" s="6"/>
      <c r="BE1122" s="6"/>
      <c r="BF1122" s="6"/>
      <c r="BG1122" s="6"/>
      <c r="BH1122" s="6"/>
      <c r="BI1122" s="6"/>
      <c r="BJ1122" s="6"/>
      <c r="BK1122" s="6"/>
      <c r="BL1122" s="6"/>
      <c r="BM1122" s="6"/>
      <c r="BN1122" s="6"/>
      <c r="BO1122" s="6"/>
      <c r="BP1122" s="6"/>
      <c r="BQ1122" s="6"/>
      <c r="BR1122" s="6"/>
      <c r="BS1122" s="6"/>
      <c r="BT1122" s="6"/>
      <c r="BU1122" s="6"/>
      <c r="BV1122" s="6"/>
      <c r="BW1122" s="6"/>
      <c r="BX1122" s="6"/>
      <c r="BY1122" s="6"/>
      <c r="BZ1122" s="6"/>
      <c r="CA1122" s="6"/>
      <c r="CB1122" s="6"/>
      <c r="CC1122" s="6"/>
    </row>
    <row r="1123" spans="2:81" x14ac:dyDescent="0.2">
      <c r="B1123" s="68"/>
      <c r="C1123" s="69"/>
      <c r="D1123" s="70"/>
      <c r="F1123" s="68"/>
      <c r="G1123" s="69"/>
      <c r="H1123" s="70"/>
      <c r="J1123" s="71"/>
      <c r="K1123" s="71"/>
      <c r="L1123" s="67"/>
      <c r="N1123" s="71"/>
      <c r="O1123" s="71"/>
      <c r="P1123" s="67"/>
      <c r="R1123" s="67"/>
      <c r="S1123" s="6"/>
      <c r="T1123" s="6"/>
      <c r="U1123" s="6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  <c r="AG1123" s="6"/>
      <c r="AH1123" s="6"/>
      <c r="AI1123" s="6"/>
      <c r="AJ1123" s="6"/>
      <c r="AK1123" s="6"/>
      <c r="AL1123" s="6"/>
      <c r="AM1123" s="6"/>
      <c r="AN1123" s="6"/>
      <c r="AO1123" s="6"/>
      <c r="AP1123" s="6"/>
      <c r="AQ1123" s="6"/>
      <c r="AR1123" s="6"/>
      <c r="AS1123" s="6"/>
      <c r="AT1123" s="6"/>
      <c r="AU1123" s="6"/>
      <c r="AV1123" s="6"/>
      <c r="AW1123" s="6"/>
      <c r="AX1123" s="6"/>
      <c r="AY1123" s="6"/>
      <c r="AZ1123" s="6"/>
      <c r="BA1123" s="6"/>
      <c r="BB1123" s="6"/>
      <c r="BC1123" s="6"/>
      <c r="BD1123" s="6"/>
      <c r="BE1123" s="6"/>
      <c r="BF1123" s="6"/>
      <c r="BG1123" s="6"/>
      <c r="BH1123" s="6"/>
      <c r="BI1123" s="6"/>
      <c r="BJ1123" s="6"/>
      <c r="BK1123" s="6"/>
      <c r="BL1123" s="6"/>
      <c r="BM1123" s="6"/>
      <c r="BN1123" s="6"/>
      <c r="BO1123" s="6"/>
      <c r="BP1123" s="6"/>
      <c r="BQ1123" s="6"/>
      <c r="BR1123" s="6"/>
      <c r="BS1123" s="6"/>
      <c r="BT1123" s="6"/>
      <c r="BU1123" s="6"/>
      <c r="BV1123" s="6"/>
      <c r="BW1123" s="6"/>
      <c r="BX1123" s="6"/>
      <c r="BY1123" s="6"/>
      <c r="BZ1123" s="6"/>
      <c r="CA1123" s="6"/>
      <c r="CB1123" s="6"/>
      <c r="CC1123" s="6"/>
    </row>
    <row r="1124" spans="2:81" x14ac:dyDescent="0.2">
      <c r="B1124" s="68"/>
      <c r="C1124" s="69"/>
      <c r="D1124" s="70"/>
      <c r="F1124" s="68"/>
      <c r="G1124" s="69"/>
      <c r="H1124" s="70"/>
      <c r="J1124" s="71"/>
      <c r="K1124" s="71"/>
      <c r="L1124" s="67"/>
      <c r="N1124" s="71"/>
      <c r="O1124" s="71"/>
      <c r="P1124" s="67"/>
      <c r="R1124" s="67"/>
      <c r="S1124" s="6"/>
      <c r="T1124" s="6"/>
      <c r="U1124" s="6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  <c r="AG1124" s="6"/>
      <c r="AH1124" s="6"/>
      <c r="AI1124" s="6"/>
      <c r="AJ1124" s="6"/>
      <c r="AK1124" s="6"/>
      <c r="AL1124" s="6"/>
      <c r="AM1124" s="6"/>
      <c r="AN1124" s="6"/>
      <c r="AO1124" s="6"/>
      <c r="AP1124" s="6"/>
      <c r="AQ1124" s="6"/>
      <c r="AR1124" s="6"/>
      <c r="AS1124" s="6"/>
      <c r="AT1124" s="6"/>
      <c r="AU1124" s="6"/>
      <c r="AV1124" s="6"/>
      <c r="AW1124" s="6"/>
      <c r="AX1124" s="6"/>
      <c r="AY1124" s="6"/>
      <c r="AZ1124" s="6"/>
      <c r="BA1124" s="6"/>
      <c r="BB1124" s="6"/>
      <c r="BC1124" s="6"/>
      <c r="BD1124" s="6"/>
      <c r="BE1124" s="6"/>
      <c r="BF1124" s="6"/>
      <c r="BG1124" s="6"/>
      <c r="BH1124" s="6"/>
      <c r="BI1124" s="6"/>
      <c r="BJ1124" s="6"/>
      <c r="BK1124" s="6"/>
      <c r="BL1124" s="6"/>
      <c r="BM1124" s="6"/>
      <c r="BN1124" s="6"/>
      <c r="BO1124" s="6"/>
      <c r="BP1124" s="6"/>
      <c r="BQ1124" s="6"/>
      <c r="BR1124" s="6"/>
      <c r="BS1124" s="6"/>
      <c r="BT1124" s="6"/>
      <c r="BU1124" s="6"/>
      <c r="BV1124" s="6"/>
      <c r="BW1124" s="6"/>
      <c r="BX1124" s="6"/>
      <c r="BY1124" s="6"/>
      <c r="BZ1124" s="6"/>
      <c r="CA1124" s="6"/>
      <c r="CB1124" s="6"/>
      <c r="CC1124" s="6"/>
    </row>
    <row r="1125" spans="2:81" x14ac:dyDescent="0.2">
      <c r="B1125" s="68"/>
      <c r="C1125" s="69"/>
      <c r="D1125" s="70"/>
      <c r="F1125" s="68"/>
      <c r="G1125" s="69"/>
      <c r="H1125" s="70"/>
      <c r="J1125" s="71"/>
      <c r="K1125" s="71"/>
      <c r="L1125" s="67"/>
      <c r="N1125" s="71"/>
      <c r="O1125" s="71"/>
      <c r="P1125" s="67"/>
      <c r="R1125" s="67"/>
      <c r="S1125" s="6"/>
      <c r="T1125" s="6"/>
      <c r="U1125" s="6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  <c r="AG1125" s="6"/>
      <c r="AH1125" s="6"/>
      <c r="AI1125" s="6"/>
      <c r="AJ1125" s="6"/>
      <c r="AK1125" s="6"/>
      <c r="AL1125" s="6"/>
      <c r="AM1125" s="6"/>
      <c r="AN1125" s="6"/>
      <c r="AO1125" s="6"/>
      <c r="AP1125" s="6"/>
      <c r="AQ1125" s="6"/>
      <c r="AR1125" s="6"/>
      <c r="AS1125" s="6"/>
      <c r="AT1125" s="6"/>
      <c r="AU1125" s="6"/>
      <c r="AV1125" s="6"/>
      <c r="AW1125" s="6"/>
      <c r="AX1125" s="6"/>
      <c r="AY1125" s="6"/>
      <c r="AZ1125" s="6"/>
      <c r="BA1125" s="6"/>
      <c r="BB1125" s="6"/>
      <c r="BC1125" s="6"/>
      <c r="BD1125" s="6"/>
      <c r="BE1125" s="6"/>
      <c r="BF1125" s="6"/>
      <c r="BG1125" s="6"/>
      <c r="BH1125" s="6"/>
      <c r="BI1125" s="6"/>
      <c r="BJ1125" s="6"/>
      <c r="BK1125" s="6"/>
      <c r="BL1125" s="6"/>
      <c r="BM1125" s="6"/>
      <c r="BN1125" s="6"/>
      <c r="BO1125" s="6"/>
      <c r="BP1125" s="6"/>
      <c r="BQ1125" s="6"/>
      <c r="BR1125" s="6"/>
      <c r="BS1125" s="6"/>
      <c r="BT1125" s="6"/>
      <c r="BU1125" s="6"/>
      <c r="BV1125" s="6"/>
      <c r="BW1125" s="6"/>
      <c r="BX1125" s="6"/>
      <c r="BY1125" s="6"/>
      <c r="BZ1125" s="6"/>
      <c r="CA1125" s="6"/>
      <c r="CB1125" s="6"/>
      <c r="CC1125" s="6"/>
    </row>
    <row r="1126" spans="2:81" x14ac:dyDescent="0.2">
      <c r="B1126" s="68"/>
      <c r="C1126" s="69"/>
      <c r="D1126" s="70"/>
      <c r="F1126" s="68"/>
      <c r="G1126" s="69"/>
      <c r="H1126" s="70"/>
      <c r="J1126" s="71"/>
      <c r="K1126" s="71"/>
      <c r="L1126" s="67"/>
      <c r="N1126" s="71"/>
      <c r="O1126" s="71"/>
      <c r="P1126" s="67"/>
      <c r="R1126" s="67"/>
      <c r="S1126" s="6"/>
      <c r="T1126" s="6"/>
      <c r="U1126" s="6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  <c r="AG1126" s="6"/>
      <c r="AH1126" s="6"/>
      <c r="AI1126" s="6"/>
      <c r="AJ1126" s="6"/>
      <c r="AK1126" s="6"/>
      <c r="AL1126" s="6"/>
      <c r="AM1126" s="6"/>
      <c r="AN1126" s="6"/>
      <c r="AO1126" s="6"/>
      <c r="AP1126" s="6"/>
      <c r="AQ1126" s="6"/>
      <c r="AR1126" s="6"/>
      <c r="AS1126" s="6"/>
      <c r="AT1126" s="6"/>
      <c r="AU1126" s="6"/>
      <c r="AV1126" s="6"/>
      <c r="AW1126" s="6"/>
      <c r="AX1126" s="6"/>
      <c r="AY1126" s="6"/>
      <c r="AZ1126" s="6"/>
      <c r="BA1126" s="6"/>
      <c r="BB1126" s="6"/>
      <c r="BC1126" s="6"/>
      <c r="BD1126" s="6"/>
      <c r="BE1126" s="6"/>
      <c r="BF1126" s="6"/>
      <c r="BG1126" s="6"/>
      <c r="BH1126" s="6"/>
      <c r="BI1126" s="6"/>
      <c r="BJ1126" s="6"/>
      <c r="BK1126" s="6"/>
      <c r="BL1126" s="6"/>
      <c r="BM1126" s="6"/>
      <c r="BN1126" s="6"/>
      <c r="BO1126" s="6"/>
      <c r="BP1126" s="6"/>
      <c r="BQ1126" s="6"/>
      <c r="BR1126" s="6"/>
      <c r="BS1126" s="6"/>
      <c r="BT1126" s="6"/>
      <c r="BU1126" s="6"/>
      <c r="BV1126" s="6"/>
      <c r="BW1126" s="6"/>
      <c r="BX1126" s="6"/>
      <c r="BY1126" s="6"/>
      <c r="BZ1126" s="6"/>
      <c r="CA1126" s="6"/>
      <c r="CB1126" s="6"/>
      <c r="CC1126" s="6"/>
    </row>
    <row r="1127" spans="2:81" x14ac:dyDescent="0.2">
      <c r="B1127" s="68"/>
      <c r="C1127" s="69"/>
      <c r="D1127" s="70"/>
      <c r="F1127" s="68"/>
      <c r="G1127" s="69"/>
      <c r="H1127" s="70"/>
      <c r="J1127" s="71"/>
      <c r="K1127" s="71"/>
      <c r="L1127" s="67"/>
      <c r="N1127" s="71"/>
      <c r="O1127" s="71"/>
      <c r="P1127" s="67"/>
      <c r="R1127" s="67"/>
      <c r="S1127" s="6"/>
      <c r="T1127" s="6"/>
      <c r="U1127" s="6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  <c r="AG1127" s="6"/>
      <c r="AH1127" s="6"/>
      <c r="AI1127" s="6"/>
      <c r="AJ1127" s="6"/>
      <c r="AK1127" s="6"/>
      <c r="AL1127" s="6"/>
      <c r="AM1127" s="6"/>
      <c r="AN1127" s="6"/>
      <c r="AO1127" s="6"/>
      <c r="AP1127" s="6"/>
      <c r="AQ1127" s="6"/>
      <c r="AR1127" s="6"/>
      <c r="AS1127" s="6"/>
      <c r="AT1127" s="6"/>
      <c r="AU1127" s="6"/>
      <c r="AV1127" s="6"/>
      <c r="AW1127" s="6"/>
      <c r="AX1127" s="6"/>
      <c r="AY1127" s="6"/>
      <c r="AZ1127" s="6"/>
      <c r="BA1127" s="6"/>
      <c r="BB1127" s="6"/>
      <c r="BC1127" s="6"/>
      <c r="BD1127" s="6"/>
      <c r="BE1127" s="6"/>
      <c r="BF1127" s="6"/>
      <c r="BG1127" s="6"/>
      <c r="BH1127" s="6"/>
      <c r="BI1127" s="6"/>
      <c r="BJ1127" s="6"/>
      <c r="BK1127" s="6"/>
      <c r="BL1127" s="6"/>
      <c r="BM1127" s="6"/>
      <c r="BN1127" s="6"/>
      <c r="BO1127" s="6"/>
      <c r="BP1127" s="6"/>
      <c r="BQ1127" s="6"/>
      <c r="BR1127" s="6"/>
      <c r="BS1127" s="6"/>
      <c r="BT1127" s="6"/>
      <c r="BU1127" s="6"/>
      <c r="BV1127" s="6"/>
      <c r="BW1127" s="6"/>
      <c r="BX1127" s="6"/>
      <c r="BY1127" s="6"/>
      <c r="BZ1127" s="6"/>
      <c r="CA1127" s="6"/>
      <c r="CB1127" s="6"/>
      <c r="CC1127" s="6"/>
    </row>
    <row r="1128" spans="2:81" x14ac:dyDescent="0.2">
      <c r="B1128" s="68"/>
      <c r="C1128" s="69"/>
      <c r="D1128" s="70"/>
      <c r="F1128" s="68"/>
      <c r="G1128" s="69"/>
      <c r="H1128" s="70"/>
      <c r="J1128" s="71"/>
      <c r="K1128" s="71"/>
      <c r="L1128" s="67"/>
      <c r="N1128" s="71"/>
      <c r="O1128" s="71"/>
      <c r="P1128" s="67"/>
      <c r="R1128" s="67"/>
      <c r="S1128" s="6"/>
      <c r="T1128" s="6"/>
      <c r="U1128" s="6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  <c r="AG1128" s="6"/>
      <c r="AH1128" s="6"/>
      <c r="AI1128" s="6"/>
      <c r="AJ1128" s="6"/>
      <c r="AK1128" s="6"/>
      <c r="AL1128" s="6"/>
      <c r="AM1128" s="6"/>
      <c r="AN1128" s="6"/>
      <c r="AO1128" s="6"/>
      <c r="AP1128" s="6"/>
      <c r="AQ1128" s="6"/>
      <c r="AR1128" s="6"/>
      <c r="AS1128" s="6"/>
      <c r="AT1128" s="6"/>
      <c r="AU1128" s="6"/>
      <c r="AV1128" s="6"/>
      <c r="AW1128" s="6"/>
      <c r="AX1128" s="6"/>
      <c r="AY1128" s="6"/>
      <c r="AZ1128" s="6"/>
      <c r="BA1128" s="6"/>
      <c r="BB1128" s="6"/>
      <c r="BC1128" s="6"/>
      <c r="BD1128" s="6"/>
      <c r="BE1128" s="6"/>
      <c r="BF1128" s="6"/>
      <c r="BG1128" s="6"/>
      <c r="BH1128" s="6"/>
      <c r="BI1128" s="6"/>
      <c r="BJ1128" s="6"/>
      <c r="BK1128" s="6"/>
      <c r="BL1128" s="6"/>
      <c r="BM1128" s="6"/>
      <c r="BN1128" s="6"/>
      <c r="BO1128" s="6"/>
      <c r="BP1128" s="6"/>
      <c r="BQ1128" s="6"/>
      <c r="BR1128" s="6"/>
      <c r="BS1128" s="6"/>
      <c r="BT1128" s="6"/>
      <c r="BU1128" s="6"/>
      <c r="BV1128" s="6"/>
      <c r="BW1128" s="6"/>
      <c r="BX1128" s="6"/>
      <c r="BY1128" s="6"/>
      <c r="BZ1128" s="6"/>
      <c r="CA1128" s="6"/>
      <c r="CB1128" s="6"/>
      <c r="CC1128" s="6"/>
    </row>
    <row r="1129" spans="2:81" x14ac:dyDescent="0.2">
      <c r="B1129" s="68"/>
      <c r="C1129" s="69"/>
      <c r="D1129" s="70"/>
      <c r="F1129" s="68"/>
      <c r="G1129" s="69"/>
      <c r="H1129" s="70"/>
      <c r="J1129" s="71"/>
      <c r="K1129" s="71"/>
      <c r="L1129" s="67"/>
      <c r="N1129" s="71"/>
      <c r="O1129" s="71"/>
      <c r="P1129" s="67"/>
      <c r="R1129" s="67"/>
      <c r="S1129" s="6"/>
      <c r="T1129" s="6"/>
      <c r="U1129" s="6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  <c r="AG1129" s="6"/>
      <c r="AH1129" s="6"/>
      <c r="AI1129" s="6"/>
      <c r="AJ1129" s="6"/>
      <c r="AK1129" s="6"/>
      <c r="AL1129" s="6"/>
      <c r="AM1129" s="6"/>
      <c r="AN1129" s="6"/>
      <c r="AO1129" s="6"/>
      <c r="AP1129" s="6"/>
      <c r="AQ1129" s="6"/>
      <c r="AR1129" s="6"/>
      <c r="AS1129" s="6"/>
      <c r="AT1129" s="6"/>
      <c r="AU1129" s="6"/>
      <c r="AV1129" s="6"/>
      <c r="AW1129" s="6"/>
      <c r="AX1129" s="6"/>
      <c r="AY1129" s="6"/>
      <c r="AZ1129" s="6"/>
      <c r="BA1129" s="6"/>
      <c r="BB1129" s="6"/>
      <c r="BC1129" s="6"/>
      <c r="BD1129" s="6"/>
      <c r="BE1129" s="6"/>
      <c r="BF1129" s="6"/>
      <c r="BG1129" s="6"/>
      <c r="BH1129" s="6"/>
      <c r="BI1129" s="6"/>
      <c r="BJ1129" s="6"/>
      <c r="BK1129" s="6"/>
      <c r="BL1129" s="6"/>
      <c r="BM1129" s="6"/>
      <c r="BN1129" s="6"/>
      <c r="BO1129" s="6"/>
      <c r="BP1129" s="6"/>
      <c r="BQ1129" s="6"/>
      <c r="BR1129" s="6"/>
      <c r="BS1129" s="6"/>
      <c r="BT1129" s="6"/>
      <c r="BU1129" s="6"/>
      <c r="BV1129" s="6"/>
      <c r="BW1129" s="6"/>
      <c r="BX1129" s="6"/>
      <c r="BY1129" s="6"/>
      <c r="BZ1129" s="6"/>
      <c r="CA1129" s="6"/>
      <c r="CB1129" s="6"/>
      <c r="CC1129" s="6"/>
    </row>
    <row r="1130" spans="2:81" x14ac:dyDescent="0.2">
      <c r="B1130" s="68"/>
      <c r="C1130" s="69"/>
      <c r="D1130" s="70"/>
      <c r="F1130" s="68"/>
      <c r="G1130" s="69"/>
      <c r="H1130" s="70"/>
      <c r="J1130" s="71"/>
      <c r="K1130" s="71"/>
      <c r="L1130" s="67"/>
      <c r="N1130" s="71"/>
      <c r="O1130" s="71"/>
      <c r="P1130" s="67"/>
      <c r="R1130" s="67"/>
      <c r="S1130" s="6"/>
      <c r="T1130" s="6"/>
      <c r="U1130" s="6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  <c r="AG1130" s="6"/>
      <c r="AH1130" s="6"/>
      <c r="AI1130" s="6"/>
      <c r="AJ1130" s="6"/>
      <c r="AK1130" s="6"/>
      <c r="AL1130" s="6"/>
      <c r="AM1130" s="6"/>
      <c r="AN1130" s="6"/>
      <c r="AO1130" s="6"/>
      <c r="AP1130" s="6"/>
      <c r="AQ1130" s="6"/>
      <c r="AR1130" s="6"/>
      <c r="AS1130" s="6"/>
      <c r="AT1130" s="6"/>
      <c r="AU1130" s="6"/>
      <c r="AV1130" s="6"/>
      <c r="AW1130" s="6"/>
      <c r="AX1130" s="6"/>
      <c r="AY1130" s="6"/>
      <c r="AZ1130" s="6"/>
      <c r="BA1130" s="6"/>
      <c r="BB1130" s="6"/>
      <c r="BC1130" s="6"/>
      <c r="BD1130" s="6"/>
      <c r="BE1130" s="6"/>
      <c r="BF1130" s="6"/>
      <c r="BG1130" s="6"/>
      <c r="BH1130" s="6"/>
      <c r="BI1130" s="6"/>
      <c r="BJ1130" s="6"/>
      <c r="BK1130" s="6"/>
      <c r="BL1130" s="6"/>
      <c r="BM1130" s="6"/>
      <c r="BN1130" s="6"/>
      <c r="BO1130" s="6"/>
      <c r="BP1130" s="6"/>
      <c r="BQ1130" s="6"/>
      <c r="BR1130" s="6"/>
      <c r="BS1130" s="6"/>
      <c r="BT1130" s="6"/>
      <c r="BU1130" s="6"/>
      <c r="BV1130" s="6"/>
      <c r="BW1130" s="6"/>
      <c r="BX1130" s="6"/>
      <c r="BY1130" s="6"/>
      <c r="BZ1130" s="6"/>
      <c r="CA1130" s="6"/>
      <c r="CB1130" s="6"/>
      <c r="CC1130" s="6"/>
    </row>
    <row r="1131" spans="2:81" x14ac:dyDescent="0.2">
      <c r="B1131" s="68"/>
      <c r="C1131" s="69"/>
      <c r="D1131" s="70"/>
      <c r="F1131" s="68"/>
      <c r="G1131" s="69"/>
      <c r="H1131" s="70"/>
      <c r="J1131" s="71"/>
      <c r="K1131" s="71"/>
      <c r="L1131" s="67"/>
      <c r="N1131" s="71"/>
      <c r="O1131" s="71"/>
      <c r="P1131" s="67"/>
      <c r="R1131" s="67"/>
      <c r="S1131" s="6"/>
      <c r="T1131" s="6"/>
      <c r="U1131" s="6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  <c r="AG1131" s="6"/>
      <c r="AH1131" s="6"/>
      <c r="AI1131" s="6"/>
      <c r="AJ1131" s="6"/>
      <c r="AK1131" s="6"/>
      <c r="AL1131" s="6"/>
      <c r="AM1131" s="6"/>
      <c r="AN1131" s="6"/>
      <c r="AO1131" s="6"/>
      <c r="AP1131" s="6"/>
      <c r="AQ1131" s="6"/>
      <c r="AR1131" s="6"/>
      <c r="AS1131" s="6"/>
      <c r="AT1131" s="6"/>
      <c r="AU1131" s="6"/>
      <c r="AV1131" s="6"/>
      <c r="AW1131" s="6"/>
      <c r="AX1131" s="6"/>
      <c r="AY1131" s="6"/>
      <c r="AZ1131" s="6"/>
      <c r="BA1131" s="6"/>
      <c r="BB1131" s="6"/>
      <c r="BC1131" s="6"/>
      <c r="BD1131" s="6"/>
      <c r="BE1131" s="6"/>
      <c r="BF1131" s="6"/>
      <c r="BG1131" s="6"/>
      <c r="BH1131" s="6"/>
      <c r="BI1131" s="6"/>
      <c r="BJ1131" s="6"/>
      <c r="BK1131" s="6"/>
      <c r="BL1131" s="6"/>
      <c r="BM1131" s="6"/>
      <c r="BN1131" s="6"/>
      <c r="BO1131" s="6"/>
      <c r="BP1131" s="6"/>
      <c r="BQ1131" s="6"/>
      <c r="BR1131" s="6"/>
      <c r="BS1131" s="6"/>
      <c r="BT1131" s="6"/>
      <c r="BU1131" s="6"/>
      <c r="BV1131" s="6"/>
      <c r="BW1131" s="6"/>
      <c r="BX1131" s="6"/>
      <c r="BY1131" s="6"/>
      <c r="BZ1131" s="6"/>
      <c r="CA1131" s="6"/>
      <c r="CB1131" s="6"/>
      <c r="CC1131" s="6"/>
    </row>
    <row r="1132" spans="2:81" x14ac:dyDescent="0.2">
      <c r="B1132" s="68"/>
      <c r="C1132" s="69"/>
      <c r="D1132" s="70"/>
      <c r="F1132" s="68"/>
      <c r="G1132" s="69"/>
      <c r="H1132" s="70"/>
      <c r="J1132" s="71"/>
      <c r="K1132" s="71"/>
      <c r="L1132" s="67"/>
      <c r="N1132" s="71"/>
      <c r="O1132" s="71"/>
      <c r="P1132" s="67"/>
      <c r="R1132" s="67"/>
      <c r="S1132" s="6"/>
      <c r="T1132" s="6"/>
      <c r="U1132" s="6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  <c r="AG1132" s="6"/>
      <c r="AH1132" s="6"/>
      <c r="AI1132" s="6"/>
      <c r="AJ1132" s="6"/>
      <c r="AK1132" s="6"/>
      <c r="AL1132" s="6"/>
      <c r="AM1132" s="6"/>
      <c r="AN1132" s="6"/>
      <c r="AO1132" s="6"/>
      <c r="AP1132" s="6"/>
      <c r="AQ1132" s="6"/>
      <c r="AR1132" s="6"/>
      <c r="AS1132" s="6"/>
      <c r="AT1132" s="6"/>
      <c r="AU1132" s="6"/>
      <c r="AV1132" s="6"/>
      <c r="AW1132" s="6"/>
      <c r="AX1132" s="6"/>
      <c r="AY1132" s="6"/>
      <c r="AZ1132" s="6"/>
      <c r="BA1132" s="6"/>
      <c r="BB1132" s="6"/>
      <c r="BC1132" s="6"/>
      <c r="BD1132" s="6"/>
      <c r="BE1132" s="6"/>
      <c r="BF1132" s="6"/>
      <c r="BG1132" s="6"/>
      <c r="BH1132" s="6"/>
      <c r="BI1132" s="6"/>
      <c r="BJ1132" s="6"/>
      <c r="BK1132" s="6"/>
      <c r="BL1132" s="6"/>
      <c r="BM1132" s="6"/>
      <c r="BN1132" s="6"/>
      <c r="BO1132" s="6"/>
      <c r="BP1132" s="6"/>
      <c r="BQ1132" s="6"/>
      <c r="BR1132" s="6"/>
      <c r="BS1132" s="6"/>
      <c r="BT1132" s="6"/>
      <c r="BU1132" s="6"/>
      <c r="BV1132" s="6"/>
      <c r="BW1132" s="6"/>
      <c r="BX1132" s="6"/>
      <c r="BY1132" s="6"/>
      <c r="BZ1132" s="6"/>
      <c r="CA1132" s="6"/>
      <c r="CB1132" s="6"/>
      <c r="CC1132" s="6"/>
    </row>
    <row r="1133" spans="2:81" x14ac:dyDescent="0.2">
      <c r="B1133" s="68"/>
      <c r="C1133" s="69"/>
      <c r="D1133" s="70"/>
      <c r="F1133" s="68"/>
      <c r="G1133" s="69"/>
      <c r="H1133" s="70"/>
      <c r="J1133" s="71"/>
      <c r="K1133" s="71"/>
      <c r="L1133" s="67"/>
      <c r="N1133" s="71"/>
      <c r="O1133" s="71"/>
      <c r="P1133" s="67"/>
      <c r="R1133" s="67"/>
      <c r="S1133" s="6"/>
      <c r="T1133" s="6"/>
      <c r="U1133" s="6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  <c r="AG1133" s="6"/>
      <c r="AH1133" s="6"/>
      <c r="AI1133" s="6"/>
      <c r="AJ1133" s="6"/>
      <c r="AK1133" s="6"/>
      <c r="AL1133" s="6"/>
      <c r="AM1133" s="6"/>
      <c r="AN1133" s="6"/>
      <c r="AO1133" s="6"/>
      <c r="AP1133" s="6"/>
      <c r="AQ1133" s="6"/>
      <c r="AR1133" s="6"/>
      <c r="AS1133" s="6"/>
      <c r="AT1133" s="6"/>
      <c r="AU1133" s="6"/>
      <c r="AV1133" s="6"/>
      <c r="AW1133" s="6"/>
      <c r="AX1133" s="6"/>
      <c r="AY1133" s="6"/>
      <c r="AZ1133" s="6"/>
      <c r="BA1133" s="6"/>
      <c r="BB1133" s="6"/>
      <c r="BC1133" s="6"/>
      <c r="BD1133" s="6"/>
      <c r="BE1133" s="6"/>
      <c r="BF1133" s="6"/>
      <c r="BG1133" s="6"/>
      <c r="BH1133" s="6"/>
      <c r="BI1133" s="6"/>
      <c r="BJ1133" s="6"/>
      <c r="BK1133" s="6"/>
      <c r="BL1133" s="6"/>
      <c r="BM1133" s="6"/>
      <c r="BN1133" s="6"/>
      <c r="BO1133" s="6"/>
      <c r="BP1133" s="6"/>
      <c r="BQ1133" s="6"/>
      <c r="BR1133" s="6"/>
      <c r="BS1133" s="6"/>
      <c r="BT1133" s="6"/>
      <c r="BU1133" s="6"/>
      <c r="BV1133" s="6"/>
      <c r="BW1133" s="6"/>
      <c r="BX1133" s="6"/>
      <c r="BY1133" s="6"/>
      <c r="BZ1133" s="6"/>
      <c r="CA1133" s="6"/>
      <c r="CB1133" s="6"/>
      <c r="CC1133" s="6"/>
    </row>
    <row r="1134" spans="2:81" x14ac:dyDescent="0.2">
      <c r="B1134" s="68"/>
      <c r="C1134" s="69"/>
      <c r="D1134" s="70"/>
      <c r="F1134" s="68"/>
      <c r="G1134" s="69"/>
      <c r="H1134" s="70"/>
      <c r="J1134" s="71"/>
      <c r="K1134" s="71"/>
      <c r="L1134" s="67"/>
      <c r="N1134" s="71"/>
      <c r="O1134" s="71"/>
      <c r="P1134" s="67"/>
      <c r="R1134" s="67"/>
      <c r="S1134" s="6"/>
      <c r="T1134" s="6"/>
      <c r="U1134" s="6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  <c r="AG1134" s="6"/>
      <c r="AH1134" s="6"/>
      <c r="AI1134" s="6"/>
      <c r="AJ1134" s="6"/>
      <c r="AK1134" s="6"/>
      <c r="AL1134" s="6"/>
      <c r="AM1134" s="6"/>
      <c r="AN1134" s="6"/>
      <c r="AO1134" s="6"/>
      <c r="AP1134" s="6"/>
      <c r="AQ1134" s="6"/>
      <c r="AR1134" s="6"/>
      <c r="AS1134" s="6"/>
      <c r="AT1134" s="6"/>
      <c r="AU1134" s="6"/>
      <c r="AV1134" s="6"/>
      <c r="AW1134" s="6"/>
      <c r="AX1134" s="6"/>
      <c r="AY1134" s="6"/>
      <c r="AZ1134" s="6"/>
      <c r="BA1134" s="6"/>
      <c r="BB1134" s="6"/>
      <c r="BC1134" s="6"/>
      <c r="BD1134" s="6"/>
      <c r="BE1134" s="6"/>
      <c r="BF1134" s="6"/>
      <c r="BG1134" s="6"/>
      <c r="BH1134" s="6"/>
      <c r="BI1134" s="6"/>
      <c r="BJ1134" s="6"/>
      <c r="BK1134" s="6"/>
      <c r="BL1134" s="6"/>
      <c r="BM1134" s="6"/>
      <c r="BN1134" s="6"/>
      <c r="BO1134" s="6"/>
      <c r="BP1134" s="6"/>
      <c r="BQ1134" s="6"/>
      <c r="BR1134" s="6"/>
      <c r="BS1134" s="6"/>
      <c r="BT1134" s="6"/>
      <c r="BU1134" s="6"/>
      <c r="BV1134" s="6"/>
      <c r="BW1134" s="6"/>
      <c r="BX1134" s="6"/>
      <c r="BY1134" s="6"/>
      <c r="BZ1134" s="6"/>
      <c r="CA1134" s="6"/>
      <c r="CB1134" s="6"/>
      <c r="CC1134" s="6"/>
    </row>
    <row r="1135" spans="2:81" x14ac:dyDescent="0.2">
      <c r="B1135" s="68"/>
      <c r="C1135" s="69"/>
      <c r="D1135" s="70"/>
      <c r="F1135" s="68"/>
      <c r="G1135" s="69"/>
      <c r="H1135" s="70"/>
      <c r="J1135" s="71"/>
      <c r="K1135" s="71"/>
      <c r="L1135" s="67"/>
      <c r="N1135" s="71"/>
      <c r="O1135" s="71"/>
      <c r="P1135" s="67"/>
      <c r="R1135" s="67"/>
      <c r="S1135" s="6"/>
      <c r="T1135" s="6"/>
      <c r="U1135" s="6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  <c r="AG1135" s="6"/>
      <c r="AH1135" s="6"/>
      <c r="AI1135" s="6"/>
      <c r="AJ1135" s="6"/>
      <c r="AK1135" s="6"/>
      <c r="AL1135" s="6"/>
      <c r="AM1135" s="6"/>
      <c r="AN1135" s="6"/>
      <c r="AO1135" s="6"/>
      <c r="AP1135" s="6"/>
      <c r="AQ1135" s="6"/>
      <c r="AR1135" s="6"/>
      <c r="AS1135" s="6"/>
      <c r="AT1135" s="6"/>
      <c r="AU1135" s="6"/>
      <c r="AV1135" s="6"/>
      <c r="AW1135" s="6"/>
      <c r="AX1135" s="6"/>
      <c r="AY1135" s="6"/>
      <c r="AZ1135" s="6"/>
      <c r="BA1135" s="6"/>
      <c r="BB1135" s="6"/>
      <c r="BC1135" s="6"/>
      <c r="BD1135" s="6"/>
      <c r="BE1135" s="6"/>
      <c r="BF1135" s="6"/>
      <c r="BG1135" s="6"/>
      <c r="BH1135" s="6"/>
      <c r="BI1135" s="6"/>
      <c r="BJ1135" s="6"/>
      <c r="BK1135" s="6"/>
      <c r="BL1135" s="6"/>
      <c r="BM1135" s="6"/>
      <c r="BN1135" s="6"/>
      <c r="BO1135" s="6"/>
      <c r="BP1135" s="6"/>
      <c r="BQ1135" s="6"/>
      <c r="BR1135" s="6"/>
      <c r="BS1135" s="6"/>
      <c r="BT1135" s="6"/>
      <c r="BU1135" s="6"/>
      <c r="BV1135" s="6"/>
      <c r="BW1135" s="6"/>
      <c r="BX1135" s="6"/>
      <c r="BY1135" s="6"/>
      <c r="BZ1135" s="6"/>
      <c r="CA1135" s="6"/>
      <c r="CB1135" s="6"/>
      <c r="CC1135" s="6"/>
    </row>
    <row r="1136" spans="2:81" x14ac:dyDescent="0.2">
      <c r="B1136" s="68"/>
      <c r="C1136" s="69"/>
      <c r="D1136" s="70"/>
      <c r="F1136" s="68"/>
      <c r="G1136" s="69"/>
      <c r="H1136" s="70"/>
      <c r="J1136" s="71"/>
      <c r="K1136" s="71"/>
      <c r="L1136" s="67"/>
      <c r="N1136" s="71"/>
      <c r="O1136" s="71"/>
      <c r="P1136" s="67"/>
      <c r="R1136" s="67"/>
      <c r="S1136" s="6"/>
      <c r="T1136" s="6"/>
      <c r="U1136" s="6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  <c r="AG1136" s="6"/>
      <c r="AH1136" s="6"/>
      <c r="AI1136" s="6"/>
      <c r="AJ1136" s="6"/>
      <c r="AK1136" s="6"/>
      <c r="AL1136" s="6"/>
      <c r="AM1136" s="6"/>
      <c r="AN1136" s="6"/>
      <c r="AO1136" s="6"/>
      <c r="AP1136" s="6"/>
      <c r="AQ1136" s="6"/>
      <c r="AR1136" s="6"/>
      <c r="AS1136" s="6"/>
      <c r="AT1136" s="6"/>
      <c r="AU1136" s="6"/>
      <c r="AV1136" s="6"/>
      <c r="AW1136" s="6"/>
      <c r="AX1136" s="6"/>
      <c r="AY1136" s="6"/>
      <c r="AZ1136" s="6"/>
      <c r="BA1136" s="6"/>
      <c r="BB1136" s="6"/>
      <c r="BC1136" s="6"/>
      <c r="BD1136" s="6"/>
      <c r="BE1136" s="6"/>
      <c r="BF1136" s="6"/>
      <c r="BG1136" s="6"/>
      <c r="BH1136" s="6"/>
      <c r="BI1136" s="6"/>
      <c r="BJ1136" s="6"/>
      <c r="BK1136" s="6"/>
      <c r="BL1136" s="6"/>
      <c r="BM1136" s="6"/>
      <c r="BN1136" s="6"/>
      <c r="BO1136" s="6"/>
      <c r="BP1136" s="6"/>
      <c r="BQ1136" s="6"/>
      <c r="BR1136" s="6"/>
      <c r="BS1136" s="6"/>
      <c r="BT1136" s="6"/>
      <c r="BU1136" s="6"/>
      <c r="BV1136" s="6"/>
      <c r="BW1136" s="6"/>
      <c r="BX1136" s="6"/>
      <c r="BY1136" s="6"/>
      <c r="BZ1136" s="6"/>
      <c r="CA1136" s="6"/>
      <c r="CB1136" s="6"/>
      <c r="CC1136" s="6"/>
    </row>
    <row r="1137" spans="2:81" x14ac:dyDescent="0.2">
      <c r="B1137" s="68"/>
      <c r="C1137" s="69"/>
      <c r="D1137" s="70"/>
      <c r="F1137" s="68"/>
      <c r="G1137" s="69"/>
      <c r="H1137" s="70"/>
      <c r="J1137" s="71"/>
      <c r="K1137" s="71"/>
      <c r="L1137" s="67"/>
      <c r="N1137" s="71"/>
      <c r="O1137" s="71"/>
      <c r="P1137" s="67"/>
      <c r="R1137" s="67"/>
      <c r="S1137" s="6"/>
      <c r="T1137" s="6"/>
      <c r="U1137" s="6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  <c r="AG1137" s="6"/>
      <c r="AH1137" s="6"/>
      <c r="AI1137" s="6"/>
      <c r="AJ1137" s="6"/>
      <c r="AK1137" s="6"/>
      <c r="AL1137" s="6"/>
      <c r="AM1137" s="6"/>
      <c r="AN1137" s="6"/>
      <c r="AO1137" s="6"/>
      <c r="AP1137" s="6"/>
      <c r="AQ1137" s="6"/>
      <c r="AR1137" s="6"/>
      <c r="AS1137" s="6"/>
      <c r="AT1137" s="6"/>
      <c r="AU1137" s="6"/>
      <c r="AV1137" s="6"/>
      <c r="AW1137" s="6"/>
      <c r="AX1137" s="6"/>
      <c r="AY1137" s="6"/>
      <c r="AZ1137" s="6"/>
      <c r="BA1137" s="6"/>
      <c r="BB1137" s="6"/>
      <c r="BC1137" s="6"/>
      <c r="BD1137" s="6"/>
      <c r="BE1137" s="6"/>
      <c r="BF1137" s="6"/>
      <c r="BG1137" s="6"/>
      <c r="BH1137" s="6"/>
      <c r="BI1137" s="6"/>
      <c r="BJ1137" s="6"/>
      <c r="BK1137" s="6"/>
      <c r="BL1137" s="6"/>
      <c r="BM1137" s="6"/>
      <c r="BN1137" s="6"/>
      <c r="BO1137" s="6"/>
      <c r="BP1137" s="6"/>
      <c r="BQ1137" s="6"/>
      <c r="BR1137" s="6"/>
      <c r="BS1137" s="6"/>
      <c r="BT1137" s="6"/>
      <c r="BU1137" s="6"/>
      <c r="BV1137" s="6"/>
      <c r="BW1137" s="6"/>
      <c r="BX1137" s="6"/>
      <c r="BY1137" s="6"/>
      <c r="BZ1137" s="6"/>
      <c r="CA1137" s="6"/>
      <c r="CB1137" s="6"/>
      <c r="CC1137" s="6"/>
    </row>
    <row r="1138" spans="2:81" x14ac:dyDescent="0.2">
      <c r="B1138" s="68"/>
      <c r="C1138" s="69"/>
      <c r="D1138" s="70"/>
      <c r="F1138" s="68"/>
      <c r="G1138" s="69"/>
      <c r="H1138" s="70"/>
      <c r="J1138" s="71"/>
      <c r="K1138" s="71"/>
      <c r="L1138" s="67"/>
      <c r="N1138" s="71"/>
      <c r="O1138" s="71"/>
      <c r="P1138" s="67"/>
      <c r="R1138" s="67"/>
      <c r="S1138" s="6"/>
      <c r="T1138" s="6"/>
      <c r="U1138" s="6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  <c r="AG1138" s="6"/>
      <c r="AH1138" s="6"/>
      <c r="AI1138" s="6"/>
      <c r="AJ1138" s="6"/>
      <c r="AK1138" s="6"/>
      <c r="AL1138" s="6"/>
      <c r="AM1138" s="6"/>
      <c r="AN1138" s="6"/>
      <c r="AO1138" s="6"/>
      <c r="AP1138" s="6"/>
      <c r="AQ1138" s="6"/>
      <c r="AR1138" s="6"/>
      <c r="AS1138" s="6"/>
      <c r="AT1138" s="6"/>
      <c r="AU1138" s="6"/>
      <c r="AV1138" s="6"/>
      <c r="AW1138" s="6"/>
      <c r="AX1138" s="6"/>
      <c r="AY1138" s="6"/>
      <c r="AZ1138" s="6"/>
      <c r="BA1138" s="6"/>
      <c r="BB1138" s="6"/>
      <c r="BC1138" s="6"/>
      <c r="BD1138" s="6"/>
      <c r="BE1138" s="6"/>
      <c r="BF1138" s="6"/>
      <c r="BG1138" s="6"/>
      <c r="BH1138" s="6"/>
      <c r="BI1138" s="6"/>
      <c r="BJ1138" s="6"/>
      <c r="BK1138" s="6"/>
      <c r="BL1138" s="6"/>
      <c r="BM1138" s="6"/>
      <c r="BN1138" s="6"/>
      <c r="BO1138" s="6"/>
      <c r="BP1138" s="6"/>
      <c r="BQ1138" s="6"/>
      <c r="BR1138" s="6"/>
      <c r="BS1138" s="6"/>
      <c r="BT1138" s="6"/>
      <c r="BU1138" s="6"/>
      <c r="BV1138" s="6"/>
      <c r="BW1138" s="6"/>
      <c r="BX1138" s="6"/>
      <c r="BY1138" s="6"/>
      <c r="BZ1138" s="6"/>
      <c r="CA1138" s="6"/>
      <c r="CB1138" s="6"/>
      <c r="CC1138" s="6"/>
    </row>
    <row r="1139" spans="2:81" x14ac:dyDescent="0.2">
      <c r="B1139" s="68"/>
      <c r="C1139" s="69"/>
      <c r="D1139" s="70"/>
      <c r="F1139" s="68"/>
      <c r="G1139" s="69"/>
      <c r="H1139" s="70"/>
      <c r="J1139" s="71"/>
      <c r="K1139" s="71"/>
      <c r="L1139" s="67"/>
      <c r="N1139" s="71"/>
      <c r="O1139" s="71"/>
      <c r="P1139" s="67"/>
      <c r="R1139" s="67"/>
      <c r="S1139" s="6"/>
      <c r="T1139" s="6"/>
      <c r="U1139" s="6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  <c r="AG1139" s="6"/>
      <c r="AH1139" s="6"/>
      <c r="AI1139" s="6"/>
      <c r="AJ1139" s="6"/>
      <c r="AK1139" s="6"/>
      <c r="AL1139" s="6"/>
      <c r="AM1139" s="6"/>
      <c r="AN1139" s="6"/>
      <c r="AO1139" s="6"/>
      <c r="AP1139" s="6"/>
      <c r="AQ1139" s="6"/>
      <c r="AR1139" s="6"/>
      <c r="AS1139" s="6"/>
      <c r="AT1139" s="6"/>
      <c r="AU1139" s="6"/>
      <c r="AV1139" s="6"/>
      <c r="AW1139" s="6"/>
      <c r="AX1139" s="6"/>
      <c r="AY1139" s="6"/>
      <c r="AZ1139" s="6"/>
      <c r="BA1139" s="6"/>
      <c r="BB1139" s="6"/>
      <c r="BC1139" s="6"/>
      <c r="BD1139" s="6"/>
      <c r="BE1139" s="6"/>
      <c r="BF1139" s="6"/>
      <c r="BG1139" s="6"/>
      <c r="BH1139" s="6"/>
      <c r="BI1139" s="6"/>
      <c r="BJ1139" s="6"/>
      <c r="BK1139" s="6"/>
      <c r="BL1139" s="6"/>
      <c r="BM1139" s="6"/>
      <c r="BN1139" s="6"/>
      <c r="BO1139" s="6"/>
      <c r="BP1139" s="6"/>
      <c r="BQ1139" s="6"/>
      <c r="BR1139" s="6"/>
      <c r="BS1139" s="6"/>
      <c r="BT1139" s="6"/>
      <c r="BU1139" s="6"/>
      <c r="BV1139" s="6"/>
      <c r="BW1139" s="6"/>
      <c r="BX1139" s="6"/>
      <c r="BY1139" s="6"/>
      <c r="BZ1139" s="6"/>
      <c r="CA1139" s="6"/>
      <c r="CB1139" s="6"/>
      <c r="CC1139" s="6"/>
    </row>
    <row r="1140" spans="2:81" x14ac:dyDescent="0.2">
      <c r="B1140" s="68"/>
      <c r="C1140" s="69"/>
      <c r="D1140" s="70"/>
      <c r="F1140" s="68"/>
      <c r="G1140" s="69"/>
      <c r="H1140" s="70"/>
      <c r="J1140" s="71"/>
      <c r="K1140" s="71"/>
      <c r="L1140" s="67"/>
      <c r="N1140" s="71"/>
      <c r="O1140" s="71"/>
      <c r="P1140" s="67"/>
      <c r="R1140" s="67"/>
      <c r="S1140" s="6"/>
      <c r="T1140" s="6"/>
      <c r="U1140" s="6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  <c r="AG1140" s="6"/>
      <c r="AH1140" s="6"/>
      <c r="AI1140" s="6"/>
      <c r="AJ1140" s="6"/>
      <c r="AK1140" s="6"/>
      <c r="AL1140" s="6"/>
      <c r="AM1140" s="6"/>
      <c r="AN1140" s="6"/>
      <c r="AO1140" s="6"/>
      <c r="AP1140" s="6"/>
      <c r="AQ1140" s="6"/>
      <c r="AR1140" s="6"/>
      <c r="AS1140" s="6"/>
      <c r="AT1140" s="6"/>
      <c r="AU1140" s="6"/>
      <c r="AV1140" s="6"/>
      <c r="AW1140" s="6"/>
      <c r="AX1140" s="6"/>
      <c r="AY1140" s="6"/>
      <c r="AZ1140" s="6"/>
      <c r="BA1140" s="6"/>
      <c r="BB1140" s="6"/>
      <c r="BC1140" s="6"/>
      <c r="BD1140" s="6"/>
      <c r="BE1140" s="6"/>
      <c r="BF1140" s="6"/>
      <c r="BG1140" s="6"/>
      <c r="BH1140" s="6"/>
      <c r="BI1140" s="6"/>
      <c r="BJ1140" s="6"/>
      <c r="BK1140" s="6"/>
      <c r="BL1140" s="6"/>
      <c r="BM1140" s="6"/>
      <c r="BN1140" s="6"/>
      <c r="BO1140" s="6"/>
      <c r="BP1140" s="6"/>
      <c r="BQ1140" s="6"/>
      <c r="BR1140" s="6"/>
      <c r="BS1140" s="6"/>
      <c r="BT1140" s="6"/>
      <c r="BU1140" s="6"/>
      <c r="BV1140" s="6"/>
      <c r="BW1140" s="6"/>
      <c r="BX1140" s="6"/>
      <c r="BY1140" s="6"/>
      <c r="BZ1140" s="6"/>
      <c r="CA1140" s="6"/>
      <c r="CB1140" s="6"/>
      <c r="CC1140" s="6"/>
    </row>
    <row r="1141" spans="2:81" x14ac:dyDescent="0.2">
      <c r="B1141" s="68"/>
      <c r="C1141" s="69"/>
      <c r="D1141" s="70"/>
      <c r="F1141" s="68"/>
      <c r="G1141" s="69"/>
      <c r="H1141" s="70"/>
      <c r="J1141" s="71"/>
      <c r="K1141" s="71"/>
      <c r="L1141" s="67"/>
      <c r="N1141" s="71"/>
      <c r="O1141" s="71"/>
      <c r="P1141" s="67"/>
      <c r="R1141" s="67"/>
      <c r="S1141" s="6"/>
      <c r="T1141" s="6"/>
      <c r="U1141" s="6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  <c r="AG1141" s="6"/>
      <c r="AH1141" s="6"/>
      <c r="AI1141" s="6"/>
      <c r="AJ1141" s="6"/>
      <c r="AK1141" s="6"/>
      <c r="AL1141" s="6"/>
      <c r="AM1141" s="6"/>
      <c r="AN1141" s="6"/>
      <c r="AO1141" s="6"/>
      <c r="AP1141" s="6"/>
      <c r="AQ1141" s="6"/>
      <c r="AR1141" s="6"/>
      <c r="AS1141" s="6"/>
      <c r="AT1141" s="6"/>
      <c r="AU1141" s="6"/>
      <c r="AV1141" s="6"/>
      <c r="AW1141" s="6"/>
      <c r="AX1141" s="6"/>
      <c r="AY1141" s="6"/>
      <c r="AZ1141" s="6"/>
      <c r="BA1141" s="6"/>
      <c r="BB1141" s="6"/>
      <c r="BC1141" s="6"/>
      <c r="BD1141" s="6"/>
      <c r="BE1141" s="6"/>
      <c r="BF1141" s="6"/>
      <c r="BG1141" s="6"/>
      <c r="BH1141" s="6"/>
      <c r="BI1141" s="6"/>
      <c r="BJ1141" s="6"/>
      <c r="BK1141" s="6"/>
      <c r="BL1141" s="6"/>
      <c r="BM1141" s="6"/>
      <c r="BN1141" s="6"/>
      <c r="BO1141" s="6"/>
      <c r="BP1141" s="6"/>
      <c r="BQ1141" s="6"/>
      <c r="BR1141" s="6"/>
      <c r="BS1141" s="6"/>
      <c r="BT1141" s="6"/>
      <c r="BU1141" s="6"/>
      <c r="BV1141" s="6"/>
      <c r="BW1141" s="6"/>
      <c r="BX1141" s="6"/>
      <c r="BY1141" s="6"/>
      <c r="BZ1141" s="6"/>
      <c r="CA1141" s="6"/>
      <c r="CB1141" s="6"/>
      <c r="CC1141" s="6"/>
    </row>
    <row r="1142" spans="2:81" x14ac:dyDescent="0.2">
      <c r="B1142" s="68"/>
      <c r="C1142" s="69"/>
      <c r="D1142" s="70"/>
      <c r="F1142" s="68"/>
      <c r="G1142" s="69"/>
      <c r="H1142" s="70"/>
      <c r="J1142" s="71"/>
      <c r="K1142" s="71"/>
      <c r="L1142" s="67"/>
      <c r="N1142" s="71"/>
      <c r="O1142" s="71"/>
      <c r="P1142" s="67"/>
      <c r="R1142" s="67"/>
      <c r="S1142" s="6"/>
      <c r="T1142" s="6"/>
      <c r="U1142" s="6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  <c r="AG1142" s="6"/>
      <c r="AH1142" s="6"/>
      <c r="AI1142" s="6"/>
      <c r="AJ1142" s="6"/>
      <c r="AK1142" s="6"/>
      <c r="AL1142" s="6"/>
      <c r="AM1142" s="6"/>
      <c r="AN1142" s="6"/>
      <c r="AO1142" s="6"/>
      <c r="AP1142" s="6"/>
      <c r="AQ1142" s="6"/>
      <c r="AR1142" s="6"/>
      <c r="AS1142" s="6"/>
      <c r="AT1142" s="6"/>
      <c r="AU1142" s="6"/>
      <c r="AV1142" s="6"/>
      <c r="AW1142" s="6"/>
      <c r="AX1142" s="6"/>
      <c r="AY1142" s="6"/>
      <c r="AZ1142" s="6"/>
      <c r="BA1142" s="6"/>
      <c r="BB1142" s="6"/>
      <c r="BC1142" s="6"/>
      <c r="BD1142" s="6"/>
      <c r="BE1142" s="6"/>
      <c r="BF1142" s="6"/>
      <c r="BG1142" s="6"/>
      <c r="BH1142" s="6"/>
      <c r="BI1142" s="6"/>
      <c r="BJ1142" s="6"/>
      <c r="BK1142" s="6"/>
      <c r="BL1142" s="6"/>
      <c r="BM1142" s="6"/>
      <c r="BN1142" s="6"/>
      <c r="BO1142" s="6"/>
      <c r="BP1142" s="6"/>
      <c r="BQ1142" s="6"/>
      <c r="BR1142" s="6"/>
      <c r="BS1142" s="6"/>
      <c r="BT1142" s="6"/>
      <c r="BU1142" s="6"/>
      <c r="BV1142" s="6"/>
      <c r="BW1142" s="6"/>
      <c r="BX1142" s="6"/>
      <c r="BY1142" s="6"/>
      <c r="BZ1142" s="6"/>
      <c r="CA1142" s="6"/>
      <c r="CB1142" s="6"/>
      <c r="CC1142" s="6"/>
    </row>
    <row r="1143" spans="2:81" x14ac:dyDescent="0.2">
      <c r="B1143" s="68"/>
      <c r="C1143" s="69"/>
      <c r="D1143" s="70"/>
      <c r="F1143" s="68"/>
      <c r="G1143" s="69"/>
      <c r="H1143" s="70"/>
      <c r="J1143" s="71"/>
      <c r="K1143" s="71"/>
      <c r="L1143" s="67"/>
      <c r="N1143" s="71"/>
      <c r="O1143" s="71"/>
      <c r="P1143" s="67"/>
      <c r="R1143" s="67"/>
      <c r="S1143" s="6"/>
      <c r="T1143" s="6"/>
      <c r="U1143" s="6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  <c r="AG1143" s="6"/>
      <c r="AH1143" s="6"/>
      <c r="AI1143" s="6"/>
      <c r="AJ1143" s="6"/>
      <c r="AK1143" s="6"/>
      <c r="AL1143" s="6"/>
      <c r="AM1143" s="6"/>
      <c r="AN1143" s="6"/>
      <c r="AO1143" s="6"/>
      <c r="AP1143" s="6"/>
      <c r="AQ1143" s="6"/>
      <c r="AR1143" s="6"/>
      <c r="AS1143" s="6"/>
      <c r="AT1143" s="6"/>
      <c r="AU1143" s="6"/>
      <c r="AV1143" s="6"/>
      <c r="AW1143" s="6"/>
      <c r="AX1143" s="6"/>
      <c r="AY1143" s="6"/>
      <c r="AZ1143" s="6"/>
      <c r="BA1143" s="6"/>
      <c r="BB1143" s="6"/>
      <c r="BC1143" s="6"/>
      <c r="BD1143" s="6"/>
      <c r="BE1143" s="6"/>
      <c r="BF1143" s="6"/>
      <c r="BG1143" s="6"/>
      <c r="BH1143" s="6"/>
      <c r="BI1143" s="6"/>
      <c r="BJ1143" s="6"/>
      <c r="BK1143" s="6"/>
      <c r="BL1143" s="6"/>
      <c r="BM1143" s="6"/>
      <c r="BN1143" s="6"/>
      <c r="BO1143" s="6"/>
      <c r="BP1143" s="6"/>
      <c r="BQ1143" s="6"/>
      <c r="BR1143" s="6"/>
      <c r="BS1143" s="6"/>
      <c r="BT1143" s="6"/>
      <c r="BU1143" s="6"/>
      <c r="BV1143" s="6"/>
      <c r="BW1143" s="6"/>
      <c r="BX1143" s="6"/>
      <c r="BY1143" s="6"/>
      <c r="BZ1143" s="6"/>
      <c r="CA1143" s="6"/>
      <c r="CB1143" s="6"/>
      <c r="CC1143" s="6"/>
    </row>
    <row r="1144" spans="2:81" x14ac:dyDescent="0.2">
      <c r="B1144" s="68"/>
      <c r="C1144" s="69"/>
      <c r="D1144" s="70"/>
      <c r="F1144" s="68"/>
      <c r="G1144" s="69"/>
      <c r="H1144" s="70"/>
      <c r="J1144" s="71"/>
      <c r="K1144" s="71"/>
      <c r="L1144" s="67"/>
      <c r="N1144" s="71"/>
      <c r="O1144" s="71"/>
      <c r="P1144" s="67"/>
      <c r="R1144" s="67"/>
      <c r="S1144" s="6"/>
      <c r="T1144" s="6"/>
      <c r="U1144" s="6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  <c r="AG1144" s="6"/>
      <c r="AH1144" s="6"/>
      <c r="AI1144" s="6"/>
      <c r="AJ1144" s="6"/>
      <c r="AK1144" s="6"/>
      <c r="AL1144" s="6"/>
      <c r="AM1144" s="6"/>
      <c r="AN1144" s="6"/>
      <c r="AO1144" s="6"/>
      <c r="AP1144" s="6"/>
      <c r="AQ1144" s="6"/>
      <c r="AR1144" s="6"/>
      <c r="AS1144" s="6"/>
      <c r="AT1144" s="6"/>
      <c r="AU1144" s="6"/>
      <c r="AV1144" s="6"/>
      <c r="AW1144" s="6"/>
      <c r="AX1144" s="6"/>
      <c r="AY1144" s="6"/>
      <c r="AZ1144" s="6"/>
      <c r="BA1144" s="6"/>
      <c r="BB1144" s="6"/>
      <c r="BC1144" s="6"/>
      <c r="BD1144" s="6"/>
      <c r="BE1144" s="6"/>
      <c r="BF1144" s="6"/>
      <c r="BG1144" s="6"/>
      <c r="BH1144" s="6"/>
      <c r="BI1144" s="6"/>
      <c r="BJ1144" s="6"/>
      <c r="BK1144" s="6"/>
      <c r="BL1144" s="6"/>
      <c r="BM1144" s="6"/>
      <c r="BN1144" s="6"/>
      <c r="BO1144" s="6"/>
      <c r="BP1144" s="6"/>
      <c r="BQ1144" s="6"/>
      <c r="BR1144" s="6"/>
      <c r="BS1144" s="6"/>
      <c r="BT1144" s="6"/>
      <c r="BU1144" s="6"/>
      <c r="BV1144" s="6"/>
      <c r="BW1144" s="6"/>
      <c r="BX1144" s="6"/>
      <c r="BY1144" s="6"/>
      <c r="BZ1144" s="6"/>
      <c r="CA1144" s="6"/>
      <c r="CB1144" s="6"/>
      <c r="CC1144" s="6"/>
    </row>
    <row r="1145" spans="2:81" x14ac:dyDescent="0.2">
      <c r="B1145" s="68"/>
      <c r="C1145" s="69"/>
      <c r="D1145" s="70"/>
      <c r="F1145" s="68"/>
      <c r="G1145" s="69"/>
      <c r="H1145" s="70"/>
      <c r="J1145" s="71"/>
      <c r="K1145" s="71"/>
      <c r="L1145" s="67"/>
      <c r="N1145" s="71"/>
      <c r="O1145" s="71"/>
      <c r="P1145" s="67"/>
      <c r="R1145" s="67"/>
      <c r="S1145" s="6"/>
      <c r="T1145" s="6"/>
      <c r="U1145" s="6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  <c r="AG1145" s="6"/>
      <c r="AH1145" s="6"/>
      <c r="AI1145" s="6"/>
      <c r="AJ1145" s="6"/>
      <c r="AK1145" s="6"/>
      <c r="AL1145" s="6"/>
      <c r="AM1145" s="6"/>
      <c r="AN1145" s="6"/>
      <c r="AO1145" s="6"/>
      <c r="AP1145" s="6"/>
      <c r="AQ1145" s="6"/>
      <c r="AR1145" s="6"/>
      <c r="AS1145" s="6"/>
      <c r="AT1145" s="6"/>
      <c r="AU1145" s="6"/>
      <c r="AV1145" s="6"/>
      <c r="AW1145" s="6"/>
      <c r="AX1145" s="6"/>
      <c r="AY1145" s="6"/>
      <c r="AZ1145" s="6"/>
      <c r="BA1145" s="6"/>
      <c r="BB1145" s="6"/>
      <c r="BC1145" s="6"/>
      <c r="BD1145" s="6"/>
      <c r="BE1145" s="6"/>
      <c r="BF1145" s="6"/>
      <c r="BG1145" s="6"/>
      <c r="BH1145" s="6"/>
      <c r="BI1145" s="6"/>
      <c r="BJ1145" s="6"/>
      <c r="BK1145" s="6"/>
      <c r="BL1145" s="6"/>
      <c r="BM1145" s="6"/>
      <c r="BN1145" s="6"/>
      <c r="BO1145" s="6"/>
      <c r="BP1145" s="6"/>
      <c r="BQ1145" s="6"/>
      <c r="BR1145" s="6"/>
      <c r="BS1145" s="6"/>
      <c r="BT1145" s="6"/>
      <c r="BU1145" s="6"/>
      <c r="BV1145" s="6"/>
      <c r="BW1145" s="6"/>
      <c r="BX1145" s="6"/>
      <c r="BY1145" s="6"/>
      <c r="BZ1145" s="6"/>
      <c r="CA1145" s="6"/>
      <c r="CB1145" s="6"/>
      <c r="CC1145" s="6"/>
    </row>
    <row r="1146" spans="2:81" x14ac:dyDescent="0.2">
      <c r="B1146" s="68"/>
      <c r="C1146" s="69"/>
      <c r="D1146" s="70"/>
      <c r="F1146" s="68"/>
      <c r="G1146" s="69"/>
      <c r="H1146" s="70"/>
      <c r="J1146" s="71"/>
      <c r="K1146" s="71"/>
      <c r="L1146" s="67"/>
      <c r="N1146" s="71"/>
      <c r="O1146" s="71"/>
      <c r="P1146" s="67"/>
      <c r="R1146" s="67"/>
      <c r="S1146" s="6"/>
      <c r="T1146" s="6"/>
      <c r="U1146" s="6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  <c r="AG1146" s="6"/>
      <c r="AH1146" s="6"/>
      <c r="AI1146" s="6"/>
      <c r="AJ1146" s="6"/>
      <c r="AK1146" s="6"/>
      <c r="AL1146" s="6"/>
      <c r="AM1146" s="6"/>
      <c r="AN1146" s="6"/>
      <c r="AO1146" s="6"/>
      <c r="AP1146" s="6"/>
      <c r="AQ1146" s="6"/>
      <c r="AR1146" s="6"/>
      <c r="AS1146" s="6"/>
      <c r="AT1146" s="6"/>
      <c r="AU1146" s="6"/>
      <c r="AV1146" s="6"/>
      <c r="AW1146" s="6"/>
      <c r="AX1146" s="6"/>
      <c r="AY1146" s="6"/>
      <c r="AZ1146" s="6"/>
      <c r="BA1146" s="6"/>
      <c r="BB1146" s="6"/>
      <c r="BC1146" s="6"/>
      <c r="BD1146" s="6"/>
      <c r="BE1146" s="6"/>
      <c r="BF1146" s="6"/>
      <c r="BG1146" s="6"/>
      <c r="BH1146" s="6"/>
      <c r="BI1146" s="6"/>
      <c r="BJ1146" s="6"/>
      <c r="BK1146" s="6"/>
      <c r="BL1146" s="6"/>
      <c r="BM1146" s="6"/>
      <c r="BN1146" s="6"/>
      <c r="BO1146" s="6"/>
      <c r="BP1146" s="6"/>
      <c r="BQ1146" s="6"/>
      <c r="BR1146" s="6"/>
      <c r="BS1146" s="6"/>
      <c r="BT1146" s="6"/>
      <c r="BU1146" s="6"/>
      <c r="BV1146" s="6"/>
      <c r="BW1146" s="6"/>
      <c r="BX1146" s="6"/>
      <c r="BY1146" s="6"/>
      <c r="BZ1146" s="6"/>
      <c r="CA1146" s="6"/>
      <c r="CB1146" s="6"/>
      <c r="CC1146" s="6"/>
    </row>
    <row r="1147" spans="2:81" x14ac:dyDescent="0.2">
      <c r="B1147" s="68"/>
      <c r="C1147" s="69"/>
      <c r="D1147" s="70"/>
      <c r="F1147" s="68"/>
      <c r="G1147" s="69"/>
      <c r="H1147" s="70"/>
      <c r="J1147" s="71"/>
      <c r="K1147" s="71"/>
      <c r="L1147" s="67"/>
      <c r="N1147" s="71"/>
      <c r="O1147" s="71"/>
      <c r="P1147" s="67"/>
      <c r="R1147" s="67"/>
      <c r="S1147" s="6"/>
      <c r="T1147" s="6"/>
      <c r="U1147" s="6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  <c r="AG1147" s="6"/>
      <c r="AH1147" s="6"/>
      <c r="AI1147" s="6"/>
      <c r="AJ1147" s="6"/>
      <c r="AK1147" s="6"/>
      <c r="AL1147" s="6"/>
      <c r="AM1147" s="6"/>
      <c r="AN1147" s="6"/>
      <c r="AO1147" s="6"/>
      <c r="AP1147" s="6"/>
      <c r="AQ1147" s="6"/>
      <c r="AR1147" s="6"/>
      <c r="AS1147" s="6"/>
      <c r="AT1147" s="6"/>
      <c r="AU1147" s="6"/>
      <c r="AV1147" s="6"/>
      <c r="AW1147" s="6"/>
      <c r="AX1147" s="6"/>
      <c r="AY1147" s="6"/>
      <c r="AZ1147" s="6"/>
      <c r="BA1147" s="6"/>
      <c r="BB1147" s="6"/>
      <c r="BC1147" s="6"/>
      <c r="BD1147" s="6"/>
      <c r="BE1147" s="6"/>
      <c r="BF1147" s="6"/>
      <c r="BG1147" s="6"/>
      <c r="BH1147" s="6"/>
      <c r="BI1147" s="6"/>
      <c r="BJ1147" s="6"/>
      <c r="BK1147" s="6"/>
      <c r="BL1147" s="6"/>
      <c r="BM1147" s="6"/>
      <c r="BN1147" s="6"/>
      <c r="BO1147" s="6"/>
      <c r="BP1147" s="6"/>
      <c r="BQ1147" s="6"/>
      <c r="BR1147" s="6"/>
      <c r="BS1147" s="6"/>
      <c r="BT1147" s="6"/>
      <c r="BU1147" s="6"/>
      <c r="BV1147" s="6"/>
      <c r="BW1147" s="6"/>
      <c r="BX1147" s="6"/>
      <c r="BY1147" s="6"/>
      <c r="BZ1147" s="6"/>
      <c r="CA1147" s="6"/>
      <c r="CB1147" s="6"/>
      <c r="CC1147" s="6"/>
    </row>
    <row r="1148" spans="2:81" x14ac:dyDescent="0.2">
      <c r="B1148" s="68"/>
      <c r="C1148" s="69"/>
      <c r="D1148" s="70"/>
      <c r="F1148" s="68"/>
      <c r="G1148" s="69"/>
      <c r="H1148" s="70"/>
      <c r="J1148" s="71"/>
      <c r="K1148" s="71"/>
      <c r="L1148" s="67"/>
      <c r="N1148" s="71"/>
      <c r="O1148" s="71"/>
      <c r="P1148" s="67"/>
      <c r="R1148" s="67"/>
      <c r="S1148" s="6"/>
      <c r="T1148" s="6"/>
      <c r="U1148" s="6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  <c r="AG1148" s="6"/>
      <c r="AH1148" s="6"/>
      <c r="AI1148" s="6"/>
      <c r="AJ1148" s="6"/>
      <c r="AK1148" s="6"/>
      <c r="AL1148" s="6"/>
      <c r="AM1148" s="6"/>
      <c r="AN1148" s="6"/>
      <c r="AO1148" s="6"/>
      <c r="AP1148" s="6"/>
      <c r="AQ1148" s="6"/>
      <c r="AR1148" s="6"/>
      <c r="AS1148" s="6"/>
      <c r="AT1148" s="6"/>
      <c r="AU1148" s="6"/>
      <c r="AV1148" s="6"/>
      <c r="AW1148" s="6"/>
      <c r="AX1148" s="6"/>
      <c r="AY1148" s="6"/>
      <c r="AZ1148" s="6"/>
      <c r="BA1148" s="6"/>
      <c r="BB1148" s="6"/>
      <c r="BC1148" s="6"/>
      <c r="BD1148" s="6"/>
      <c r="BE1148" s="6"/>
      <c r="BF1148" s="6"/>
      <c r="BG1148" s="6"/>
      <c r="BH1148" s="6"/>
      <c r="BI1148" s="6"/>
      <c r="BJ1148" s="6"/>
      <c r="BK1148" s="6"/>
      <c r="BL1148" s="6"/>
      <c r="BM1148" s="6"/>
      <c r="BN1148" s="6"/>
      <c r="BO1148" s="6"/>
      <c r="BP1148" s="6"/>
      <c r="BQ1148" s="6"/>
      <c r="BR1148" s="6"/>
      <c r="BS1148" s="6"/>
      <c r="BT1148" s="6"/>
      <c r="BU1148" s="6"/>
      <c r="BV1148" s="6"/>
      <c r="BW1148" s="6"/>
      <c r="BX1148" s="6"/>
      <c r="BY1148" s="6"/>
      <c r="BZ1148" s="6"/>
      <c r="CA1148" s="6"/>
      <c r="CB1148" s="6"/>
      <c r="CC1148" s="6"/>
    </row>
    <row r="1149" spans="2:81" x14ac:dyDescent="0.2">
      <c r="B1149" s="68"/>
      <c r="C1149" s="69"/>
      <c r="D1149" s="70"/>
      <c r="F1149" s="68"/>
      <c r="G1149" s="69"/>
      <c r="H1149" s="70"/>
      <c r="J1149" s="71"/>
      <c r="K1149" s="71"/>
      <c r="L1149" s="67"/>
      <c r="N1149" s="71"/>
      <c r="O1149" s="71"/>
      <c r="P1149" s="67"/>
      <c r="R1149" s="67"/>
      <c r="S1149" s="6"/>
      <c r="T1149" s="6"/>
      <c r="U1149" s="6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  <c r="AG1149" s="6"/>
      <c r="AH1149" s="6"/>
      <c r="AI1149" s="6"/>
      <c r="AJ1149" s="6"/>
      <c r="AK1149" s="6"/>
      <c r="AL1149" s="6"/>
      <c r="AM1149" s="6"/>
      <c r="AN1149" s="6"/>
      <c r="AO1149" s="6"/>
      <c r="AP1149" s="6"/>
      <c r="AQ1149" s="6"/>
      <c r="AR1149" s="6"/>
      <c r="AS1149" s="6"/>
      <c r="AT1149" s="6"/>
      <c r="AU1149" s="6"/>
      <c r="AV1149" s="6"/>
      <c r="AW1149" s="6"/>
      <c r="AX1149" s="6"/>
      <c r="AY1149" s="6"/>
      <c r="AZ1149" s="6"/>
      <c r="BA1149" s="6"/>
      <c r="BB1149" s="6"/>
      <c r="BC1149" s="6"/>
      <c r="BD1149" s="6"/>
      <c r="BE1149" s="6"/>
      <c r="BF1149" s="6"/>
      <c r="BG1149" s="6"/>
      <c r="BH1149" s="6"/>
      <c r="BI1149" s="6"/>
      <c r="BJ1149" s="6"/>
      <c r="BK1149" s="6"/>
      <c r="BL1149" s="6"/>
      <c r="BM1149" s="6"/>
      <c r="BN1149" s="6"/>
      <c r="BO1149" s="6"/>
      <c r="BP1149" s="6"/>
      <c r="BQ1149" s="6"/>
      <c r="BR1149" s="6"/>
      <c r="BS1149" s="6"/>
      <c r="BT1149" s="6"/>
      <c r="BU1149" s="6"/>
      <c r="BV1149" s="6"/>
      <c r="BW1149" s="6"/>
      <c r="BX1149" s="6"/>
      <c r="BY1149" s="6"/>
      <c r="BZ1149" s="6"/>
      <c r="CA1149" s="6"/>
      <c r="CB1149" s="6"/>
      <c r="CC1149" s="6"/>
    </row>
    <row r="1150" spans="2:81" x14ac:dyDescent="0.2">
      <c r="B1150" s="68"/>
      <c r="C1150" s="69"/>
      <c r="D1150" s="70"/>
      <c r="F1150" s="68"/>
      <c r="G1150" s="69"/>
      <c r="H1150" s="70"/>
      <c r="J1150" s="71"/>
      <c r="K1150" s="71"/>
      <c r="L1150" s="67"/>
      <c r="N1150" s="71"/>
      <c r="O1150" s="71"/>
      <c r="P1150" s="67"/>
      <c r="R1150" s="67"/>
      <c r="S1150" s="6"/>
      <c r="T1150" s="6"/>
      <c r="U1150" s="6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  <c r="AG1150" s="6"/>
      <c r="AH1150" s="6"/>
      <c r="AI1150" s="6"/>
      <c r="AJ1150" s="6"/>
      <c r="AK1150" s="6"/>
      <c r="AL1150" s="6"/>
      <c r="AM1150" s="6"/>
      <c r="AN1150" s="6"/>
      <c r="AO1150" s="6"/>
      <c r="AP1150" s="6"/>
      <c r="AQ1150" s="6"/>
      <c r="AR1150" s="6"/>
      <c r="AS1150" s="6"/>
      <c r="AT1150" s="6"/>
      <c r="AU1150" s="6"/>
      <c r="AV1150" s="6"/>
      <c r="AW1150" s="6"/>
      <c r="AX1150" s="6"/>
      <c r="AY1150" s="6"/>
      <c r="AZ1150" s="6"/>
      <c r="BA1150" s="6"/>
      <c r="BB1150" s="6"/>
      <c r="BC1150" s="6"/>
      <c r="BD1150" s="6"/>
      <c r="BE1150" s="6"/>
      <c r="BF1150" s="6"/>
      <c r="BG1150" s="6"/>
      <c r="BH1150" s="6"/>
      <c r="BI1150" s="6"/>
      <c r="BJ1150" s="6"/>
      <c r="BK1150" s="6"/>
      <c r="BL1150" s="6"/>
      <c r="BM1150" s="6"/>
      <c r="BN1150" s="6"/>
      <c r="BO1150" s="6"/>
      <c r="BP1150" s="6"/>
      <c r="BQ1150" s="6"/>
      <c r="BR1150" s="6"/>
      <c r="BS1150" s="6"/>
      <c r="BT1150" s="6"/>
      <c r="BU1150" s="6"/>
      <c r="BV1150" s="6"/>
      <c r="BW1150" s="6"/>
      <c r="BX1150" s="6"/>
      <c r="BY1150" s="6"/>
      <c r="BZ1150" s="6"/>
      <c r="CA1150" s="6"/>
      <c r="CB1150" s="6"/>
      <c r="CC1150" s="6"/>
    </row>
    <row r="1151" spans="2:81" x14ac:dyDescent="0.2">
      <c r="B1151" s="68"/>
      <c r="C1151" s="69"/>
      <c r="D1151" s="70"/>
      <c r="F1151" s="68"/>
      <c r="G1151" s="69"/>
      <c r="H1151" s="70"/>
      <c r="J1151" s="71"/>
      <c r="K1151" s="71"/>
      <c r="L1151" s="67"/>
      <c r="N1151" s="71"/>
      <c r="O1151" s="71"/>
      <c r="P1151" s="67"/>
      <c r="R1151" s="67"/>
      <c r="S1151" s="6"/>
      <c r="T1151" s="6"/>
      <c r="U1151" s="6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  <c r="AG1151" s="6"/>
      <c r="AH1151" s="6"/>
      <c r="AI1151" s="6"/>
      <c r="AJ1151" s="6"/>
      <c r="AK1151" s="6"/>
      <c r="AL1151" s="6"/>
      <c r="AM1151" s="6"/>
      <c r="AN1151" s="6"/>
      <c r="AO1151" s="6"/>
      <c r="AP1151" s="6"/>
      <c r="AQ1151" s="6"/>
      <c r="AR1151" s="6"/>
      <c r="AS1151" s="6"/>
      <c r="AT1151" s="6"/>
      <c r="AU1151" s="6"/>
      <c r="AV1151" s="6"/>
      <c r="AW1151" s="6"/>
      <c r="AX1151" s="6"/>
      <c r="AY1151" s="6"/>
      <c r="AZ1151" s="6"/>
      <c r="BA1151" s="6"/>
      <c r="BB1151" s="6"/>
      <c r="BC1151" s="6"/>
      <c r="BD1151" s="6"/>
      <c r="BE1151" s="6"/>
      <c r="BF1151" s="6"/>
      <c r="BG1151" s="6"/>
      <c r="BH1151" s="6"/>
      <c r="BI1151" s="6"/>
      <c r="BJ1151" s="6"/>
      <c r="BK1151" s="6"/>
      <c r="BL1151" s="6"/>
      <c r="BM1151" s="6"/>
      <c r="BN1151" s="6"/>
      <c r="BO1151" s="6"/>
      <c r="BP1151" s="6"/>
      <c r="BQ1151" s="6"/>
      <c r="BR1151" s="6"/>
      <c r="BS1151" s="6"/>
      <c r="BT1151" s="6"/>
      <c r="BU1151" s="6"/>
      <c r="BV1151" s="6"/>
      <c r="BW1151" s="6"/>
      <c r="BX1151" s="6"/>
      <c r="BY1151" s="6"/>
      <c r="BZ1151" s="6"/>
      <c r="CA1151" s="6"/>
      <c r="CB1151" s="6"/>
      <c r="CC1151" s="6"/>
    </row>
    <row r="1152" spans="2:81" x14ac:dyDescent="0.2">
      <c r="B1152" s="68"/>
      <c r="C1152" s="69"/>
      <c r="D1152" s="70"/>
      <c r="F1152" s="68"/>
      <c r="G1152" s="69"/>
      <c r="H1152" s="70"/>
      <c r="J1152" s="71"/>
      <c r="K1152" s="71"/>
      <c r="L1152" s="67"/>
      <c r="N1152" s="71"/>
      <c r="O1152" s="71"/>
      <c r="P1152" s="67"/>
      <c r="R1152" s="67"/>
      <c r="S1152" s="6"/>
      <c r="T1152" s="6"/>
      <c r="U1152" s="6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  <c r="AG1152" s="6"/>
      <c r="AH1152" s="6"/>
      <c r="AI1152" s="6"/>
      <c r="AJ1152" s="6"/>
      <c r="AK1152" s="6"/>
      <c r="AL1152" s="6"/>
      <c r="AM1152" s="6"/>
      <c r="AN1152" s="6"/>
      <c r="AO1152" s="6"/>
      <c r="AP1152" s="6"/>
      <c r="AQ1152" s="6"/>
      <c r="AR1152" s="6"/>
      <c r="AS1152" s="6"/>
      <c r="AT1152" s="6"/>
      <c r="AU1152" s="6"/>
      <c r="AV1152" s="6"/>
      <c r="AW1152" s="6"/>
      <c r="AX1152" s="6"/>
      <c r="AY1152" s="6"/>
      <c r="AZ1152" s="6"/>
      <c r="BA1152" s="6"/>
      <c r="BB1152" s="6"/>
      <c r="BC1152" s="6"/>
      <c r="BD1152" s="6"/>
      <c r="BE1152" s="6"/>
      <c r="BF1152" s="6"/>
      <c r="BG1152" s="6"/>
      <c r="BH1152" s="6"/>
      <c r="BI1152" s="6"/>
      <c r="BJ1152" s="6"/>
      <c r="BK1152" s="6"/>
      <c r="BL1152" s="6"/>
      <c r="BM1152" s="6"/>
      <c r="BN1152" s="6"/>
      <c r="BO1152" s="6"/>
      <c r="BP1152" s="6"/>
      <c r="BQ1152" s="6"/>
      <c r="BR1152" s="6"/>
      <c r="BS1152" s="6"/>
      <c r="BT1152" s="6"/>
      <c r="BU1152" s="6"/>
      <c r="BV1152" s="6"/>
      <c r="BW1152" s="6"/>
      <c r="BX1152" s="6"/>
      <c r="BY1152" s="6"/>
      <c r="BZ1152" s="6"/>
      <c r="CA1152" s="6"/>
      <c r="CB1152" s="6"/>
      <c r="CC1152" s="6"/>
    </row>
    <row r="1153" spans="2:81" x14ac:dyDescent="0.2">
      <c r="B1153" s="68"/>
      <c r="C1153" s="69"/>
      <c r="D1153" s="70"/>
      <c r="F1153" s="68"/>
      <c r="G1153" s="69"/>
      <c r="H1153" s="70"/>
      <c r="J1153" s="71"/>
      <c r="K1153" s="71"/>
      <c r="L1153" s="67"/>
      <c r="N1153" s="71"/>
      <c r="O1153" s="71"/>
      <c r="P1153" s="67"/>
      <c r="R1153" s="67"/>
      <c r="S1153" s="6"/>
      <c r="T1153" s="6"/>
      <c r="U1153" s="6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  <c r="AG1153" s="6"/>
      <c r="AH1153" s="6"/>
      <c r="AI1153" s="6"/>
      <c r="AJ1153" s="6"/>
      <c r="AK1153" s="6"/>
      <c r="AL1153" s="6"/>
      <c r="AM1153" s="6"/>
      <c r="AN1153" s="6"/>
      <c r="AO1153" s="6"/>
      <c r="AP1153" s="6"/>
      <c r="AQ1153" s="6"/>
      <c r="AR1153" s="6"/>
      <c r="AS1153" s="6"/>
      <c r="AT1153" s="6"/>
      <c r="AU1153" s="6"/>
      <c r="AV1153" s="6"/>
      <c r="AW1153" s="6"/>
      <c r="AX1153" s="6"/>
      <c r="AY1153" s="6"/>
      <c r="AZ1153" s="6"/>
      <c r="BA1153" s="6"/>
      <c r="BB1153" s="6"/>
      <c r="BC1153" s="6"/>
      <c r="BD1153" s="6"/>
      <c r="BE1153" s="6"/>
      <c r="BF1153" s="6"/>
      <c r="BG1153" s="6"/>
      <c r="BH1153" s="6"/>
      <c r="BI1153" s="6"/>
      <c r="BJ1153" s="6"/>
      <c r="BK1153" s="6"/>
      <c r="BL1153" s="6"/>
      <c r="BM1153" s="6"/>
      <c r="BN1153" s="6"/>
      <c r="BO1153" s="6"/>
      <c r="BP1153" s="6"/>
      <c r="BQ1153" s="6"/>
      <c r="BR1153" s="6"/>
      <c r="BS1153" s="6"/>
      <c r="BT1153" s="6"/>
      <c r="BU1153" s="6"/>
      <c r="BV1153" s="6"/>
      <c r="BW1153" s="6"/>
      <c r="BX1153" s="6"/>
      <c r="BY1153" s="6"/>
      <c r="BZ1153" s="6"/>
      <c r="CA1153" s="6"/>
      <c r="CB1153" s="6"/>
      <c r="CC1153" s="6"/>
    </row>
    <row r="1154" spans="2:81" x14ac:dyDescent="0.2">
      <c r="B1154" s="68"/>
      <c r="C1154" s="69"/>
      <c r="D1154" s="70"/>
      <c r="F1154" s="68"/>
      <c r="G1154" s="69"/>
      <c r="H1154" s="70"/>
      <c r="J1154" s="71"/>
      <c r="K1154" s="71"/>
      <c r="L1154" s="67"/>
      <c r="N1154" s="71"/>
      <c r="O1154" s="71"/>
      <c r="P1154" s="67"/>
      <c r="R1154" s="67"/>
      <c r="S1154" s="6"/>
      <c r="T1154" s="6"/>
      <c r="U1154" s="6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  <c r="AG1154" s="6"/>
      <c r="AH1154" s="6"/>
      <c r="AI1154" s="6"/>
      <c r="AJ1154" s="6"/>
      <c r="AK1154" s="6"/>
      <c r="AL1154" s="6"/>
      <c r="AM1154" s="6"/>
      <c r="AN1154" s="6"/>
      <c r="AO1154" s="6"/>
      <c r="AP1154" s="6"/>
      <c r="AQ1154" s="6"/>
      <c r="AR1154" s="6"/>
      <c r="AS1154" s="6"/>
      <c r="AT1154" s="6"/>
      <c r="AU1154" s="6"/>
      <c r="AV1154" s="6"/>
      <c r="AW1154" s="6"/>
      <c r="AX1154" s="6"/>
      <c r="AY1154" s="6"/>
      <c r="AZ1154" s="6"/>
      <c r="BA1154" s="6"/>
      <c r="BB1154" s="6"/>
      <c r="BC1154" s="6"/>
      <c r="BD1154" s="6"/>
      <c r="BE1154" s="6"/>
      <c r="BF1154" s="6"/>
      <c r="BG1154" s="6"/>
      <c r="BH1154" s="6"/>
      <c r="BI1154" s="6"/>
      <c r="BJ1154" s="6"/>
      <c r="BK1154" s="6"/>
      <c r="BL1154" s="6"/>
      <c r="BM1154" s="6"/>
      <c r="BN1154" s="6"/>
      <c r="BO1154" s="6"/>
      <c r="BP1154" s="6"/>
      <c r="BQ1154" s="6"/>
      <c r="BR1154" s="6"/>
      <c r="BS1154" s="6"/>
      <c r="BT1154" s="6"/>
      <c r="BU1154" s="6"/>
      <c r="BV1154" s="6"/>
      <c r="BW1154" s="6"/>
      <c r="BX1154" s="6"/>
      <c r="BY1154" s="6"/>
      <c r="BZ1154" s="6"/>
      <c r="CA1154" s="6"/>
      <c r="CB1154" s="6"/>
      <c r="CC1154" s="6"/>
    </row>
    <row r="1155" spans="2:81" x14ac:dyDescent="0.2">
      <c r="B1155" s="68"/>
      <c r="C1155" s="69"/>
      <c r="D1155" s="70"/>
      <c r="F1155" s="68"/>
      <c r="G1155" s="69"/>
      <c r="H1155" s="70"/>
      <c r="J1155" s="71"/>
      <c r="K1155" s="71"/>
      <c r="L1155" s="67"/>
      <c r="N1155" s="71"/>
      <c r="O1155" s="71"/>
      <c r="P1155" s="67"/>
      <c r="R1155" s="67"/>
      <c r="S1155" s="6"/>
      <c r="T1155" s="6"/>
      <c r="U1155" s="6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  <c r="AG1155" s="6"/>
      <c r="AH1155" s="6"/>
      <c r="AI1155" s="6"/>
      <c r="AJ1155" s="6"/>
      <c r="AK1155" s="6"/>
      <c r="AL1155" s="6"/>
      <c r="AM1155" s="6"/>
      <c r="AN1155" s="6"/>
      <c r="AO1155" s="6"/>
      <c r="AP1155" s="6"/>
      <c r="AQ1155" s="6"/>
      <c r="AR1155" s="6"/>
      <c r="AS1155" s="6"/>
      <c r="AT1155" s="6"/>
      <c r="AU1155" s="6"/>
      <c r="AV1155" s="6"/>
      <c r="AW1155" s="6"/>
      <c r="AX1155" s="6"/>
      <c r="AY1155" s="6"/>
      <c r="AZ1155" s="6"/>
      <c r="BA1155" s="6"/>
      <c r="BB1155" s="6"/>
      <c r="BC1155" s="6"/>
      <c r="BD1155" s="6"/>
      <c r="BE1155" s="6"/>
      <c r="BF1155" s="6"/>
      <c r="BG1155" s="6"/>
      <c r="BH1155" s="6"/>
      <c r="BI1155" s="6"/>
      <c r="BJ1155" s="6"/>
      <c r="BK1155" s="6"/>
      <c r="BL1155" s="6"/>
      <c r="BM1155" s="6"/>
      <c r="BN1155" s="6"/>
      <c r="BO1155" s="6"/>
      <c r="BP1155" s="6"/>
      <c r="BQ1155" s="6"/>
      <c r="BR1155" s="6"/>
      <c r="BS1155" s="6"/>
      <c r="BT1155" s="6"/>
      <c r="BU1155" s="6"/>
      <c r="BV1155" s="6"/>
      <c r="BW1155" s="6"/>
      <c r="BX1155" s="6"/>
      <c r="BY1155" s="6"/>
      <c r="BZ1155" s="6"/>
      <c r="CA1155" s="6"/>
      <c r="CB1155" s="6"/>
      <c r="CC1155" s="6"/>
    </row>
    <row r="1156" spans="2:81" x14ac:dyDescent="0.2">
      <c r="B1156" s="68"/>
      <c r="C1156" s="69"/>
      <c r="D1156" s="70"/>
      <c r="F1156" s="68"/>
      <c r="G1156" s="69"/>
      <c r="H1156" s="70"/>
      <c r="J1156" s="71"/>
      <c r="K1156" s="71"/>
      <c r="L1156" s="67"/>
      <c r="N1156" s="71"/>
      <c r="O1156" s="71"/>
      <c r="P1156" s="67"/>
      <c r="R1156" s="67"/>
      <c r="S1156" s="6"/>
      <c r="T1156" s="6"/>
      <c r="U1156" s="6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  <c r="AG1156" s="6"/>
      <c r="AH1156" s="6"/>
      <c r="AI1156" s="6"/>
      <c r="AJ1156" s="6"/>
      <c r="AK1156" s="6"/>
      <c r="AL1156" s="6"/>
      <c r="AM1156" s="6"/>
      <c r="AN1156" s="6"/>
      <c r="AO1156" s="6"/>
      <c r="AP1156" s="6"/>
      <c r="AQ1156" s="6"/>
      <c r="AR1156" s="6"/>
      <c r="AS1156" s="6"/>
      <c r="AT1156" s="6"/>
      <c r="AU1156" s="6"/>
      <c r="AV1156" s="6"/>
      <c r="AW1156" s="6"/>
      <c r="AX1156" s="6"/>
      <c r="AY1156" s="6"/>
      <c r="AZ1156" s="6"/>
      <c r="BA1156" s="6"/>
      <c r="BB1156" s="6"/>
      <c r="BC1156" s="6"/>
      <c r="BD1156" s="6"/>
      <c r="BE1156" s="6"/>
      <c r="BF1156" s="6"/>
      <c r="BG1156" s="6"/>
      <c r="BH1156" s="6"/>
      <c r="BI1156" s="6"/>
      <c r="BJ1156" s="6"/>
      <c r="BK1156" s="6"/>
      <c r="BL1156" s="6"/>
      <c r="BM1156" s="6"/>
      <c r="BN1156" s="6"/>
      <c r="BO1156" s="6"/>
      <c r="BP1156" s="6"/>
      <c r="BQ1156" s="6"/>
      <c r="BR1156" s="6"/>
      <c r="BS1156" s="6"/>
      <c r="BT1156" s="6"/>
      <c r="BU1156" s="6"/>
      <c r="BV1156" s="6"/>
      <c r="BW1156" s="6"/>
      <c r="BX1156" s="6"/>
      <c r="BY1156" s="6"/>
      <c r="BZ1156" s="6"/>
      <c r="CA1156" s="6"/>
      <c r="CB1156" s="6"/>
      <c r="CC1156" s="6"/>
    </row>
    <row r="1157" spans="2:81" x14ac:dyDescent="0.2">
      <c r="B1157" s="68"/>
      <c r="C1157" s="69"/>
      <c r="D1157" s="70"/>
      <c r="F1157" s="68"/>
      <c r="G1157" s="69"/>
      <c r="H1157" s="70"/>
      <c r="J1157" s="71"/>
      <c r="K1157" s="71"/>
      <c r="L1157" s="67"/>
      <c r="N1157" s="71"/>
      <c r="O1157" s="71"/>
      <c r="P1157" s="67"/>
      <c r="R1157" s="67"/>
      <c r="S1157" s="6"/>
      <c r="T1157" s="6"/>
      <c r="U1157" s="6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  <c r="AG1157" s="6"/>
      <c r="AH1157" s="6"/>
      <c r="AI1157" s="6"/>
      <c r="AJ1157" s="6"/>
      <c r="AK1157" s="6"/>
      <c r="AL1157" s="6"/>
      <c r="AM1157" s="6"/>
      <c r="AN1157" s="6"/>
      <c r="AO1157" s="6"/>
      <c r="AP1157" s="6"/>
      <c r="AQ1157" s="6"/>
      <c r="AR1157" s="6"/>
      <c r="AS1157" s="6"/>
      <c r="AT1157" s="6"/>
      <c r="AU1157" s="6"/>
      <c r="AV1157" s="6"/>
      <c r="AW1157" s="6"/>
      <c r="AX1157" s="6"/>
      <c r="AY1157" s="6"/>
      <c r="AZ1157" s="6"/>
      <c r="BA1157" s="6"/>
      <c r="BB1157" s="6"/>
      <c r="BC1157" s="6"/>
      <c r="BD1157" s="6"/>
      <c r="BE1157" s="6"/>
      <c r="BF1157" s="6"/>
      <c r="BG1157" s="6"/>
      <c r="BH1157" s="6"/>
      <c r="BI1157" s="6"/>
      <c r="BJ1157" s="6"/>
      <c r="BK1157" s="6"/>
      <c r="BL1157" s="6"/>
      <c r="BM1157" s="6"/>
      <c r="BN1157" s="6"/>
      <c r="BO1157" s="6"/>
      <c r="BP1157" s="6"/>
      <c r="BQ1157" s="6"/>
      <c r="BR1157" s="6"/>
      <c r="BS1157" s="6"/>
      <c r="BT1157" s="6"/>
      <c r="BU1157" s="6"/>
      <c r="BV1157" s="6"/>
      <c r="BW1157" s="6"/>
      <c r="BX1157" s="6"/>
      <c r="BY1157" s="6"/>
      <c r="BZ1157" s="6"/>
      <c r="CA1157" s="6"/>
      <c r="CB1157" s="6"/>
      <c r="CC1157" s="6"/>
    </row>
    <row r="1158" spans="2:81" x14ac:dyDescent="0.2">
      <c r="B1158" s="68"/>
      <c r="C1158" s="69"/>
      <c r="D1158" s="70"/>
      <c r="F1158" s="68"/>
      <c r="G1158" s="69"/>
      <c r="H1158" s="70"/>
      <c r="J1158" s="71"/>
      <c r="K1158" s="71"/>
      <c r="L1158" s="67"/>
      <c r="N1158" s="71"/>
      <c r="O1158" s="71"/>
      <c r="P1158" s="67"/>
      <c r="R1158" s="67"/>
      <c r="S1158" s="6"/>
      <c r="T1158" s="6"/>
      <c r="U1158" s="6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  <c r="AG1158" s="6"/>
      <c r="AH1158" s="6"/>
      <c r="AI1158" s="6"/>
      <c r="AJ1158" s="6"/>
      <c r="AK1158" s="6"/>
      <c r="AL1158" s="6"/>
      <c r="AM1158" s="6"/>
      <c r="AN1158" s="6"/>
      <c r="AO1158" s="6"/>
      <c r="AP1158" s="6"/>
      <c r="AQ1158" s="6"/>
      <c r="AR1158" s="6"/>
      <c r="AS1158" s="6"/>
      <c r="AT1158" s="6"/>
      <c r="AU1158" s="6"/>
      <c r="AV1158" s="6"/>
      <c r="AW1158" s="6"/>
      <c r="AX1158" s="6"/>
      <c r="AY1158" s="6"/>
      <c r="AZ1158" s="6"/>
      <c r="BA1158" s="6"/>
      <c r="BB1158" s="6"/>
      <c r="BC1158" s="6"/>
      <c r="BD1158" s="6"/>
      <c r="BE1158" s="6"/>
      <c r="BF1158" s="6"/>
      <c r="BG1158" s="6"/>
      <c r="BH1158" s="6"/>
      <c r="BI1158" s="6"/>
      <c r="BJ1158" s="6"/>
      <c r="BK1158" s="6"/>
      <c r="BL1158" s="6"/>
      <c r="BM1158" s="6"/>
      <c r="BN1158" s="6"/>
      <c r="BO1158" s="6"/>
      <c r="BP1158" s="6"/>
      <c r="BQ1158" s="6"/>
      <c r="BR1158" s="6"/>
      <c r="BS1158" s="6"/>
      <c r="BT1158" s="6"/>
      <c r="BU1158" s="6"/>
      <c r="BV1158" s="6"/>
      <c r="BW1158" s="6"/>
      <c r="BX1158" s="6"/>
      <c r="BY1158" s="6"/>
      <c r="BZ1158" s="6"/>
      <c r="CA1158" s="6"/>
      <c r="CB1158" s="6"/>
      <c r="CC1158" s="6"/>
    </row>
    <row r="1159" spans="2:81" x14ac:dyDescent="0.2">
      <c r="B1159" s="68"/>
      <c r="C1159" s="69"/>
      <c r="D1159" s="70"/>
      <c r="F1159" s="68"/>
      <c r="G1159" s="69"/>
      <c r="H1159" s="70"/>
      <c r="J1159" s="71"/>
      <c r="K1159" s="71"/>
      <c r="L1159" s="67"/>
      <c r="N1159" s="71"/>
      <c r="O1159" s="71"/>
      <c r="P1159" s="67"/>
      <c r="R1159" s="67"/>
      <c r="S1159" s="6"/>
      <c r="T1159" s="6"/>
      <c r="U1159" s="6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  <c r="AG1159" s="6"/>
      <c r="AH1159" s="6"/>
      <c r="AI1159" s="6"/>
      <c r="AJ1159" s="6"/>
      <c r="AK1159" s="6"/>
      <c r="AL1159" s="6"/>
      <c r="AM1159" s="6"/>
      <c r="AN1159" s="6"/>
      <c r="AO1159" s="6"/>
      <c r="AP1159" s="6"/>
      <c r="AQ1159" s="6"/>
      <c r="AR1159" s="6"/>
      <c r="AS1159" s="6"/>
      <c r="AT1159" s="6"/>
      <c r="AU1159" s="6"/>
      <c r="AV1159" s="6"/>
      <c r="AW1159" s="6"/>
      <c r="AX1159" s="6"/>
      <c r="AY1159" s="6"/>
      <c r="AZ1159" s="6"/>
      <c r="BA1159" s="6"/>
      <c r="BB1159" s="6"/>
      <c r="BC1159" s="6"/>
      <c r="BD1159" s="6"/>
      <c r="BE1159" s="6"/>
      <c r="BF1159" s="6"/>
      <c r="BG1159" s="6"/>
      <c r="BH1159" s="6"/>
      <c r="BI1159" s="6"/>
      <c r="BJ1159" s="6"/>
      <c r="BK1159" s="6"/>
      <c r="BL1159" s="6"/>
      <c r="BM1159" s="6"/>
      <c r="BN1159" s="6"/>
      <c r="BO1159" s="6"/>
      <c r="BP1159" s="6"/>
      <c r="BQ1159" s="6"/>
      <c r="BR1159" s="6"/>
      <c r="BS1159" s="6"/>
      <c r="BT1159" s="6"/>
      <c r="BU1159" s="6"/>
      <c r="BV1159" s="6"/>
      <c r="BW1159" s="6"/>
      <c r="BX1159" s="6"/>
      <c r="BY1159" s="6"/>
      <c r="BZ1159" s="6"/>
      <c r="CA1159" s="6"/>
      <c r="CB1159" s="6"/>
      <c r="CC1159" s="6"/>
    </row>
    <row r="1160" spans="2:81" x14ac:dyDescent="0.2">
      <c r="B1160" s="68"/>
      <c r="C1160" s="69"/>
      <c r="D1160" s="70"/>
      <c r="F1160" s="68"/>
      <c r="G1160" s="69"/>
      <c r="H1160" s="70"/>
      <c r="J1160" s="71"/>
      <c r="K1160" s="71"/>
      <c r="L1160" s="67"/>
      <c r="N1160" s="71"/>
      <c r="O1160" s="71"/>
      <c r="P1160" s="67"/>
      <c r="R1160" s="67"/>
      <c r="S1160" s="6"/>
      <c r="T1160" s="6"/>
      <c r="U1160" s="6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  <c r="AG1160" s="6"/>
      <c r="AH1160" s="6"/>
      <c r="AI1160" s="6"/>
      <c r="AJ1160" s="6"/>
      <c r="AK1160" s="6"/>
      <c r="AL1160" s="6"/>
      <c r="AM1160" s="6"/>
      <c r="AN1160" s="6"/>
      <c r="AO1160" s="6"/>
      <c r="AP1160" s="6"/>
      <c r="AQ1160" s="6"/>
      <c r="AR1160" s="6"/>
      <c r="AS1160" s="6"/>
      <c r="AT1160" s="6"/>
      <c r="AU1160" s="6"/>
      <c r="AV1160" s="6"/>
      <c r="AW1160" s="6"/>
      <c r="AX1160" s="6"/>
      <c r="AY1160" s="6"/>
      <c r="AZ1160" s="6"/>
      <c r="BA1160" s="6"/>
      <c r="BB1160" s="6"/>
      <c r="BC1160" s="6"/>
      <c r="BD1160" s="6"/>
      <c r="BE1160" s="6"/>
      <c r="BF1160" s="6"/>
      <c r="BG1160" s="6"/>
      <c r="BH1160" s="6"/>
      <c r="BI1160" s="6"/>
      <c r="BJ1160" s="6"/>
      <c r="BK1160" s="6"/>
      <c r="BL1160" s="6"/>
      <c r="BM1160" s="6"/>
      <c r="BN1160" s="6"/>
      <c r="BO1160" s="6"/>
      <c r="BP1160" s="6"/>
      <c r="BQ1160" s="6"/>
      <c r="BR1160" s="6"/>
      <c r="BS1160" s="6"/>
      <c r="BT1160" s="6"/>
      <c r="BU1160" s="6"/>
      <c r="BV1160" s="6"/>
      <c r="BW1160" s="6"/>
      <c r="BX1160" s="6"/>
      <c r="BY1160" s="6"/>
      <c r="BZ1160" s="6"/>
      <c r="CA1160" s="6"/>
      <c r="CB1160" s="6"/>
      <c r="CC1160" s="6"/>
    </row>
    <row r="1161" spans="2:81" x14ac:dyDescent="0.2">
      <c r="B1161" s="68"/>
      <c r="C1161" s="69"/>
      <c r="D1161" s="70"/>
      <c r="F1161" s="68"/>
      <c r="G1161" s="69"/>
      <c r="H1161" s="70"/>
      <c r="J1161" s="71"/>
      <c r="K1161" s="71"/>
      <c r="L1161" s="67"/>
      <c r="N1161" s="71"/>
      <c r="O1161" s="71"/>
      <c r="P1161" s="67"/>
      <c r="R1161" s="67"/>
      <c r="S1161" s="6"/>
      <c r="T1161" s="6"/>
      <c r="U1161" s="6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  <c r="AG1161" s="6"/>
      <c r="AH1161" s="6"/>
      <c r="AI1161" s="6"/>
      <c r="AJ1161" s="6"/>
      <c r="AK1161" s="6"/>
      <c r="AL1161" s="6"/>
      <c r="AM1161" s="6"/>
      <c r="AN1161" s="6"/>
      <c r="AO1161" s="6"/>
      <c r="AP1161" s="6"/>
      <c r="AQ1161" s="6"/>
      <c r="AR1161" s="6"/>
      <c r="AS1161" s="6"/>
      <c r="AT1161" s="6"/>
      <c r="AU1161" s="6"/>
      <c r="AV1161" s="6"/>
      <c r="AW1161" s="6"/>
      <c r="AX1161" s="6"/>
      <c r="AY1161" s="6"/>
      <c r="AZ1161" s="6"/>
      <c r="BA1161" s="6"/>
      <c r="BB1161" s="6"/>
      <c r="BC1161" s="6"/>
      <c r="BD1161" s="6"/>
      <c r="BE1161" s="6"/>
      <c r="BF1161" s="6"/>
      <c r="BG1161" s="6"/>
      <c r="BH1161" s="6"/>
      <c r="BI1161" s="6"/>
      <c r="BJ1161" s="6"/>
      <c r="BK1161" s="6"/>
      <c r="BL1161" s="6"/>
      <c r="BM1161" s="6"/>
      <c r="BN1161" s="6"/>
      <c r="BO1161" s="6"/>
      <c r="BP1161" s="6"/>
      <c r="BQ1161" s="6"/>
      <c r="BR1161" s="6"/>
      <c r="BS1161" s="6"/>
      <c r="BT1161" s="6"/>
      <c r="BU1161" s="6"/>
      <c r="BV1161" s="6"/>
      <c r="BW1161" s="6"/>
      <c r="BX1161" s="6"/>
      <c r="BY1161" s="6"/>
      <c r="BZ1161" s="6"/>
      <c r="CA1161" s="6"/>
      <c r="CB1161" s="6"/>
      <c r="CC1161" s="6"/>
    </row>
    <row r="1162" spans="2:81" x14ac:dyDescent="0.2">
      <c r="B1162" s="68"/>
      <c r="C1162" s="69"/>
      <c r="D1162" s="70"/>
      <c r="F1162" s="68"/>
      <c r="G1162" s="69"/>
      <c r="H1162" s="70"/>
      <c r="J1162" s="71"/>
      <c r="K1162" s="71"/>
      <c r="L1162" s="67"/>
      <c r="N1162" s="71"/>
      <c r="O1162" s="71"/>
      <c r="P1162" s="67"/>
      <c r="R1162" s="67"/>
      <c r="S1162" s="6"/>
      <c r="T1162" s="6"/>
      <c r="U1162" s="6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  <c r="AG1162" s="6"/>
      <c r="AH1162" s="6"/>
      <c r="AI1162" s="6"/>
      <c r="AJ1162" s="6"/>
      <c r="AK1162" s="6"/>
      <c r="AL1162" s="6"/>
      <c r="AM1162" s="6"/>
      <c r="AN1162" s="6"/>
      <c r="AO1162" s="6"/>
      <c r="AP1162" s="6"/>
      <c r="AQ1162" s="6"/>
      <c r="AR1162" s="6"/>
      <c r="AS1162" s="6"/>
      <c r="AT1162" s="6"/>
      <c r="AU1162" s="6"/>
      <c r="AV1162" s="6"/>
      <c r="AW1162" s="6"/>
      <c r="AX1162" s="6"/>
      <c r="AY1162" s="6"/>
      <c r="AZ1162" s="6"/>
      <c r="BA1162" s="6"/>
      <c r="BB1162" s="6"/>
      <c r="BC1162" s="6"/>
      <c r="BD1162" s="6"/>
      <c r="BE1162" s="6"/>
      <c r="BF1162" s="6"/>
      <c r="BG1162" s="6"/>
      <c r="BH1162" s="6"/>
      <c r="BI1162" s="6"/>
      <c r="BJ1162" s="6"/>
      <c r="BK1162" s="6"/>
      <c r="BL1162" s="6"/>
      <c r="BM1162" s="6"/>
      <c r="BN1162" s="6"/>
      <c r="BO1162" s="6"/>
      <c r="BP1162" s="6"/>
      <c r="BQ1162" s="6"/>
      <c r="BR1162" s="6"/>
      <c r="BS1162" s="6"/>
      <c r="BT1162" s="6"/>
      <c r="BU1162" s="6"/>
      <c r="BV1162" s="6"/>
      <c r="BW1162" s="6"/>
      <c r="BX1162" s="6"/>
      <c r="BY1162" s="6"/>
      <c r="BZ1162" s="6"/>
      <c r="CA1162" s="6"/>
      <c r="CB1162" s="6"/>
      <c r="CC1162" s="6"/>
    </row>
    <row r="1163" spans="2:81" x14ac:dyDescent="0.2">
      <c r="B1163" s="68"/>
      <c r="C1163" s="69"/>
      <c r="D1163" s="70"/>
      <c r="F1163" s="68"/>
      <c r="G1163" s="69"/>
      <c r="H1163" s="70"/>
      <c r="J1163" s="71"/>
      <c r="K1163" s="71"/>
      <c r="L1163" s="67"/>
      <c r="N1163" s="71"/>
      <c r="O1163" s="71"/>
      <c r="P1163" s="67"/>
      <c r="R1163" s="67"/>
      <c r="S1163" s="6"/>
      <c r="T1163" s="6"/>
      <c r="U1163" s="6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  <c r="AG1163" s="6"/>
      <c r="AH1163" s="6"/>
      <c r="AI1163" s="6"/>
      <c r="AJ1163" s="6"/>
      <c r="AK1163" s="6"/>
      <c r="AL1163" s="6"/>
      <c r="AM1163" s="6"/>
      <c r="AN1163" s="6"/>
      <c r="AO1163" s="6"/>
      <c r="AP1163" s="6"/>
      <c r="AQ1163" s="6"/>
      <c r="AR1163" s="6"/>
      <c r="AS1163" s="6"/>
      <c r="AT1163" s="6"/>
      <c r="AU1163" s="6"/>
      <c r="AV1163" s="6"/>
      <c r="AW1163" s="6"/>
      <c r="AX1163" s="6"/>
      <c r="AY1163" s="6"/>
      <c r="AZ1163" s="6"/>
      <c r="BA1163" s="6"/>
      <c r="BB1163" s="6"/>
      <c r="BC1163" s="6"/>
      <c r="BD1163" s="6"/>
      <c r="BE1163" s="6"/>
      <c r="BF1163" s="6"/>
      <c r="BG1163" s="6"/>
      <c r="BH1163" s="6"/>
      <c r="BI1163" s="6"/>
      <c r="BJ1163" s="6"/>
      <c r="BK1163" s="6"/>
      <c r="BL1163" s="6"/>
      <c r="BM1163" s="6"/>
      <c r="BN1163" s="6"/>
      <c r="BO1163" s="6"/>
      <c r="BP1163" s="6"/>
      <c r="BQ1163" s="6"/>
      <c r="BR1163" s="6"/>
      <c r="BS1163" s="6"/>
      <c r="BT1163" s="6"/>
      <c r="BU1163" s="6"/>
      <c r="BV1163" s="6"/>
      <c r="BW1163" s="6"/>
      <c r="BX1163" s="6"/>
      <c r="BY1163" s="6"/>
      <c r="BZ1163" s="6"/>
      <c r="CA1163" s="6"/>
      <c r="CB1163" s="6"/>
      <c r="CC1163" s="6"/>
    </row>
    <row r="1164" spans="2:81" x14ac:dyDescent="0.2">
      <c r="B1164" s="68"/>
      <c r="C1164" s="69"/>
      <c r="D1164" s="70"/>
      <c r="F1164" s="68"/>
      <c r="G1164" s="69"/>
      <c r="H1164" s="70"/>
      <c r="J1164" s="71"/>
      <c r="K1164" s="71"/>
      <c r="L1164" s="67"/>
      <c r="N1164" s="71"/>
      <c r="O1164" s="71"/>
      <c r="P1164" s="67"/>
      <c r="R1164" s="67"/>
      <c r="S1164" s="6"/>
      <c r="T1164" s="6"/>
      <c r="U1164" s="6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  <c r="AG1164" s="6"/>
      <c r="AH1164" s="6"/>
      <c r="AI1164" s="6"/>
      <c r="AJ1164" s="6"/>
      <c r="AK1164" s="6"/>
      <c r="AL1164" s="6"/>
      <c r="AM1164" s="6"/>
      <c r="AN1164" s="6"/>
      <c r="AO1164" s="6"/>
      <c r="AP1164" s="6"/>
      <c r="AQ1164" s="6"/>
      <c r="AR1164" s="6"/>
      <c r="AS1164" s="6"/>
      <c r="AT1164" s="6"/>
      <c r="AU1164" s="6"/>
      <c r="AV1164" s="6"/>
      <c r="AW1164" s="6"/>
      <c r="AX1164" s="6"/>
      <c r="AY1164" s="6"/>
      <c r="AZ1164" s="6"/>
      <c r="BA1164" s="6"/>
      <c r="BB1164" s="6"/>
      <c r="BC1164" s="6"/>
      <c r="BD1164" s="6"/>
      <c r="BE1164" s="6"/>
      <c r="BF1164" s="6"/>
      <c r="BG1164" s="6"/>
      <c r="BH1164" s="6"/>
      <c r="BI1164" s="6"/>
      <c r="BJ1164" s="6"/>
      <c r="BK1164" s="6"/>
      <c r="BL1164" s="6"/>
      <c r="BM1164" s="6"/>
      <c r="BN1164" s="6"/>
      <c r="BO1164" s="6"/>
      <c r="BP1164" s="6"/>
      <c r="BQ1164" s="6"/>
      <c r="BR1164" s="6"/>
      <c r="BS1164" s="6"/>
      <c r="BT1164" s="6"/>
      <c r="BU1164" s="6"/>
      <c r="BV1164" s="6"/>
      <c r="BW1164" s="6"/>
      <c r="BX1164" s="6"/>
      <c r="BY1164" s="6"/>
      <c r="BZ1164" s="6"/>
      <c r="CA1164" s="6"/>
      <c r="CB1164" s="6"/>
      <c r="CC1164" s="6"/>
    </row>
    <row r="1165" spans="2:81" x14ac:dyDescent="0.2">
      <c r="B1165" s="68"/>
      <c r="C1165" s="69"/>
      <c r="D1165" s="70"/>
      <c r="F1165" s="68"/>
      <c r="G1165" s="69"/>
      <c r="H1165" s="70"/>
      <c r="J1165" s="71"/>
      <c r="K1165" s="71"/>
      <c r="L1165" s="67"/>
      <c r="N1165" s="71"/>
      <c r="O1165" s="71"/>
      <c r="P1165" s="67"/>
      <c r="R1165" s="67"/>
      <c r="S1165" s="6"/>
      <c r="T1165" s="6"/>
      <c r="U1165" s="6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  <c r="AG1165" s="6"/>
      <c r="AH1165" s="6"/>
      <c r="AI1165" s="6"/>
      <c r="AJ1165" s="6"/>
      <c r="AK1165" s="6"/>
      <c r="AL1165" s="6"/>
      <c r="AM1165" s="6"/>
      <c r="AN1165" s="6"/>
      <c r="AO1165" s="6"/>
      <c r="AP1165" s="6"/>
      <c r="AQ1165" s="6"/>
      <c r="AR1165" s="6"/>
      <c r="AS1165" s="6"/>
      <c r="AT1165" s="6"/>
      <c r="AU1165" s="6"/>
      <c r="AV1165" s="6"/>
      <c r="AW1165" s="6"/>
      <c r="AX1165" s="6"/>
      <c r="AY1165" s="6"/>
      <c r="AZ1165" s="6"/>
      <c r="BA1165" s="6"/>
      <c r="BB1165" s="6"/>
      <c r="BC1165" s="6"/>
      <c r="BD1165" s="6"/>
      <c r="BE1165" s="6"/>
      <c r="BF1165" s="6"/>
      <c r="BG1165" s="6"/>
      <c r="BH1165" s="6"/>
      <c r="BI1165" s="6"/>
      <c r="BJ1165" s="6"/>
      <c r="BK1165" s="6"/>
      <c r="BL1165" s="6"/>
      <c r="BM1165" s="6"/>
      <c r="BN1165" s="6"/>
      <c r="BO1165" s="6"/>
      <c r="BP1165" s="6"/>
      <c r="BQ1165" s="6"/>
      <c r="BR1165" s="6"/>
      <c r="BS1165" s="6"/>
      <c r="BT1165" s="6"/>
      <c r="BU1165" s="6"/>
      <c r="BV1165" s="6"/>
      <c r="BW1165" s="6"/>
      <c r="BX1165" s="6"/>
      <c r="BY1165" s="6"/>
      <c r="BZ1165" s="6"/>
      <c r="CA1165" s="6"/>
      <c r="CB1165" s="6"/>
      <c r="CC1165" s="6"/>
    </row>
    <row r="1166" spans="2:81" x14ac:dyDescent="0.2">
      <c r="B1166" s="68"/>
      <c r="C1166" s="69"/>
      <c r="D1166" s="70"/>
      <c r="F1166" s="68"/>
      <c r="G1166" s="69"/>
      <c r="H1166" s="70"/>
      <c r="J1166" s="71"/>
      <c r="K1166" s="71"/>
      <c r="L1166" s="67"/>
      <c r="N1166" s="71"/>
      <c r="O1166" s="71"/>
      <c r="P1166" s="67"/>
      <c r="R1166" s="67"/>
      <c r="S1166" s="6"/>
      <c r="T1166" s="6"/>
      <c r="U1166" s="6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  <c r="AG1166" s="6"/>
      <c r="AH1166" s="6"/>
      <c r="AI1166" s="6"/>
      <c r="AJ1166" s="6"/>
      <c r="AK1166" s="6"/>
      <c r="AL1166" s="6"/>
      <c r="AM1166" s="6"/>
      <c r="AN1166" s="6"/>
      <c r="AO1166" s="6"/>
      <c r="AP1166" s="6"/>
      <c r="AQ1166" s="6"/>
      <c r="AR1166" s="6"/>
      <c r="AS1166" s="6"/>
      <c r="AT1166" s="6"/>
      <c r="AU1166" s="6"/>
      <c r="AV1166" s="6"/>
      <c r="AW1166" s="6"/>
      <c r="AX1166" s="6"/>
      <c r="AY1166" s="6"/>
      <c r="AZ1166" s="6"/>
      <c r="BA1166" s="6"/>
      <c r="BB1166" s="6"/>
      <c r="BC1166" s="6"/>
      <c r="BD1166" s="6"/>
      <c r="BE1166" s="6"/>
      <c r="BF1166" s="6"/>
      <c r="BG1166" s="6"/>
      <c r="BH1166" s="6"/>
      <c r="BI1166" s="6"/>
      <c r="BJ1166" s="6"/>
      <c r="BK1166" s="6"/>
      <c r="BL1166" s="6"/>
      <c r="BM1166" s="6"/>
      <c r="BN1166" s="6"/>
      <c r="BO1166" s="6"/>
      <c r="BP1166" s="6"/>
      <c r="BQ1166" s="6"/>
      <c r="BR1166" s="6"/>
      <c r="BS1166" s="6"/>
      <c r="BT1166" s="6"/>
      <c r="BU1166" s="6"/>
      <c r="BV1166" s="6"/>
      <c r="BW1166" s="6"/>
      <c r="BX1166" s="6"/>
      <c r="BY1166" s="6"/>
      <c r="BZ1166" s="6"/>
      <c r="CA1166" s="6"/>
      <c r="CB1166" s="6"/>
      <c r="CC1166" s="6"/>
    </row>
    <row r="1167" spans="2:81" x14ac:dyDescent="0.2">
      <c r="B1167" s="68"/>
      <c r="C1167" s="69"/>
      <c r="D1167" s="70"/>
      <c r="F1167" s="68"/>
      <c r="G1167" s="69"/>
      <c r="H1167" s="70"/>
      <c r="J1167" s="71"/>
      <c r="K1167" s="71"/>
      <c r="L1167" s="67"/>
      <c r="N1167" s="71"/>
      <c r="O1167" s="71"/>
      <c r="P1167" s="67"/>
      <c r="R1167" s="67"/>
      <c r="S1167" s="6"/>
      <c r="T1167" s="6"/>
      <c r="U1167" s="6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  <c r="AG1167" s="6"/>
      <c r="AH1167" s="6"/>
      <c r="AI1167" s="6"/>
      <c r="AJ1167" s="6"/>
      <c r="AK1167" s="6"/>
      <c r="AL1167" s="6"/>
      <c r="AM1167" s="6"/>
      <c r="AN1167" s="6"/>
      <c r="AO1167" s="6"/>
      <c r="AP1167" s="6"/>
      <c r="AQ1167" s="6"/>
      <c r="AR1167" s="6"/>
      <c r="AS1167" s="6"/>
      <c r="AT1167" s="6"/>
      <c r="AU1167" s="6"/>
      <c r="AV1167" s="6"/>
      <c r="AW1167" s="6"/>
      <c r="AX1167" s="6"/>
      <c r="AY1167" s="6"/>
      <c r="AZ1167" s="6"/>
      <c r="BA1167" s="6"/>
      <c r="BB1167" s="6"/>
      <c r="BC1167" s="6"/>
      <c r="BD1167" s="6"/>
      <c r="BE1167" s="6"/>
      <c r="BF1167" s="6"/>
      <c r="BG1167" s="6"/>
      <c r="BH1167" s="6"/>
      <c r="BI1167" s="6"/>
      <c r="BJ1167" s="6"/>
      <c r="BK1167" s="6"/>
      <c r="BL1167" s="6"/>
      <c r="BM1167" s="6"/>
      <c r="BN1167" s="6"/>
      <c r="BO1167" s="6"/>
      <c r="BP1167" s="6"/>
      <c r="BQ1167" s="6"/>
      <c r="BR1167" s="6"/>
      <c r="BS1167" s="6"/>
      <c r="BT1167" s="6"/>
      <c r="BU1167" s="6"/>
      <c r="BV1167" s="6"/>
      <c r="BW1167" s="6"/>
      <c r="BX1167" s="6"/>
      <c r="BY1167" s="6"/>
      <c r="BZ1167" s="6"/>
      <c r="CA1167" s="6"/>
      <c r="CB1167" s="6"/>
      <c r="CC1167" s="6"/>
    </row>
    <row r="1168" spans="2:81" x14ac:dyDescent="0.2">
      <c r="B1168" s="68"/>
      <c r="C1168" s="69"/>
      <c r="D1168" s="70"/>
      <c r="F1168" s="68"/>
      <c r="G1168" s="69"/>
      <c r="H1168" s="70"/>
      <c r="J1168" s="71"/>
      <c r="K1168" s="71"/>
      <c r="L1168" s="67"/>
      <c r="N1168" s="71"/>
      <c r="O1168" s="71"/>
      <c r="P1168" s="67"/>
      <c r="R1168" s="67"/>
      <c r="S1168" s="6"/>
      <c r="T1168" s="6"/>
      <c r="U1168" s="6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  <c r="AG1168" s="6"/>
      <c r="AH1168" s="6"/>
      <c r="AI1168" s="6"/>
      <c r="AJ1168" s="6"/>
      <c r="AK1168" s="6"/>
      <c r="AL1168" s="6"/>
      <c r="AM1168" s="6"/>
      <c r="AN1168" s="6"/>
      <c r="AO1168" s="6"/>
      <c r="AP1168" s="6"/>
      <c r="AQ1168" s="6"/>
      <c r="AR1168" s="6"/>
      <c r="AS1168" s="6"/>
      <c r="AT1168" s="6"/>
      <c r="AU1168" s="6"/>
      <c r="AV1168" s="6"/>
      <c r="AW1168" s="6"/>
      <c r="AX1168" s="6"/>
      <c r="AY1168" s="6"/>
      <c r="AZ1168" s="6"/>
      <c r="BA1168" s="6"/>
      <c r="BB1168" s="6"/>
      <c r="BC1168" s="6"/>
      <c r="BD1168" s="6"/>
      <c r="BE1168" s="6"/>
      <c r="BF1168" s="6"/>
      <c r="BG1168" s="6"/>
      <c r="BH1168" s="6"/>
      <c r="BI1168" s="6"/>
      <c r="BJ1168" s="6"/>
      <c r="BK1168" s="6"/>
      <c r="BL1168" s="6"/>
      <c r="BM1168" s="6"/>
      <c r="BN1168" s="6"/>
      <c r="BO1168" s="6"/>
      <c r="BP1168" s="6"/>
      <c r="BQ1168" s="6"/>
      <c r="BR1168" s="6"/>
      <c r="BS1168" s="6"/>
      <c r="BT1168" s="6"/>
      <c r="BU1168" s="6"/>
      <c r="BV1168" s="6"/>
      <c r="BW1168" s="6"/>
      <c r="BX1168" s="6"/>
      <c r="BY1168" s="6"/>
      <c r="BZ1168" s="6"/>
      <c r="CA1168" s="6"/>
      <c r="CB1168" s="6"/>
      <c r="CC1168" s="6"/>
    </row>
    <row r="1169" spans="2:81" x14ac:dyDescent="0.2">
      <c r="B1169" s="68"/>
      <c r="C1169" s="69"/>
      <c r="D1169" s="70"/>
      <c r="F1169" s="68"/>
      <c r="G1169" s="69"/>
      <c r="H1169" s="70"/>
      <c r="J1169" s="71"/>
      <c r="K1169" s="71"/>
      <c r="L1169" s="67"/>
      <c r="N1169" s="71"/>
      <c r="O1169" s="71"/>
      <c r="P1169" s="67"/>
      <c r="R1169" s="67"/>
      <c r="S1169" s="6"/>
      <c r="T1169" s="6"/>
      <c r="U1169" s="6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  <c r="AG1169" s="6"/>
      <c r="AH1169" s="6"/>
      <c r="AI1169" s="6"/>
      <c r="AJ1169" s="6"/>
      <c r="AK1169" s="6"/>
      <c r="AL1169" s="6"/>
      <c r="AM1169" s="6"/>
      <c r="AN1169" s="6"/>
      <c r="AO1169" s="6"/>
      <c r="AP1169" s="6"/>
      <c r="AQ1169" s="6"/>
      <c r="AR1169" s="6"/>
      <c r="AS1169" s="6"/>
      <c r="AT1169" s="6"/>
      <c r="AU1169" s="6"/>
      <c r="AV1169" s="6"/>
      <c r="AW1169" s="6"/>
      <c r="AX1169" s="6"/>
      <c r="AY1169" s="6"/>
      <c r="AZ1169" s="6"/>
      <c r="BA1169" s="6"/>
      <c r="BB1169" s="6"/>
      <c r="BC1169" s="6"/>
      <c r="BD1169" s="6"/>
      <c r="BE1169" s="6"/>
      <c r="BF1169" s="6"/>
      <c r="BG1169" s="6"/>
      <c r="BH1169" s="6"/>
      <c r="BI1169" s="6"/>
      <c r="BJ1169" s="6"/>
      <c r="BK1169" s="6"/>
      <c r="BL1169" s="6"/>
      <c r="BM1169" s="6"/>
      <c r="BN1169" s="6"/>
      <c r="BO1169" s="6"/>
      <c r="BP1169" s="6"/>
      <c r="BQ1169" s="6"/>
      <c r="BR1169" s="6"/>
      <c r="BS1169" s="6"/>
      <c r="BT1169" s="6"/>
      <c r="BU1169" s="6"/>
      <c r="BV1169" s="6"/>
      <c r="BW1169" s="6"/>
      <c r="BX1169" s="6"/>
      <c r="BY1169" s="6"/>
      <c r="BZ1169" s="6"/>
      <c r="CA1169" s="6"/>
      <c r="CB1169" s="6"/>
      <c r="CC1169" s="6"/>
    </row>
    <row r="1170" spans="2:81" x14ac:dyDescent="0.2">
      <c r="B1170" s="68"/>
      <c r="C1170" s="69"/>
      <c r="D1170" s="70"/>
      <c r="F1170" s="68"/>
      <c r="G1170" s="69"/>
      <c r="H1170" s="70"/>
      <c r="J1170" s="71"/>
      <c r="K1170" s="71"/>
      <c r="L1170" s="67"/>
      <c r="N1170" s="71"/>
      <c r="O1170" s="71"/>
      <c r="P1170" s="67"/>
      <c r="R1170" s="67"/>
      <c r="S1170" s="6"/>
      <c r="T1170" s="6"/>
      <c r="U1170" s="6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  <c r="AG1170" s="6"/>
      <c r="AH1170" s="6"/>
      <c r="AI1170" s="6"/>
      <c r="AJ1170" s="6"/>
      <c r="AK1170" s="6"/>
      <c r="AL1170" s="6"/>
      <c r="AM1170" s="6"/>
      <c r="AN1170" s="6"/>
      <c r="AO1170" s="6"/>
      <c r="AP1170" s="6"/>
      <c r="AQ1170" s="6"/>
      <c r="AR1170" s="6"/>
      <c r="AS1170" s="6"/>
      <c r="AT1170" s="6"/>
      <c r="AU1170" s="6"/>
      <c r="AV1170" s="6"/>
      <c r="AW1170" s="6"/>
      <c r="AX1170" s="6"/>
      <c r="AY1170" s="6"/>
      <c r="AZ1170" s="6"/>
      <c r="BA1170" s="6"/>
      <c r="BB1170" s="6"/>
      <c r="BC1170" s="6"/>
      <c r="BD1170" s="6"/>
      <c r="BE1170" s="6"/>
      <c r="BF1170" s="6"/>
      <c r="BG1170" s="6"/>
      <c r="BH1170" s="6"/>
      <c r="BI1170" s="6"/>
      <c r="BJ1170" s="6"/>
      <c r="BK1170" s="6"/>
      <c r="BL1170" s="6"/>
      <c r="BM1170" s="6"/>
      <c r="BN1170" s="6"/>
      <c r="BO1170" s="6"/>
      <c r="BP1170" s="6"/>
      <c r="BQ1170" s="6"/>
      <c r="BR1170" s="6"/>
      <c r="BS1170" s="6"/>
      <c r="BT1170" s="6"/>
      <c r="BU1170" s="6"/>
      <c r="BV1170" s="6"/>
      <c r="BW1170" s="6"/>
      <c r="BX1170" s="6"/>
      <c r="BY1170" s="6"/>
      <c r="BZ1170" s="6"/>
      <c r="CA1170" s="6"/>
      <c r="CB1170" s="6"/>
      <c r="CC1170" s="6"/>
    </row>
    <row r="1171" spans="2:81" x14ac:dyDescent="0.2">
      <c r="B1171" s="68"/>
      <c r="C1171" s="69"/>
      <c r="D1171" s="70"/>
      <c r="F1171" s="68"/>
      <c r="G1171" s="69"/>
      <c r="H1171" s="70"/>
      <c r="J1171" s="71"/>
      <c r="K1171" s="71"/>
      <c r="L1171" s="67"/>
      <c r="N1171" s="71"/>
      <c r="O1171" s="71"/>
      <c r="P1171" s="67"/>
      <c r="R1171" s="67"/>
      <c r="S1171" s="6"/>
      <c r="T1171" s="6"/>
      <c r="U1171" s="6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  <c r="AG1171" s="6"/>
      <c r="AH1171" s="6"/>
      <c r="AI1171" s="6"/>
      <c r="AJ1171" s="6"/>
      <c r="AK1171" s="6"/>
      <c r="AL1171" s="6"/>
      <c r="AM1171" s="6"/>
      <c r="AN1171" s="6"/>
      <c r="AO1171" s="6"/>
      <c r="AP1171" s="6"/>
      <c r="AQ1171" s="6"/>
      <c r="AR1171" s="6"/>
      <c r="AS1171" s="6"/>
      <c r="AT1171" s="6"/>
      <c r="AU1171" s="6"/>
      <c r="AV1171" s="6"/>
      <c r="AW1171" s="6"/>
      <c r="AX1171" s="6"/>
      <c r="AY1171" s="6"/>
      <c r="AZ1171" s="6"/>
      <c r="BA1171" s="6"/>
      <c r="BB1171" s="6"/>
      <c r="BC1171" s="6"/>
      <c r="BD1171" s="6"/>
      <c r="BE1171" s="6"/>
      <c r="BF1171" s="6"/>
      <c r="BG1171" s="6"/>
      <c r="BH1171" s="6"/>
      <c r="BI1171" s="6"/>
      <c r="BJ1171" s="6"/>
      <c r="BK1171" s="6"/>
      <c r="BL1171" s="6"/>
      <c r="BM1171" s="6"/>
      <c r="BN1171" s="6"/>
      <c r="BO1171" s="6"/>
      <c r="BP1171" s="6"/>
      <c r="BQ1171" s="6"/>
      <c r="BR1171" s="6"/>
      <c r="BS1171" s="6"/>
      <c r="BT1171" s="6"/>
      <c r="BU1171" s="6"/>
      <c r="BV1171" s="6"/>
      <c r="BW1171" s="6"/>
      <c r="BX1171" s="6"/>
      <c r="BY1171" s="6"/>
      <c r="BZ1171" s="6"/>
      <c r="CA1171" s="6"/>
      <c r="CB1171" s="6"/>
      <c r="CC1171" s="6"/>
    </row>
    <row r="1172" spans="2:81" x14ac:dyDescent="0.2">
      <c r="B1172" s="68"/>
      <c r="C1172" s="69"/>
      <c r="D1172" s="70"/>
      <c r="F1172" s="68"/>
      <c r="G1172" s="69"/>
      <c r="H1172" s="70"/>
      <c r="J1172" s="71"/>
      <c r="K1172" s="71"/>
      <c r="L1172" s="67"/>
      <c r="N1172" s="71"/>
      <c r="O1172" s="71"/>
      <c r="P1172" s="67"/>
      <c r="R1172" s="67"/>
      <c r="S1172" s="6"/>
      <c r="T1172" s="6"/>
      <c r="U1172" s="6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  <c r="AG1172" s="6"/>
      <c r="AH1172" s="6"/>
      <c r="AI1172" s="6"/>
      <c r="AJ1172" s="6"/>
      <c r="AK1172" s="6"/>
      <c r="AL1172" s="6"/>
      <c r="AM1172" s="6"/>
      <c r="AN1172" s="6"/>
      <c r="AO1172" s="6"/>
      <c r="AP1172" s="6"/>
      <c r="AQ1172" s="6"/>
      <c r="AR1172" s="6"/>
      <c r="AS1172" s="6"/>
      <c r="AT1172" s="6"/>
      <c r="AU1172" s="6"/>
      <c r="AV1172" s="6"/>
      <c r="AW1172" s="6"/>
      <c r="AX1172" s="6"/>
      <c r="AY1172" s="6"/>
      <c r="AZ1172" s="6"/>
      <c r="BA1172" s="6"/>
      <c r="BB1172" s="6"/>
      <c r="BC1172" s="6"/>
      <c r="BD1172" s="6"/>
      <c r="BE1172" s="6"/>
      <c r="BF1172" s="6"/>
      <c r="BG1172" s="6"/>
      <c r="BH1172" s="6"/>
      <c r="BI1172" s="6"/>
      <c r="BJ1172" s="6"/>
      <c r="BK1172" s="6"/>
      <c r="BL1172" s="6"/>
      <c r="BM1172" s="6"/>
      <c r="BN1172" s="6"/>
      <c r="BO1172" s="6"/>
      <c r="BP1172" s="6"/>
      <c r="BQ1172" s="6"/>
      <c r="BR1172" s="6"/>
      <c r="BS1172" s="6"/>
      <c r="BT1172" s="6"/>
      <c r="BU1172" s="6"/>
      <c r="BV1172" s="6"/>
      <c r="BW1172" s="6"/>
      <c r="BX1172" s="6"/>
      <c r="BY1172" s="6"/>
      <c r="BZ1172" s="6"/>
      <c r="CA1172" s="6"/>
      <c r="CB1172" s="6"/>
      <c r="CC1172" s="6"/>
    </row>
    <row r="1173" spans="2:81" x14ac:dyDescent="0.2">
      <c r="B1173" s="68"/>
      <c r="C1173" s="69"/>
      <c r="D1173" s="70"/>
      <c r="F1173" s="68"/>
      <c r="G1173" s="69"/>
      <c r="H1173" s="70"/>
      <c r="J1173" s="71"/>
      <c r="K1173" s="71"/>
      <c r="L1173" s="67"/>
      <c r="N1173" s="71"/>
      <c r="O1173" s="71"/>
      <c r="P1173" s="67"/>
      <c r="R1173" s="67"/>
      <c r="S1173" s="6"/>
      <c r="T1173" s="6"/>
      <c r="U1173" s="6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  <c r="AG1173" s="6"/>
      <c r="AH1173" s="6"/>
      <c r="AI1173" s="6"/>
      <c r="AJ1173" s="6"/>
      <c r="AK1173" s="6"/>
      <c r="AL1173" s="6"/>
      <c r="AM1173" s="6"/>
      <c r="AN1173" s="6"/>
      <c r="AO1173" s="6"/>
      <c r="AP1173" s="6"/>
      <c r="AQ1173" s="6"/>
      <c r="AR1173" s="6"/>
      <c r="AS1173" s="6"/>
      <c r="AT1173" s="6"/>
      <c r="AU1173" s="6"/>
      <c r="AV1173" s="6"/>
      <c r="AW1173" s="6"/>
      <c r="AX1173" s="6"/>
      <c r="AY1173" s="6"/>
      <c r="AZ1173" s="6"/>
      <c r="BA1173" s="6"/>
      <c r="BB1173" s="6"/>
      <c r="BC1173" s="6"/>
      <c r="BD1173" s="6"/>
      <c r="BE1173" s="6"/>
      <c r="BF1173" s="6"/>
      <c r="BG1173" s="6"/>
      <c r="BH1173" s="6"/>
      <c r="BI1173" s="6"/>
      <c r="BJ1173" s="6"/>
      <c r="BK1173" s="6"/>
      <c r="BL1173" s="6"/>
      <c r="BM1173" s="6"/>
      <c r="BN1173" s="6"/>
      <c r="BO1173" s="6"/>
      <c r="BP1173" s="6"/>
      <c r="BQ1173" s="6"/>
      <c r="BR1173" s="6"/>
      <c r="BS1173" s="6"/>
      <c r="BT1173" s="6"/>
      <c r="BU1173" s="6"/>
      <c r="BV1173" s="6"/>
      <c r="BW1173" s="6"/>
      <c r="BX1173" s="6"/>
      <c r="BY1173" s="6"/>
      <c r="BZ1173" s="6"/>
      <c r="CA1173" s="6"/>
      <c r="CB1173" s="6"/>
      <c r="CC1173" s="6"/>
    </row>
    <row r="1174" spans="2:81" x14ac:dyDescent="0.2">
      <c r="B1174" s="68"/>
      <c r="C1174" s="69"/>
      <c r="D1174" s="70"/>
      <c r="F1174" s="68"/>
      <c r="G1174" s="69"/>
      <c r="H1174" s="70"/>
      <c r="J1174" s="71"/>
      <c r="K1174" s="71"/>
      <c r="L1174" s="67"/>
      <c r="N1174" s="71"/>
      <c r="O1174" s="71"/>
      <c r="P1174" s="67"/>
      <c r="R1174" s="67"/>
      <c r="S1174" s="6"/>
      <c r="T1174" s="6"/>
      <c r="U1174" s="6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  <c r="AG1174" s="6"/>
      <c r="AH1174" s="6"/>
      <c r="AI1174" s="6"/>
      <c r="AJ1174" s="6"/>
      <c r="AK1174" s="6"/>
      <c r="AL1174" s="6"/>
      <c r="AM1174" s="6"/>
      <c r="AN1174" s="6"/>
      <c r="AO1174" s="6"/>
      <c r="AP1174" s="6"/>
      <c r="AQ1174" s="6"/>
      <c r="AR1174" s="6"/>
      <c r="AS1174" s="6"/>
      <c r="AT1174" s="6"/>
      <c r="AU1174" s="6"/>
      <c r="AV1174" s="6"/>
      <c r="AW1174" s="6"/>
      <c r="AX1174" s="6"/>
      <c r="AY1174" s="6"/>
      <c r="AZ1174" s="6"/>
      <c r="BA1174" s="6"/>
      <c r="BB1174" s="6"/>
      <c r="BC1174" s="6"/>
      <c r="BD1174" s="6"/>
      <c r="BE1174" s="6"/>
      <c r="BF1174" s="6"/>
      <c r="BG1174" s="6"/>
      <c r="BH1174" s="6"/>
      <c r="BI1174" s="6"/>
      <c r="BJ1174" s="6"/>
      <c r="BK1174" s="6"/>
      <c r="BL1174" s="6"/>
      <c r="BM1174" s="6"/>
      <c r="BN1174" s="6"/>
      <c r="BO1174" s="6"/>
      <c r="BP1174" s="6"/>
      <c r="BQ1174" s="6"/>
      <c r="BR1174" s="6"/>
      <c r="BS1174" s="6"/>
      <c r="BT1174" s="6"/>
      <c r="BU1174" s="6"/>
      <c r="BV1174" s="6"/>
      <c r="BW1174" s="6"/>
      <c r="BX1174" s="6"/>
      <c r="BY1174" s="6"/>
      <c r="BZ1174" s="6"/>
      <c r="CA1174" s="6"/>
      <c r="CB1174" s="6"/>
      <c r="CC1174" s="6"/>
    </row>
    <row r="1175" spans="2:81" x14ac:dyDescent="0.2">
      <c r="B1175" s="68"/>
      <c r="C1175" s="69"/>
      <c r="D1175" s="70"/>
      <c r="F1175" s="68"/>
      <c r="G1175" s="69"/>
      <c r="H1175" s="70"/>
      <c r="J1175" s="71"/>
      <c r="K1175" s="71"/>
      <c r="L1175" s="67"/>
      <c r="N1175" s="71"/>
      <c r="O1175" s="71"/>
      <c r="P1175" s="67"/>
      <c r="R1175" s="67"/>
      <c r="S1175" s="6"/>
      <c r="T1175" s="6"/>
      <c r="U1175" s="6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  <c r="AG1175" s="6"/>
      <c r="AH1175" s="6"/>
      <c r="AI1175" s="6"/>
      <c r="AJ1175" s="6"/>
      <c r="AK1175" s="6"/>
      <c r="AL1175" s="6"/>
      <c r="AM1175" s="6"/>
      <c r="AN1175" s="6"/>
      <c r="AO1175" s="6"/>
      <c r="AP1175" s="6"/>
      <c r="AQ1175" s="6"/>
      <c r="AR1175" s="6"/>
      <c r="AS1175" s="6"/>
      <c r="AT1175" s="6"/>
      <c r="AU1175" s="6"/>
      <c r="AV1175" s="6"/>
      <c r="AW1175" s="6"/>
      <c r="AX1175" s="6"/>
      <c r="AY1175" s="6"/>
      <c r="AZ1175" s="6"/>
      <c r="BA1175" s="6"/>
      <c r="BB1175" s="6"/>
      <c r="BC1175" s="6"/>
      <c r="BD1175" s="6"/>
      <c r="BE1175" s="6"/>
      <c r="BF1175" s="6"/>
      <c r="BG1175" s="6"/>
      <c r="BH1175" s="6"/>
      <c r="BI1175" s="6"/>
      <c r="BJ1175" s="6"/>
      <c r="BK1175" s="6"/>
      <c r="BL1175" s="6"/>
      <c r="BM1175" s="6"/>
      <c r="BN1175" s="6"/>
      <c r="BO1175" s="6"/>
      <c r="BP1175" s="6"/>
      <c r="BQ1175" s="6"/>
      <c r="BR1175" s="6"/>
      <c r="BS1175" s="6"/>
      <c r="BT1175" s="6"/>
      <c r="BU1175" s="6"/>
      <c r="BV1175" s="6"/>
      <c r="BW1175" s="6"/>
      <c r="BX1175" s="6"/>
      <c r="BY1175" s="6"/>
      <c r="BZ1175" s="6"/>
      <c r="CA1175" s="6"/>
      <c r="CB1175" s="6"/>
      <c r="CC1175" s="6"/>
    </row>
    <row r="1176" spans="2:81" x14ac:dyDescent="0.2">
      <c r="B1176" s="68"/>
      <c r="C1176" s="69"/>
      <c r="D1176" s="70"/>
      <c r="F1176" s="68"/>
      <c r="G1176" s="69"/>
      <c r="H1176" s="70"/>
      <c r="J1176" s="71"/>
      <c r="K1176" s="71"/>
      <c r="L1176" s="67"/>
      <c r="N1176" s="71"/>
      <c r="O1176" s="71"/>
      <c r="P1176" s="67"/>
      <c r="R1176" s="67"/>
      <c r="S1176" s="6"/>
      <c r="T1176" s="6"/>
      <c r="U1176" s="6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  <c r="AG1176" s="6"/>
      <c r="AH1176" s="6"/>
      <c r="AI1176" s="6"/>
      <c r="AJ1176" s="6"/>
      <c r="AK1176" s="6"/>
      <c r="AL1176" s="6"/>
      <c r="AM1176" s="6"/>
      <c r="AN1176" s="6"/>
      <c r="AO1176" s="6"/>
      <c r="AP1176" s="6"/>
      <c r="AQ1176" s="6"/>
      <c r="AR1176" s="6"/>
      <c r="AS1176" s="6"/>
      <c r="AT1176" s="6"/>
      <c r="AU1176" s="6"/>
      <c r="AV1176" s="6"/>
      <c r="AW1176" s="6"/>
      <c r="AX1176" s="6"/>
      <c r="AY1176" s="6"/>
      <c r="AZ1176" s="6"/>
      <c r="BA1176" s="6"/>
      <c r="BB1176" s="6"/>
      <c r="BC1176" s="6"/>
      <c r="BD1176" s="6"/>
      <c r="BE1176" s="6"/>
      <c r="BF1176" s="6"/>
      <c r="BG1176" s="6"/>
      <c r="BH1176" s="6"/>
      <c r="BI1176" s="6"/>
      <c r="BJ1176" s="6"/>
      <c r="BK1176" s="6"/>
      <c r="BL1176" s="6"/>
      <c r="BM1176" s="6"/>
      <c r="BN1176" s="6"/>
      <c r="BO1176" s="6"/>
      <c r="BP1176" s="6"/>
      <c r="BQ1176" s="6"/>
      <c r="BR1176" s="6"/>
      <c r="BS1176" s="6"/>
      <c r="BT1176" s="6"/>
      <c r="BU1176" s="6"/>
      <c r="BV1176" s="6"/>
      <c r="BW1176" s="6"/>
      <c r="BX1176" s="6"/>
      <c r="BY1176" s="6"/>
      <c r="BZ1176" s="6"/>
      <c r="CA1176" s="6"/>
      <c r="CB1176" s="6"/>
      <c r="CC1176" s="6"/>
    </row>
    <row r="1177" spans="2:81" x14ac:dyDescent="0.2">
      <c r="B1177" s="68"/>
      <c r="C1177" s="69"/>
      <c r="D1177" s="70"/>
      <c r="F1177" s="68"/>
      <c r="G1177" s="69"/>
      <c r="H1177" s="70"/>
      <c r="J1177" s="71"/>
      <c r="K1177" s="71"/>
      <c r="L1177" s="67"/>
      <c r="N1177" s="71"/>
      <c r="O1177" s="71"/>
      <c r="P1177" s="67"/>
      <c r="R1177" s="67"/>
      <c r="S1177" s="6"/>
      <c r="T1177" s="6"/>
      <c r="U1177" s="6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  <c r="AG1177" s="6"/>
      <c r="AH1177" s="6"/>
      <c r="AI1177" s="6"/>
      <c r="AJ1177" s="6"/>
      <c r="AK1177" s="6"/>
      <c r="AL1177" s="6"/>
      <c r="AM1177" s="6"/>
      <c r="AN1177" s="6"/>
      <c r="AO1177" s="6"/>
      <c r="AP1177" s="6"/>
      <c r="AQ1177" s="6"/>
      <c r="AR1177" s="6"/>
      <c r="AS1177" s="6"/>
      <c r="AT1177" s="6"/>
      <c r="AU1177" s="6"/>
      <c r="AV1177" s="6"/>
      <c r="AW1177" s="6"/>
      <c r="AX1177" s="6"/>
      <c r="AY1177" s="6"/>
      <c r="AZ1177" s="6"/>
      <c r="BA1177" s="6"/>
      <c r="BB1177" s="6"/>
      <c r="BC1177" s="6"/>
      <c r="BD1177" s="6"/>
      <c r="BE1177" s="6"/>
      <c r="BF1177" s="6"/>
      <c r="BG1177" s="6"/>
      <c r="BH1177" s="6"/>
      <c r="BI1177" s="6"/>
      <c r="BJ1177" s="6"/>
      <c r="BK1177" s="6"/>
      <c r="BL1177" s="6"/>
      <c r="BM1177" s="6"/>
      <c r="BN1177" s="6"/>
      <c r="BO1177" s="6"/>
      <c r="BP1177" s="6"/>
      <c r="BQ1177" s="6"/>
      <c r="BR1177" s="6"/>
      <c r="BS1177" s="6"/>
      <c r="BT1177" s="6"/>
      <c r="BU1177" s="6"/>
      <c r="BV1177" s="6"/>
      <c r="BW1177" s="6"/>
      <c r="BX1177" s="6"/>
      <c r="BY1177" s="6"/>
      <c r="BZ1177" s="6"/>
      <c r="CA1177" s="6"/>
      <c r="CB1177" s="6"/>
      <c r="CC1177" s="6"/>
    </row>
    <row r="1178" spans="2:81" x14ac:dyDescent="0.2">
      <c r="B1178" s="68"/>
      <c r="C1178" s="69"/>
      <c r="D1178" s="70"/>
      <c r="F1178" s="68"/>
      <c r="G1178" s="69"/>
      <c r="H1178" s="70"/>
      <c r="J1178" s="71"/>
      <c r="K1178" s="71"/>
      <c r="L1178" s="67"/>
      <c r="N1178" s="71"/>
      <c r="O1178" s="71"/>
      <c r="P1178" s="67"/>
      <c r="R1178" s="67"/>
      <c r="S1178" s="6"/>
      <c r="T1178" s="6"/>
      <c r="U1178" s="6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  <c r="AG1178" s="6"/>
      <c r="AH1178" s="6"/>
      <c r="AI1178" s="6"/>
      <c r="AJ1178" s="6"/>
      <c r="AK1178" s="6"/>
      <c r="AL1178" s="6"/>
      <c r="AM1178" s="6"/>
      <c r="AN1178" s="6"/>
      <c r="AO1178" s="6"/>
      <c r="AP1178" s="6"/>
      <c r="AQ1178" s="6"/>
      <c r="AR1178" s="6"/>
      <c r="AS1178" s="6"/>
      <c r="AT1178" s="6"/>
      <c r="AU1178" s="6"/>
      <c r="AV1178" s="6"/>
      <c r="AW1178" s="6"/>
      <c r="AX1178" s="6"/>
      <c r="AY1178" s="6"/>
      <c r="AZ1178" s="6"/>
      <c r="BA1178" s="6"/>
      <c r="BB1178" s="6"/>
      <c r="BC1178" s="6"/>
      <c r="BD1178" s="6"/>
      <c r="BE1178" s="6"/>
      <c r="BF1178" s="6"/>
      <c r="BG1178" s="6"/>
      <c r="BH1178" s="6"/>
      <c r="BI1178" s="6"/>
      <c r="BJ1178" s="6"/>
      <c r="BK1178" s="6"/>
      <c r="BL1178" s="6"/>
      <c r="BM1178" s="6"/>
      <c r="BN1178" s="6"/>
      <c r="BO1178" s="6"/>
      <c r="BP1178" s="6"/>
      <c r="BQ1178" s="6"/>
      <c r="BR1178" s="6"/>
      <c r="BS1178" s="6"/>
      <c r="BT1178" s="6"/>
      <c r="BU1178" s="6"/>
      <c r="BV1178" s="6"/>
      <c r="BW1178" s="6"/>
      <c r="BX1178" s="6"/>
      <c r="BY1178" s="6"/>
      <c r="BZ1178" s="6"/>
      <c r="CA1178" s="6"/>
      <c r="CB1178" s="6"/>
      <c r="CC1178" s="6"/>
    </row>
    <row r="1179" spans="2:81" x14ac:dyDescent="0.2">
      <c r="B1179" s="68"/>
      <c r="C1179" s="69"/>
      <c r="D1179" s="70"/>
      <c r="F1179" s="68"/>
      <c r="G1179" s="69"/>
      <c r="H1179" s="70"/>
      <c r="J1179" s="71"/>
      <c r="K1179" s="71"/>
      <c r="L1179" s="67"/>
      <c r="N1179" s="71"/>
      <c r="O1179" s="71"/>
      <c r="P1179" s="67"/>
      <c r="R1179" s="67"/>
      <c r="S1179" s="6"/>
      <c r="T1179" s="6"/>
      <c r="U1179" s="6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  <c r="AG1179" s="6"/>
      <c r="AH1179" s="6"/>
      <c r="AI1179" s="6"/>
      <c r="AJ1179" s="6"/>
      <c r="AK1179" s="6"/>
      <c r="AL1179" s="6"/>
      <c r="AM1179" s="6"/>
      <c r="AN1179" s="6"/>
      <c r="AO1179" s="6"/>
      <c r="AP1179" s="6"/>
      <c r="AQ1179" s="6"/>
      <c r="AR1179" s="6"/>
      <c r="AS1179" s="6"/>
      <c r="AT1179" s="6"/>
      <c r="AU1179" s="6"/>
      <c r="AV1179" s="6"/>
      <c r="AW1179" s="6"/>
      <c r="AX1179" s="6"/>
      <c r="AY1179" s="6"/>
      <c r="AZ1179" s="6"/>
      <c r="BA1179" s="6"/>
      <c r="BB1179" s="6"/>
      <c r="BC1179" s="6"/>
      <c r="BD1179" s="6"/>
      <c r="BE1179" s="6"/>
      <c r="BF1179" s="6"/>
      <c r="BG1179" s="6"/>
      <c r="BH1179" s="6"/>
      <c r="BI1179" s="6"/>
      <c r="BJ1179" s="6"/>
      <c r="BK1179" s="6"/>
      <c r="BL1179" s="6"/>
      <c r="BM1179" s="6"/>
      <c r="BN1179" s="6"/>
      <c r="BO1179" s="6"/>
      <c r="BP1179" s="6"/>
      <c r="BQ1179" s="6"/>
      <c r="BR1179" s="6"/>
      <c r="BS1179" s="6"/>
      <c r="BT1179" s="6"/>
      <c r="BU1179" s="6"/>
      <c r="BV1179" s="6"/>
      <c r="BW1179" s="6"/>
      <c r="BX1179" s="6"/>
      <c r="BY1179" s="6"/>
      <c r="BZ1179" s="6"/>
      <c r="CA1179" s="6"/>
      <c r="CB1179" s="6"/>
      <c r="CC1179" s="6"/>
    </row>
    <row r="1180" spans="2:81" x14ac:dyDescent="0.2">
      <c r="B1180" s="68"/>
      <c r="C1180" s="69"/>
      <c r="D1180" s="70"/>
      <c r="F1180" s="68"/>
      <c r="G1180" s="69"/>
      <c r="H1180" s="70"/>
      <c r="J1180" s="71"/>
      <c r="K1180" s="71"/>
      <c r="L1180" s="67"/>
      <c r="N1180" s="71"/>
      <c r="O1180" s="71"/>
      <c r="P1180" s="67"/>
      <c r="R1180" s="67"/>
      <c r="S1180" s="6"/>
      <c r="T1180" s="6"/>
      <c r="U1180" s="6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  <c r="AG1180" s="6"/>
      <c r="AH1180" s="6"/>
      <c r="AI1180" s="6"/>
      <c r="AJ1180" s="6"/>
      <c r="AK1180" s="6"/>
      <c r="AL1180" s="6"/>
      <c r="AM1180" s="6"/>
      <c r="AN1180" s="6"/>
      <c r="AO1180" s="6"/>
      <c r="AP1180" s="6"/>
      <c r="AQ1180" s="6"/>
      <c r="AR1180" s="6"/>
      <c r="AS1180" s="6"/>
      <c r="AT1180" s="6"/>
      <c r="AU1180" s="6"/>
      <c r="AV1180" s="6"/>
      <c r="AW1180" s="6"/>
      <c r="AX1180" s="6"/>
      <c r="AY1180" s="6"/>
      <c r="AZ1180" s="6"/>
      <c r="BA1180" s="6"/>
      <c r="BB1180" s="6"/>
      <c r="BC1180" s="6"/>
      <c r="BD1180" s="6"/>
      <c r="BE1180" s="6"/>
      <c r="BF1180" s="6"/>
      <c r="BG1180" s="6"/>
      <c r="BH1180" s="6"/>
      <c r="BI1180" s="6"/>
      <c r="BJ1180" s="6"/>
      <c r="BK1180" s="6"/>
      <c r="BL1180" s="6"/>
      <c r="BM1180" s="6"/>
      <c r="BN1180" s="6"/>
      <c r="BO1180" s="6"/>
      <c r="BP1180" s="6"/>
      <c r="BQ1180" s="6"/>
      <c r="BR1180" s="6"/>
      <c r="BS1180" s="6"/>
      <c r="BT1180" s="6"/>
      <c r="BU1180" s="6"/>
      <c r="BV1180" s="6"/>
      <c r="BW1180" s="6"/>
      <c r="BX1180" s="6"/>
      <c r="BY1180" s="6"/>
      <c r="BZ1180" s="6"/>
      <c r="CA1180" s="6"/>
      <c r="CB1180" s="6"/>
      <c r="CC1180" s="6"/>
    </row>
    <row r="1181" spans="2:81" x14ac:dyDescent="0.2">
      <c r="B1181" s="68"/>
      <c r="C1181" s="69"/>
      <c r="D1181" s="70"/>
      <c r="F1181" s="68"/>
      <c r="G1181" s="69"/>
      <c r="H1181" s="70"/>
      <c r="J1181" s="71"/>
      <c r="K1181" s="71"/>
      <c r="L1181" s="67"/>
      <c r="N1181" s="71"/>
      <c r="O1181" s="71"/>
      <c r="P1181" s="67"/>
      <c r="R1181" s="67"/>
      <c r="S1181" s="6"/>
      <c r="T1181" s="6"/>
      <c r="U1181" s="6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  <c r="AG1181" s="6"/>
      <c r="AH1181" s="6"/>
      <c r="AI1181" s="6"/>
      <c r="AJ1181" s="6"/>
      <c r="AK1181" s="6"/>
      <c r="AL1181" s="6"/>
      <c r="AM1181" s="6"/>
      <c r="AN1181" s="6"/>
      <c r="AO1181" s="6"/>
      <c r="AP1181" s="6"/>
      <c r="AQ1181" s="6"/>
      <c r="AR1181" s="6"/>
      <c r="AS1181" s="6"/>
      <c r="AT1181" s="6"/>
      <c r="AU1181" s="6"/>
      <c r="AV1181" s="6"/>
      <c r="AW1181" s="6"/>
      <c r="AX1181" s="6"/>
      <c r="AY1181" s="6"/>
      <c r="AZ1181" s="6"/>
      <c r="BA1181" s="6"/>
      <c r="BB1181" s="6"/>
      <c r="BC1181" s="6"/>
      <c r="BD1181" s="6"/>
      <c r="BE1181" s="6"/>
      <c r="BF1181" s="6"/>
      <c r="BG1181" s="6"/>
      <c r="BH1181" s="6"/>
      <c r="BI1181" s="6"/>
      <c r="BJ1181" s="6"/>
      <c r="BK1181" s="6"/>
      <c r="BL1181" s="6"/>
      <c r="BM1181" s="6"/>
      <c r="BN1181" s="6"/>
      <c r="BO1181" s="6"/>
      <c r="BP1181" s="6"/>
      <c r="BQ1181" s="6"/>
      <c r="BR1181" s="6"/>
      <c r="BS1181" s="6"/>
      <c r="BT1181" s="6"/>
      <c r="BU1181" s="6"/>
      <c r="BV1181" s="6"/>
      <c r="BW1181" s="6"/>
      <c r="BX1181" s="6"/>
      <c r="BY1181" s="6"/>
      <c r="BZ1181" s="6"/>
      <c r="CA1181" s="6"/>
      <c r="CB1181" s="6"/>
      <c r="CC1181" s="6"/>
    </row>
    <row r="1182" spans="2:81" x14ac:dyDescent="0.2">
      <c r="B1182" s="68"/>
      <c r="C1182" s="69"/>
      <c r="D1182" s="70"/>
      <c r="F1182" s="68"/>
      <c r="G1182" s="69"/>
      <c r="H1182" s="70"/>
      <c r="J1182" s="71"/>
      <c r="K1182" s="71"/>
      <c r="L1182" s="67"/>
      <c r="N1182" s="71"/>
      <c r="O1182" s="71"/>
      <c r="P1182" s="67"/>
      <c r="R1182" s="67"/>
      <c r="S1182" s="6"/>
      <c r="T1182" s="6"/>
      <c r="U1182" s="6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  <c r="AG1182" s="6"/>
      <c r="AH1182" s="6"/>
      <c r="AI1182" s="6"/>
      <c r="AJ1182" s="6"/>
      <c r="AK1182" s="6"/>
      <c r="AL1182" s="6"/>
      <c r="AM1182" s="6"/>
      <c r="AN1182" s="6"/>
      <c r="AO1182" s="6"/>
      <c r="AP1182" s="6"/>
      <c r="AQ1182" s="6"/>
      <c r="AR1182" s="6"/>
      <c r="AS1182" s="6"/>
      <c r="AT1182" s="6"/>
      <c r="AU1182" s="6"/>
      <c r="AV1182" s="6"/>
      <c r="AW1182" s="6"/>
      <c r="AX1182" s="6"/>
      <c r="AY1182" s="6"/>
      <c r="AZ1182" s="6"/>
      <c r="BA1182" s="6"/>
      <c r="BB1182" s="6"/>
      <c r="BC1182" s="6"/>
      <c r="BD1182" s="6"/>
      <c r="BE1182" s="6"/>
      <c r="BF1182" s="6"/>
      <c r="BG1182" s="6"/>
      <c r="BH1182" s="6"/>
      <c r="BI1182" s="6"/>
      <c r="BJ1182" s="6"/>
      <c r="BK1182" s="6"/>
      <c r="BL1182" s="6"/>
      <c r="BM1182" s="6"/>
      <c r="BN1182" s="6"/>
      <c r="BO1182" s="6"/>
      <c r="BP1182" s="6"/>
      <c r="BQ1182" s="6"/>
      <c r="BR1182" s="6"/>
      <c r="BS1182" s="6"/>
      <c r="BT1182" s="6"/>
      <c r="BU1182" s="6"/>
      <c r="BV1182" s="6"/>
      <c r="BW1182" s="6"/>
      <c r="BX1182" s="6"/>
      <c r="BY1182" s="6"/>
      <c r="BZ1182" s="6"/>
      <c r="CA1182" s="6"/>
      <c r="CB1182" s="6"/>
      <c r="CC1182" s="6"/>
    </row>
    <row r="1183" spans="2:81" x14ac:dyDescent="0.2">
      <c r="B1183" s="68"/>
      <c r="C1183" s="69"/>
      <c r="D1183" s="70"/>
      <c r="F1183" s="68"/>
      <c r="G1183" s="69"/>
      <c r="H1183" s="70"/>
      <c r="J1183" s="71"/>
      <c r="K1183" s="71"/>
      <c r="L1183" s="67"/>
      <c r="N1183" s="71"/>
      <c r="O1183" s="71"/>
      <c r="P1183" s="67"/>
      <c r="R1183" s="67"/>
      <c r="S1183" s="6"/>
      <c r="T1183" s="6"/>
      <c r="U1183" s="6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  <c r="AG1183" s="6"/>
      <c r="AH1183" s="6"/>
      <c r="AI1183" s="6"/>
      <c r="AJ1183" s="6"/>
      <c r="AK1183" s="6"/>
      <c r="AL1183" s="6"/>
      <c r="AM1183" s="6"/>
      <c r="AN1183" s="6"/>
      <c r="AO1183" s="6"/>
      <c r="AP1183" s="6"/>
      <c r="AQ1183" s="6"/>
      <c r="AR1183" s="6"/>
      <c r="AS1183" s="6"/>
      <c r="AT1183" s="6"/>
      <c r="AU1183" s="6"/>
      <c r="AV1183" s="6"/>
      <c r="AW1183" s="6"/>
      <c r="AX1183" s="6"/>
      <c r="AY1183" s="6"/>
      <c r="AZ1183" s="6"/>
      <c r="BA1183" s="6"/>
      <c r="BB1183" s="6"/>
      <c r="BC1183" s="6"/>
      <c r="BD1183" s="6"/>
      <c r="BE1183" s="6"/>
      <c r="BF1183" s="6"/>
      <c r="BG1183" s="6"/>
      <c r="BH1183" s="6"/>
      <c r="BI1183" s="6"/>
      <c r="BJ1183" s="6"/>
      <c r="BK1183" s="6"/>
      <c r="BL1183" s="6"/>
      <c r="BM1183" s="6"/>
      <c r="BN1183" s="6"/>
      <c r="BO1183" s="6"/>
      <c r="BP1183" s="6"/>
      <c r="BQ1183" s="6"/>
      <c r="BR1183" s="6"/>
      <c r="BS1183" s="6"/>
      <c r="BT1183" s="6"/>
      <c r="BU1183" s="6"/>
      <c r="BV1183" s="6"/>
      <c r="BW1183" s="6"/>
      <c r="BX1183" s="6"/>
      <c r="BY1183" s="6"/>
      <c r="BZ1183" s="6"/>
      <c r="CA1183" s="6"/>
      <c r="CB1183" s="6"/>
      <c r="CC1183" s="6"/>
    </row>
    <row r="1184" spans="2:81" x14ac:dyDescent="0.2">
      <c r="B1184" s="68"/>
      <c r="C1184" s="69"/>
      <c r="D1184" s="70"/>
      <c r="F1184" s="68"/>
      <c r="G1184" s="69"/>
      <c r="H1184" s="70"/>
      <c r="J1184" s="71"/>
      <c r="K1184" s="71"/>
      <c r="L1184" s="67"/>
      <c r="N1184" s="71"/>
      <c r="O1184" s="71"/>
      <c r="P1184" s="67"/>
      <c r="R1184" s="67"/>
      <c r="S1184" s="6"/>
      <c r="T1184" s="6"/>
      <c r="U1184" s="6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  <c r="AG1184" s="6"/>
      <c r="AH1184" s="6"/>
      <c r="AI1184" s="6"/>
      <c r="AJ1184" s="6"/>
      <c r="AK1184" s="6"/>
      <c r="AL1184" s="6"/>
      <c r="AM1184" s="6"/>
      <c r="AN1184" s="6"/>
      <c r="AO1184" s="6"/>
      <c r="AP1184" s="6"/>
      <c r="AQ1184" s="6"/>
      <c r="AR1184" s="6"/>
      <c r="AS1184" s="6"/>
      <c r="AT1184" s="6"/>
      <c r="AU1184" s="6"/>
      <c r="AV1184" s="6"/>
      <c r="AW1184" s="6"/>
      <c r="AX1184" s="6"/>
      <c r="AY1184" s="6"/>
      <c r="AZ1184" s="6"/>
      <c r="BA1184" s="6"/>
      <c r="BB1184" s="6"/>
      <c r="BC1184" s="6"/>
      <c r="BD1184" s="6"/>
      <c r="BE1184" s="6"/>
      <c r="BF1184" s="6"/>
      <c r="BG1184" s="6"/>
      <c r="BH1184" s="6"/>
      <c r="BI1184" s="6"/>
      <c r="BJ1184" s="6"/>
      <c r="BK1184" s="6"/>
      <c r="BL1184" s="6"/>
      <c r="BM1184" s="6"/>
      <c r="BN1184" s="6"/>
      <c r="BO1184" s="6"/>
      <c r="BP1184" s="6"/>
      <c r="BQ1184" s="6"/>
      <c r="BR1184" s="6"/>
      <c r="BS1184" s="6"/>
      <c r="BT1184" s="6"/>
      <c r="BU1184" s="6"/>
      <c r="BV1184" s="6"/>
      <c r="BW1184" s="6"/>
      <c r="BX1184" s="6"/>
      <c r="BY1184" s="6"/>
      <c r="BZ1184" s="6"/>
      <c r="CA1184" s="6"/>
      <c r="CB1184" s="6"/>
      <c r="CC1184" s="6"/>
    </row>
    <row r="1185" spans="2:81" x14ac:dyDescent="0.2">
      <c r="B1185" s="68"/>
      <c r="C1185" s="69"/>
      <c r="D1185" s="70"/>
      <c r="F1185" s="68"/>
      <c r="G1185" s="69"/>
      <c r="H1185" s="70"/>
      <c r="J1185" s="71"/>
      <c r="K1185" s="71"/>
      <c r="L1185" s="67"/>
      <c r="N1185" s="71"/>
      <c r="O1185" s="71"/>
      <c r="P1185" s="67"/>
      <c r="R1185" s="67"/>
      <c r="S1185" s="6"/>
      <c r="T1185" s="6"/>
      <c r="U1185" s="6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  <c r="AG1185" s="6"/>
      <c r="AH1185" s="6"/>
      <c r="AI1185" s="6"/>
      <c r="AJ1185" s="6"/>
      <c r="AK1185" s="6"/>
      <c r="AL1185" s="6"/>
      <c r="AM1185" s="6"/>
      <c r="AN1185" s="6"/>
      <c r="AO1185" s="6"/>
      <c r="AP1185" s="6"/>
      <c r="AQ1185" s="6"/>
      <c r="AR1185" s="6"/>
      <c r="AS1185" s="6"/>
      <c r="AT1185" s="6"/>
      <c r="AU1185" s="6"/>
      <c r="AV1185" s="6"/>
      <c r="AW1185" s="6"/>
      <c r="AX1185" s="6"/>
      <c r="AY1185" s="6"/>
      <c r="AZ1185" s="6"/>
      <c r="BA1185" s="6"/>
      <c r="BB1185" s="6"/>
      <c r="BC1185" s="6"/>
      <c r="BD1185" s="6"/>
      <c r="BE1185" s="6"/>
      <c r="BF1185" s="6"/>
      <c r="BG1185" s="6"/>
      <c r="BH1185" s="6"/>
      <c r="BI1185" s="6"/>
      <c r="BJ1185" s="6"/>
      <c r="BK1185" s="6"/>
      <c r="BL1185" s="6"/>
      <c r="BM1185" s="6"/>
      <c r="BN1185" s="6"/>
      <c r="BO1185" s="6"/>
      <c r="BP1185" s="6"/>
      <c r="BQ1185" s="6"/>
      <c r="BR1185" s="6"/>
      <c r="BS1185" s="6"/>
      <c r="BT1185" s="6"/>
      <c r="BU1185" s="6"/>
      <c r="BV1185" s="6"/>
      <c r="BW1185" s="6"/>
      <c r="BX1185" s="6"/>
      <c r="BY1185" s="6"/>
      <c r="BZ1185" s="6"/>
      <c r="CA1185" s="6"/>
      <c r="CB1185" s="6"/>
      <c r="CC1185" s="6"/>
    </row>
    <row r="1186" spans="2:81" x14ac:dyDescent="0.2">
      <c r="B1186" s="68"/>
      <c r="C1186" s="69"/>
      <c r="D1186" s="70"/>
      <c r="F1186" s="68"/>
      <c r="G1186" s="69"/>
      <c r="H1186" s="70"/>
      <c r="J1186" s="71"/>
      <c r="K1186" s="71"/>
      <c r="L1186" s="67"/>
      <c r="N1186" s="71"/>
      <c r="O1186" s="71"/>
      <c r="P1186" s="67"/>
      <c r="R1186" s="67"/>
      <c r="S1186" s="6"/>
      <c r="T1186" s="6"/>
      <c r="U1186" s="6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  <c r="AG1186" s="6"/>
      <c r="AH1186" s="6"/>
      <c r="AI1186" s="6"/>
      <c r="AJ1186" s="6"/>
      <c r="AK1186" s="6"/>
      <c r="AL1186" s="6"/>
      <c r="AM1186" s="6"/>
      <c r="AN1186" s="6"/>
      <c r="AO1186" s="6"/>
      <c r="AP1186" s="6"/>
      <c r="AQ1186" s="6"/>
      <c r="AR1186" s="6"/>
      <c r="AS1186" s="6"/>
      <c r="AT1186" s="6"/>
      <c r="AU1186" s="6"/>
      <c r="AV1186" s="6"/>
      <c r="AW1186" s="6"/>
      <c r="AX1186" s="6"/>
      <c r="AY1186" s="6"/>
      <c r="AZ1186" s="6"/>
      <c r="BA1186" s="6"/>
      <c r="BB1186" s="6"/>
      <c r="BC1186" s="6"/>
      <c r="BD1186" s="6"/>
      <c r="BE1186" s="6"/>
      <c r="BF1186" s="6"/>
      <c r="BG1186" s="6"/>
      <c r="BH1186" s="6"/>
      <c r="BI1186" s="6"/>
      <c r="BJ1186" s="6"/>
      <c r="BK1186" s="6"/>
      <c r="BL1186" s="6"/>
      <c r="BM1186" s="6"/>
      <c r="BN1186" s="6"/>
      <c r="BO1186" s="6"/>
      <c r="BP1186" s="6"/>
      <c r="BQ1186" s="6"/>
      <c r="BR1186" s="6"/>
      <c r="BS1186" s="6"/>
      <c r="BT1186" s="6"/>
      <c r="BU1186" s="6"/>
      <c r="BV1186" s="6"/>
      <c r="BW1186" s="6"/>
      <c r="BX1186" s="6"/>
      <c r="BY1186" s="6"/>
      <c r="BZ1186" s="6"/>
      <c r="CA1186" s="6"/>
      <c r="CB1186" s="6"/>
      <c r="CC1186" s="6"/>
    </row>
    <row r="1187" spans="2:81" x14ac:dyDescent="0.2">
      <c r="B1187" s="68"/>
      <c r="C1187" s="69"/>
      <c r="D1187" s="70"/>
      <c r="F1187" s="68"/>
      <c r="G1187" s="69"/>
      <c r="H1187" s="70"/>
      <c r="J1187" s="71"/>
      <c r="K1187" s="71"/>
      <c r="L1187" s="67"/>
      <c r="N1187" s="71"/>
      <c r="O1187" s="71"/>
      <c r="P1187" s="67"/>
      <c r="R1187" s="67"/>
      <c r="S1187" s="6"/>
      <c r="T1187" s="6"/>
      <c r="U1187" s="6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  <c r="AG1187" s="6"/>
      <c r="AH1187" s="6"/>
      <c r="AI1187" s="6"/>
      <c r="AJ1187" s="6"/>
      <c r="AK1187" s="6"/>
      <c r="AL1187" s="6"/>
      <c r="AM1187" s="6"/>
      <c r="AN1187" s="6"/>
      <c r="AO1187" s="6"/>
      <c r="AP1187" s="6"/>
      <c r="AQ1187" s="6"/>
      <c r="AR1187" s="6"/>
      <c r="AS1187" s="6"/>
      <c r="AT1187" s="6"/>
      <c r="AU1187" s="6"/>
      <c r="AV1187" s="6"/>
      <c r="AW1187" s="6"/>
      <c r="AX1187" s="6"/>
      <c r="AY1187" s="6"/>
      <c r="AZ1187" s="6"/>
      <c r="BA1187" s="6"/>
      <c r="BB1187" s="6"/>
      <c r="BC1187" s="6"/>
      <c r="BD1187" s="6"/>
      <c r="BE1187" s="6"/>
      <c r="BF1187" s="6"/>
      <c r="BG1187" s="6"/>
      <c r="BH1187" s="6"/>
      <c r="BI1187" s="6"/>
      <c r="BJ1187" s="6"/>
      <c r="BK1187" s="6"/>
      <c r="BL1187" s="6"/>
      <c r="BM1187" s="6"/>
      <c r="BN1187" s="6"/>
      <c r="BO1187" s="6"/>
      <c r="BP1187" s="6"/>
      <c r="BQ1187" s="6"/>
      <c r="BR1187" s="6"/>
      <c r="BS1187" s="6"/>
      <c r="BT1187" s="6"/>
      <c r="BU1187" s="6"/>
      <c r="BV1187" s="6"/>
      <c r="BW1187" s="6"/>
      <c r="BX1187" s="6"/>
      <c r="BY1187" s="6"/>
      <c r="BZ1187" s="6"/>
      <c r="CA1187" s="6"/>
      <c r="CB1187" s="6"/>
      <c r="CC1187" s="6"/>
    </row>
    <row r="1188" spans="2:81" x14ac:dyDescent="0.2">
      <c r="B1188" s="68"/>
      <c r="C1188" s="69"/>
      <c r="D1188" s="70"/>
      <c r="F1188" s="68"/>
      <c r="G1188" s="69"/>
      <c r="H1188" s="70"/>
      <c r="J1188" s="71"/>
      <c r="K1188" s="71"/>
      <c r="L1188" s="67"/>
      <c r="N1188" s="71"/>
      <c r="O1188" s="71"/>
      <c r="P1188" s="67"/>
      <c r="R1188" s="67"/>
      <c r="S1188" s="6"/>
      <c r="T1188" s="6"/>
      <c r="U1188" s="6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  <c r="AG1188" s="6"/>
      <c r="AH1188" s="6"/>
      <c r="AI1188" s="6"/>
      <c r="AJ1188" s="6"/>
      <c r="AK1188" s="6"/>
      <c r="AL1188" s="6"/>
      <c r="AM1188" s="6"/>
      <c r="AN1188" s="6"/>
      <c r="AO1188" s="6"/>
      <c r="AP1188" s="6"/>
      <c r="AQ1188" s="6"/>
      <c r="AR1188" s="6"/>
      <c r="AS1188" s="6"/>
      <c r="AT1188" s="6"/>
      <c r="AU1188" s="6"/>
      <c r="AV1188" s="6"/>
      <c r="AW1188" s="6"/>
      <c r="AX1188" s="6"/>
      <c r="AY1188" s="6"/>
      <c r="AZ1188" s="6"/>
      <c r="BA1188" s="6"/>
      <c r="BB1188" s="6"/>
      <c r="BC1188" s="6"/>
      <c r="BD1188" s="6"/>
      <c r="BE1188" s="6"/>
      <c r="BF1188" s="6"/>
      <c r="BG1188" s="6"/>
      <c r="BH1188" s="6"/>
      <c r="BI1188" s="6"/>
      <c r="BJ1188" s="6"/>
      <c r="BK1188" s="6"/>
      <c r="BL1188" s="6"/>
      <c r="BM1188" s="6"/>
      <c r="BN1188" s="6"/>
      <c r="BO1188" s="6"/>
      <c r="BP1188" s="6"/>
      <c r="BQ1188" s="6"/>
      <c r="BR1188" s="6"/>
      <c r="BS1188" s="6"/>
      <c r="BT1188" s="6"/>
      <c r="BU1188" s="6"/>
      <c r="BV1188" s="6"/>
      <c r="BW1188" s="6"/>
      <c r="BX1188" s="6"/>
      <c r="BY1188" s="6"/>
      <c r="BZ1188" s="6"/>
      <c r="CA1188" s="6"/>
      <c r="CB1188" s="6"/>
      <c r="CC1188" s="6"/>
    </row>
    <row r="1189" spans="2:81" x14ac:dyDescent="0.2">
      <c r="B1189" s="68"/>
      <c r="C1189" s="69"/>
      <c r="D1189" s="70"/>
      <c r="F1189" s="68"/>
      <c r="G1189" s="69"/>
      <c r="H1189" s="70"/>
      <c r="J1189" s="71"/>
      <c r="K1189" s="71"/>
      <c r="L1189" s="67"/>
      <c r="N1189" s="71"/>
      <c r="O1189" s="71"/>
      <c r="P1189" s="67"/>
      <c r="R1189" s="67"/>
      <c r="S1189" s="6"/>
      <c r="T1189" s="6"/>
      <c r="U1189" s="6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  <c r="AG1189" s="6"/>
      <c r="AH1189" s="6"/>
      <c r="AI1189" s="6"/>
      <c r="AJ1189" s="6"/>
      <c r="AK1189" s="6"/>
      <c r="AL1189" s="6"/>
      <c r="AM1189" s="6"/>
      <c r="AN1189" s="6"/>
      <c r="AO1189" s="6"/>
      <c r="AP1189" s="6"/>
      <c r="AQ1189" s="6"/>
      <c r="AR1189" s="6"/>
      <c r="AS1189" s="6"/>
      <c r="AT1189" s="6"/>
      <c r="AU1189" s="6"/>
      <c r="AV1189" s="6"/>
      <c r="AW1189" s="6"/>
      <c r="AX1189" s="6"/>
      <c r="AY1189" s="6"/>
      <c r="AZ1189" s="6"/>
      <c r="BA1189" s="6"/>
      <c r="BB1189" s="6"/>
      <c r="BC1189" s="6"/>
      <c r="BD1189" s="6"/>
      <c r="BE1189" s="6"/>
      <c r="BF1189" s="6"/>
      <c r="BG1189" s="6"/>
      <c r="BH1189" s="6"/>
      <c r="BI1189" s="6"/>
      <c r="BJ1189" s="6"/>
      <c r="BK1189" s="6"/>
      <c r="BL1189" s="6"/>
      <c r="BM1189" s="6"/>
      <c r="BN1189" s="6"/>
      <c r="BO1189" s="6"/>
      <c r="BP1189" s="6"/>
      <c r="BQ1189" s="6"/>
      <c r="BR1189" s="6"/>
      <c r="BS1189" s="6"/>
      <c r="BT1189" s="6"/>
      <c r="BU1189" s="6"/>
      <c r="BV1189" s="6"/>
      <c r="BW1189" s="6"/>
      <c r="BX1189" s="6"/>
      <c r="BY1189" s="6"/>
      <c r="BZ1189" s="6"/>
      <c r="CA1189" s="6"/>
      <c r="CB1189" s="6"/>
      <c r="CC1189" s="6"/>
    </row>
    <row r="1190" spans="2:81" x14ac:dyDescent="0.2">
      <c r="B1190" s="68"/>
      <c r="C1190" s="69"/>
      <c r="D1190" s="70"/>
      <c r="F1190" s="68"/>
      <c r="G1190" s="69"/>
      <c r="H1190" s="70"/>
      <c r="J1190" s="71"/>
      <c r="K1190" s="71"/>
      <c r="L1190" s="67"/>
      <c r="N1190" s="71"/>
      <c r="O1190" s="71"/>
      <c r="P1190" s="67"/>
      <c r="R1190" s="67"/>
      <c r="S1190" s="6"/>
      <c r="T1190" s="6"/>
      <c r="U1190" s="6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  <c r="AG1190" s="6"/>
      <c r="AH1190" s="6"/>
      <c r="AI1190" s="6"/>
      <c r="AJ1190" s="6"/>
      <c r="AK1190" s="6"/>
      <c r="AL1190" s="6"/>
      <c r="AM1190" s="6"/>
      <c r="AN1190" s="6"/>
      <c r="AO1190" s="6"/>
      <c r="AP1190" s="6"/>
      <c r="AQ1190" s="6"/>
      <c r="AR1190" s="6"/>
      <c r="AS1190" s="6"/>
      <c r="AT1190" s="6"/>
      <c r="AU1190" s="6"/>
      <c r="AV1190" s="6"/>
      <c r="AW1190" s="6"/>
      <c r="AX1190" s="6"/>
      <c r="AY1190" s="6"/>
      <c r="AZ1190" s="6"/>
      <c r="BA1190" s="6"/>
      <c r="BB1190" s="6"/>
      <c r="BC1190" s="6"/>
      <c r="BD1190" s="6"/>
      <c r="BE1190" s="6"/>
      <c r="BF1190" s="6"/>
      <c r="BG1190" s="6"/>
      <c r="BH1190" s="6"/>
      <c r="BI1190" s="6"/>
      <c r="BJ1190" s="6"/>
      <c r="BK1190" s="6"/>
      <c r="BL1190" s="6"/>
      <c r="BM1190" s="6"/>
      <c r="BN1190" s="6"/>
      <c r="BO1190" s="6"/>
      <c r="BP1190" s="6"/>
      <c r="BQ1190" s="6"/>
      <c r="BR1190" s="6"/>
      <c r="BS1190" s="6"/>
      <c r="BT1190" s="6"/>
      <c r="BU1190" s="6"/>
      <c r="BV1190" s="6"/>
      <c r="BW1190" s="6"/>
      <c r="BX1190" s="6"/>
      <c r="BY1190" s="6"/>
      <c r="BZ1190" s="6"/>
      <c r="CA1190" s="6"/>
      <c r="CB1190" s="6"/>
      <c r="CC1190" s="6"/>
    </row>
    <row r="1191" spans="2:81" x14ac:dyDescent="0.2">
      <c r="B1191" s="68"/>
      <c r="C1191" s="69"/>
      <c r="D1191" s="70"/>
      <c r="F1191" s="68"/>
      <c r="G1191" s="69"/>
      <c r="H1191" s="70"/>
      <c r="J1191" s="71"/>
      <c r="K1191" s="71"/>
      <c r="L1191" s="67"/>
      <c r="N1191" s="71"/>
      <c r="O1191" s="71"/>
      <c r="P1191" s="67"/>
      <c r="R1191" s="67"/>
      <c r="S1191" s="6"/>
      <c r="T1191" s="6"/>
      <c r="U1191" s="6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  <c r="AG1191" s="6"/>
      <c r="AH1191" s="6"/>
      <c r="AI1191" s="6"/>
      <c r="AJ1191" s="6"/>
      <c r="AK1191" s="6"/>
      <c r="AL1191" s="6"/>
      <c r="AM1191" s="6"/>
      <c r="AN1191" s="6"/>
      <c r="AO1191" s="6"/>
      <c r="AP1191" s="6"/>
      <c r="AQ1191" s="6"/>
      <c r="AR1191" s="6"/>
      <c r="AS1191" s="6"/>
      <c r="AT1191" s="6"/>
      <c r="AU1191" s="6"/>
      <c r="AV1191" s="6"/>
      <c r="AW1191" s="6"/>
      <c r="AX1191" s="6"/>
      <c r="AY1191" s="6"/>
      <c r="AZ1191" s="6"/>
      <c r="BA1191" s="6"/>
      <c r="BB1191" s="6"/>
      <c r="BC1191" s="6"/>
      <c r="BD1191" s="6"/>
      <c r="BE1191" s="6"/>
      <c r="BF1191" s="6"/>
      <c r="BG1191" s="6"/>
      <c r="BH1191" s="6"/>
      <c r="BI1191" s="6"/>
      <c r="BJ1191" s="6"/>
      <c r="BK1191" s="6"/>
      <c r="BL1191" s="6"/>
      <c r="BM1191" s="6"/>
      <c r="BN1191" s="6"/>
      <c r="BO1191" s="6"/>
      <c r="BP1191" s="6"/>
      <c r="BQ1191" s="6"/>
      <c r="BR1191" s="6"/>
      <c r="BS1191" s="6"/>
      <c r="BT1191" s="6"/>
      <c r="BU1191" s="6"/>
      <c r="BV1191" s="6"/>
      <c r="BW1191" s="6"/>
      <c r="BX1191" s="6"/>
      <c r="BY1191" s="6"/>
      <c r="BZ1191" s="6"/>
      <c r="CA1191" s="6"/>
      <c r="CB1191" s="6"/>
      <c r="CC1191" s="6"/>
    </row>
    <row r="1192" spans="2:81" x14ac:dyDescent="0.2">
      <c r="B1192" s="68"/>
      <c r="C1192" s="69"/>
      <c r="D1192" s="70"/>
      <c r="F1192" s="68"/>
      <c r="G1192" s="69"/>
      <c r="H1192" s="70"/>
      <c r="J1192" s="71"/>
      <c r="K1192" s="71"/>
      <c r="L1192" s="67"/>
      <c r="N1192" s="71"/>
      <c r="O1192" s="71"/>
      <c r="P1192" s="67"/>
      <c r="R1192" s="67"/>
      <c r="S1192" s="6"/>
      <c r="T1192" s="6"/>
      <c r="U1192" s="6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  <c r="AG1192" s="6"/>
      <c r="AH1192" s="6"/>
      <c r="AI1192" s="6"/>
      <c r="AJ1192" s="6"/>
      <c r="AK1192" s="6"/>
      <c r="AL1192" s="6"/>
      <c r="AM1192" s="6"/>
      <c r="AN1192" s="6"/>
      <c r="AO1192" s="6"/>
      <c r="AP1192" s="6"/>
      <c r="AQ1192" s="6"/>
      <c r="AR1192" s="6"/>
      <c r="AS1192" s="6"/>
      <c r="AT1192" s="6"/>
      <c r="AU1192" s="6"/>
      <c r="AV1192" s="6"/>
      <c r="AW1192" s="6"/>
      <c r="AX1192" s="6"/>
      <c r="AY1192" s="6"/>
      <c r="AZ1192" s="6"/>
      <c r="BA1192" s="6"/>
      <c r="BB1192" s="6"/>
      <c r="BC1192" s="6"/>
      <c r="BD1192" s="6"/>
      <c r="BE1192" s="6"/>
      <c r="BF1192" s="6"/>
      <c r="BG1192" s="6"/>
      <c r="BH1192" s="6"/>
      <c r="BI1192" s="6"/>
      <c r="BJ1192" s="6"/>
      <c r="BK1192" s="6"/>
      <c r="BL1192" s="6"/>
      <c r="BM1192" s="6"/>
      <c r="BN1192" s="6"/>
      <c r="BO1192" s="6"/>
      <c r="BP1192" s="6"/>
      <c r="BQ1192" s="6"/>
      <c r="BR1192" s="6"/>
      <c r="BS1192" s="6"/>
      <c r="BT1192" s="6"/>
      <c r="BU1192" s="6"/>
      <c r="BV1192" s="6"/>
      <c r="BW1192" s="6"/>
      <c r="BX1192" s="6"/>
      <c r="BY1192" s="6"/>
      <c r="BZ1192" s="6"/>
      <c r="CA1192" s="6"/>
      <c r="CB1192" s="6"/>
      <c r="CC1192" s="6"/>
    </row>
    <row r="1193" spans="2:81" x14ac:dyDescent="0.2">
      <c r="B1193" s="68"/>
      <c r="C1193" s="69"/>
      <c r="D1193" s="70"/>
      <c r="F1193" s="68"/>
      <c r="G1193" s="69"/>
      <c r="H1193" s="70"/>
      <c r="J1193" s="71"/>
      <c r="K1193" s="71"/>
      <c r="L1193" s="67"/>
      <c r="N1193" s="71"/>
      <c r="O1193" s="71"/>
      <c r="P1193" s="67"/>
      <c r="R1193" s="67"/>
      <c r="S1193" s="6"/>
      <c r="T1193" s="6"/>
      <c r="U1193" s="6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  <c r="AG1193" s="6"/>
      <c r="AH1193" s="6"/>
      <c r="AI1193" s="6"/>
      <c r="AJ1193" s="6"/>
      <c r="AK1193" s="6"/>
      <c r="AL1193" s="6"/>
      <c r="AM1193" s="6"/>
      <c r="AN1193" s="6"/>
      <c r="AO1193" s="6"/>
      <c r="AP1193" s="6"/>
      <c r="AQ1193" s="6"/>
      <c r="AR1193" s="6"/>
      <c r="AS1193" s="6"/>
      <c r="AT1193" s="6"/>
      <c r="AU1193" s="6"/>
      <c r="AV1193" s="6"/>
      <c r="AW1193" s="6"/>
      <c r="AX1193" s="6"/>
      <c r="AY1193" s="6"/>
      <c r="AZ1193" s="6"/>
      <c r="BA1193" s="6"/>
      <c r="BB1193" s="6"/>
      <c r="BC1193" s="6"/>
      <c r="BD1193" s="6"/>
      <c r="BE1193" s="6"/>
      <c r="BF1193" s="6"/>
      <c r="BG1193" s="6"/>
      <c r="BH1193" s="6"/>
      <c r="BI1193" s="6"/>
      <c r="BJ1193" s="6"/>
      <c r="BK1193" s="6"/>
      <c r="BL1193" s="6"/>
      <c r="BM1193" s="6"/>
      <c r="BN1193" s="6"/>
      <c r="BO1193" s="6"/>
      <c r="BP1193" s="6"/>
      <c r="BQ1193" s="6"/>
      <c r="BR1193" s="6"/>
      <c r="BS1193" s="6"/>
      <c r="BT1193" s="6"/>
      <c r="BU1193" s="6"/>
      <c r="BV1193" s="6"/>
      <c r="BW1193" s="6"/>
      <c r="BX1193" s="6"/>
      <c r="BY1193" s="6"/>
      <c r="BZ1193" s="6"/>
      <c r="CA1193" s="6"/>
      <c r="CB1193" s="6"/>
      <c r="CC1193" s="6"/>
    </row>
    <row r="1194" spans="2:81" x14ac:dyDescent="0.2">
      <c r="B1194" s="68"/>
      <c r="C1194" s="69"/>
      <c r="D1194" s="70"/>
      <c r="F1194" s="68"/>
      <c r="G1194" s="69"/>
      <c r="H1194" s="70"/>
      <c r="J1194" s="71"/>
      <c r="K1194" s="71"/>
      <c r="L1194" s="67"/>
      <c r="N1194" s="71"/>
      <c r="O1194" s="71"/>
      <c r="P1194" s="67"/>
      <c r="R1194" s="67"/>
      <c r="S1194" s="6"/>
      <c r="T1194" s="6"/>
      <c r="U1194" s="6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  <c r="AG1194" s="6"/>
      <c r="AH1194" s="6"/>
      <c r="AI1194" s="6"/>
      <c r="AJ1194" s="6"/>
      <c r="AK1194" s="6"/>
      <c r="AL1194" s="6"/>
      <c r="AM1194" s="6"/>
      <c r="AN1194" s="6"/>
      <c r="AO1194" s="6"/>
      <c r="AP1194" s="6"/>
      <c r="AQ1194" s="6"/>
      <c r="AR1194" s="6"/>
      <c r="AS1194" s="6"/>
      <c r="AT1194" s="6"/>
      <c r="AU1194" s="6"/>
      <c r="AV1194" s="6"/>
      <c r="AW1194" s="6"/>
      <c r="AX1194" s="6"/>
      <c r="AY1194" s="6"/>
      <c r="AZ1194" s="6"/>
      <c r="BA1194" s="6"/>
      <c r="BB1194" s="6"/>
      <c r="BC1194" s="6"/>
      <c r="BD1194" s="6"/>
      <c r="BE1194" s="6"/>
      <c r="BF1194" s="6"/>
      <c r="BG1194" s="6"/>
      <c r="BH1194" s="6"/>
      <c r="BI1194" s="6"/>
      <c r="BJ1194" s="6"/>
      <c r="BK1194" s="6"/>
      <c r="BL1194" s="6"/>
      <c r="BM1194" s="6"/>
      <c r="BN1194" s="6"/>
      <c r="BO1194" s="6"/>
      <c r="BP1194" s="6"/>
      <c r="BQ1194" s="6"/>
      <c r="BR1194" s="6"/>
      <c r="BS1194" s="6"/>
      <c r="BT1194" s="6"/>
      <c r="BU1194" s="6"/>
      <c r="BV1194" s="6"/>
      <c r="BW1194" s="6"/>
      <c r="BX1194" s="6"/>
      <c r="BY1194" s="6"/>
      <c r="BZ1194" s="6"/>
      <c r="CA1194" s="6"/>
      <c r="CB1194" s="6"/>
      <c r="CC1194" s="6"/>
    </row>
    <row r="1195" spans="2:81" x14ac:dyDescent="0.2">
      <c r="B1195" s="68"/>
      <c r="C1195" s="69"/>
      <c r="D1195" s="70"/>
      <c r="F1195" s="68"/>
      <c r="G1195" s="69"/>
      <c r="H1195" s="70"/>
      <c r="J1195" s="71"/>
      <c r="K1195" s="71"/>
      <c r="L1195" s="67"/>
      <c r="N1195" s="71"/>
      <c r="O1195" s="71"/>
      <c r="P1195" s="67"/>
      <c r="R1195" s="67"/>
      <c r="S1195" s="6"/>
      <c r="T1195" s="6"/>
      <c r="U1195" s="6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  <c r="AG1195" s="6"/>
      <c r="AH1195" s="6"/>
      <c r="AI1195" s="6"/>
      <c r="AJ1195" s="6"/>
      <c r="AK1195" s="6"/>
      <c r="AL1195" s="6"/>
      <c r="AM1195" s="6"/>
      <c r="AN1195" s="6"/>
      <c r="AO1195" s="6"/>
      <c r="AP1195" s="6"/>
      <c r="AQ1195" s="6"/>
      <c r="AR1195" s="6"/>
      <c r="AS1195" s="6"/>
      <c r="AT1195" s="6"/>
      <c r="AU1195" s="6"/>
      <c r="AV1195" s="6"/>
      <c r="AW1195" s="6"/>
      <c r="AX1195" s="6"/>
      <c r="AY1195" s="6"/>
      <c r="AZ1195" s="6"/>
      <c r="BA1195" s="6"/>
      <c r="BB1195" s="6"/>
      <c r="BC1195" s="6"/>
      <c r="BD1195" s="6"/>
      <c r="BE1195" s="6"/>
      <c r="BF1195" s="6"/>
      <c r="BG1195" s="6"/>
      <c r="BH1195" s="6"/>
      <c r="BI1195" s="6"/>
      <c r="BJ1195" s="6"/>
      <c r="BK1195" s="6"/>
      <c r="BL1195" s="6"/>
      <c r="BM1195" s="6"/>
      <c r="BN1195" s="6"/>
      <c r="BO1195" s="6"/>
      <c r="BP1195" s="6"/>
      <c r="BQ1195" s="6"/>
      <c r="BR1195" s="6"/>
      <c r="BS1195" s="6"/>
      <c r="BT1195" s="6"/>
      <c r="BU1195" s="6"/>
      <c r="BV1195" s="6"/>
      <c r="BW1195" s="6"/>
      <c r="BX1195" s="6"/>
      <c r="BY1195" s="6"/>
      <c r="BZ1195" s="6"/>
      <c r="CA1195" s="6"/>
      <c r="CB1195" s="6"/>
      <c r="CC1195" s="6"/>
    </row>
    <row r="1196" spans="2:81" x14ac:dyDescent="0.2">
      <c r="B1196" s="68"/>
      <c r="C1196" s="69"/>
      <c r="D1196" s="70"/>
      <c r="F1196" s="68"/>
      <c r="G1196" s="69"/>
      <c r="H1196" s="70"/>
      <c r="J1196" s="71"/>
      <c r="K1196" s="71"/>
      <c r="L1196" s="67"/>
      <c r="N1196" s="71"/>
      <c r="O1196" s="71"/>
      <c r="P1196" s="67"/>
      <c r="R1196" s="67"/>
      <c r="S1196" s="6"/>
      <c r="T1196" s="6"/>
      <c r="U1196" s="6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  <c r="AG1196" s="6"/>
      <c r="AH1196" s="6"/>
      <c r="AI1196" s="6"/>
      <c r="AJ1196" s="6"/>
      <c r="AK1196" s="6"/>
      <c r="AL1196" s="6"/>
      <c r="AM1196" s="6"/>
      <c r="AN1196" s="6"/>
      <c r="AO1196" s="6"/>
      <c r="AP1196" s="6"/>
      <c r="AQ1196" s="6"/>
      <c r="AR1196" s="6"/>
      <c r="AS1196" s="6"/>
      <c r="AT1196" s="6"/>
      <c r="AU1196" s="6"/>
      <c r="AV1196" s="6"/>
      <c r="AW1196" s="6"/>
      <c r="AX1196" s="6"/>
      <c r="AY1196" s="6"/>
      <c r="AZ1196" s="6"/>
      <c r="BA1196" s="6"/>
      <c r="BB1196" s="6"/>
      <c r="BC1196" s="6"/>
      <c r="BD1196" s="6"/>
      <c r="BE1196" s="6"/>
      <c r="BF1196" s="6"/>
      <c r="BG1196" s="6"/>
      <c r="BH1196" s="6"/>
      <c r="BI1196" s="6"/>
      <c r="BJ1196" s="6"/>
      <c r="BK1196" s="6"/>
      <c r="BL1196" s="6"/>
      <c r="BM1196" s="6"/>
      <c r="BN1196" s="6"/>
      <c r="BO1196" s="6"/>
      <c r="BP1196" s="6"/>
      <c r="BQ1196" s="6"/>
      <c r="BR1196" s="6"/>
      <c r="BS1196" s="6"/>
      <c r="BT1196" s="6"/>
      <c r="BU1196" s="6"/>
      <c r="BV1196" s="6"/>
      <c r="BW1196" s="6"/>
      <c r="BX1196" s="6"/>
      <c r="BY1196" s="6"/>
      <c r="BZ1196" s="6"/>
      <c r="CA1196" s="6"/>
      <c r="CB1196" s="6"/>
      <c r="CC1196" s="6"/>
    </row>
    <row r="1197" spans="2:81" x14ac:dyDescent="0.2">
      <c r="B1197" s="68"/>
      <c r="C1197" s="69"/>
      <c r="D1197" s="70"/>
      <c r="F1197" s="68"/>
      <c r="G1197" s="69"/>
      <c r="H1197" s="70"/>
      <c r="J1197" s="71"/>
      <c r="K1197" s="71"/>
      <c r="L1197" s="67"/>
      <c r="N1197" s="71"/>
      <c r="O1197" s="71"/>
      <c r="P1197" s="67"/>
      <c r="R1197" s="67"/>
      <c r="S1197" s="6"/>
      <c r="T1197" s="6"/>
      <c r="U1197" s="6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  <c r="AG1197" s="6"/>
      <c r="AH1197" s="6"/>
      <c r="AI1197" s="6"/>
      <c r="AJ1197" s="6"/>
      <c r="AK1197" s="6"/>
      <c r="AL1197" s="6"/>
      <c r="AM1197" s="6"/>
      <c r="AN1197" s="6"/>
      <c r="AO1197" s="6"/>
      <c r="AP1197" s="6"/>
      <c r="AQ1197" s="6"/>
      <c r="AR1197" s="6"/>
      <c r="AS1197" s="6"/>
      <c r="AT1197" s="6"/>
      <c r="AU1197" s="6"/>
      <c r="AV1197" s="6"/>
      <c r="AW1197" s="6"/>
      <c r="AX1197" s="6"/>
      <c r="AY1197" s="6"/>
      <c r="AZ1197" s="6"/>
      <c r="BA1197" s="6"/>
      <c r="BB1197" s="6"/>
      <c r="BC1197" s="6"/>
      <c r="BD1197" s="6"/>
      <c r="BE1197" s="6"/>
      <c r="BF1197" s="6"/>
      <c r="BG1197" s="6"/>
      <c r="BH1197" s="6"/>
      <c r="BI1197" s="6"/>
      <c r="BJ1197" s="6"/>
      <c r="BK1197" s="6"/>
      <c r="BL1197" s="6"/>
      <c r="BM1197" s="6"/>
      <c r="BN1197" s="6"/>
      <c r="BO1197" s="6"/>
      <c r="BP1197" s="6"/>
      <c r="BQ1197" s="6"/>
      <c r="BR1197" s="6"/>
      <c r="BS1197" s="6"/>
      <c r="BT1197" s="6"/>
      <c r="BU1197" s="6"/>
      <c r="BV1197" s="6"/>
      <c r="BW1197" s="6"/>
      <c r="BX1197" s="6"/>
      <c r="BY1197" s="6"/>
      <c r="BZ1197" s="6"/>
      <c r="CA1197" s="6"/>
      <c r="CB1197" s="6"/>
      <c r="CC1197" s="6"/>
    </row>
    <row r="1198" spans="2:81" x14ac:dyDescent="0.2">
      <c r="B1198" s="68"/>
      <c r="C1198" s="69"/>
      <c r="D1198" s="70"/>
      <c r="F1198" s="68"/>
      <c r="G1198" s="69"/>
      <c r="H1198" s="70"/>
      <c r="J1198" s="71"/>
      <c r="K1198" s="71"/>
      <c r="L1198" s="67"/>
      <c r="N1198" s="71"/>
      <c r="O1198" s="71"/>
      <c r="P1198" s="67"/>
      <c r="R1198" s="67"/>
      <c r="S1198" s="6"/>
      <c r="T1198" s="6"/>
      <c r="U1198" s="6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  <c r="AG1198" s="6"/>
      <c r="AH1198" s="6"/>
      <c r="AI1198" s="6"/>
      <c r="AJ1198" s="6"/>
      <c r="AK1198" s="6"/>
      <c r="AL1198" s="6"/>
      <c r="AM1198" s="6"/>
      <c r="AN1198" s="6"/>
      <c r="AO1198" s="6"/>
      <c r="AP1198" s="6"/>
      <c r="AQ1198" s="6"/>
      <c r="AR1198" s="6"/>
      <c r="AS1198" s="6"/>
      <c r="AT1198" s="6"/>
      <c r="AU1198" s="6"/>
      <c r="AV1198" s="6"/>
      <c r="AW1198" s="6"/>
      <c r="AX1198" s="6"/>
      <c r="AY1198" s="6"/>
      <c r="AZ1198" s="6"/>
      <c r="BA1198" s="6"/>
      <c r="BB1198" s="6"/>
      <c r="BC1198" s="6"/>
      <c r="BD1198" s="6"/>
      <c r="BE1198" s="6"/>
      <c r="BF1198" s="6"/>
      <c r="BG1198" s="6"/>
      <c r="BH1198" s="6"/>
      <c r="BI1198" s="6"/>
      <c r="BJ1198" s="6"/>
      <c r="BK1198" s="6"/>
      <c r="BL1198" s="6"/>
      <c r="BM1198" s="6"/>
      <c r="BN1198" s="6"/>
      <c r="BO1198" s="6"/>
      <c r="BP1198" s="6"/>
      <c r="BQ1198" s="6"/>
      <c r="BR1198" s="6"/>
      <c r="BS1198" s="6"/>
      <c r="BT1198" s="6"/>
      <c r="BU1198" s="6"/>
      <c r="BV1198" s="6"/>
      <c r="BW1198" s="6"/>
      <c r="BX1198" s="6"/>
      <c r="BY1198" s="6"/>
      <c r="BZ1198" s="6"/>
      <c r="CA1198" s="6"/>
      <c r="CB1198" s="6"/>
      <c r="CC1198" s="6"/>
    </row>
    <row r="1199" spans="2:81" x14ac:dyDescent="0.2">
      <c r="B1199" s="68"/>
      <c r="C1199" s="69"/>
      <c r="D1199" s="70"/>
      <c r="F1199" s="68"/>
      <c r="G1199" s="69"/>
      <c r="H1199" s="70"/>
      <c r="J1199" s="71"/>
      <c r="K1199" s="71"/>
      <c r="L1199" s="67"/>
      <c r="N1199" s="71"/>
      <c r="O1199" s="71"/>
      <c r="P1199" s="67"/>
      <c r="R1199" s="67"/>
      <c r="S1199" s="6"/>
      <c r="T1199" s="6"/>
      <c r="U1199" s="6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  <c r="AG1199" s="6"/>
      <c r="AH1199" s="6"/>
      <c r="AI1199" s="6"/>
      <c r="AJ1199" s="6"/>
      <c r="AK1199" s="6"/>
      <c r="AL1199" s="6"/>
      <c r="AM1199" s="6"/>
      <c r="AN1199" s="6"/>
      <c r="AO1199" s="6"/>
      <c r="AP1199" s="6"/>
      <c r="AQ1199" s="6"/>
      <c r="AR1199" s="6"/>
      <c r="AS1199" s="6"/>
      <c r="AT1199" s="6"/>
      <c r="AU1199" s="6"/>
      <c r="AV1199" s="6"/>
      <c r="AW1199" s="6"/>
      <c r="AX1199" s="6"/>
      <c r="AY1199" s="6"/>
      <c r="AZ1199" s="6"/>
      <c r="BA1199" s="6"/>
      <c r="BB1199" s="6"/>
      <c r="BC1199" s="6"/>
      <c r="BD1199" s="6"/>
      <c r="BE1199" s="6"/>
      <c r="BF1199" s="6"/>
      <c r="BG1199" s="6"/>
      <c r="BH1199" s="6"/>
      <c r="BI1199" s="6"/>
      <c r="BJ1199" s="6"/>
      <c r="BK1199" s="6"/>
      <c r="BL1199" s="6"/>
      <c r="BM1199" s="6"/>
      <c r="BN1199" s="6"/>
      <c r="BO1199" s="6"/>
      <c r="BP1199" s="6"/>
      <c r="BQ1199" s="6"/>
      <c r="BR1199" s="6"/>
      <c r="BS1199" s="6"/>
      <c r="BT1199" s="6"/>
      <c r="BU1199" s="6"/>
      <c r="BV1199" s="6"/>
      <c r="BW1199" s="6"/>
      <c r="BX1199" s="6"/>
      <c r="BY1199" s="6"/>
      <c r="BZ1199" s="6"/>
      <c r="CA1199" s="6"/>
      <c r="CB1199" s="6"/>
      <c r="CC1199" s="6"/>
    </row>
    <row r="1200" spans="2:81" x14ac:dyDescent="0.2">
      <c r="B1200" s="68"/>
      <c r="C1200" s="69"/>
      <c r="D1200" s="70"/>
      <c r="F1200" s="68"/>
      <c r="G1200" s="69"/>
      <c r="H1200" s="70"/>
      <c r="J1200" s="71"/>
      <c r="K1200" s="71"/>
      <c r="L1200" s="67"/>
      <c r="N1200" s="71"/>
      <c r="O1200" s="71"/>
      <c r="P1200" s="67"/>
      <c r="R1200" s="67"/>
      <c r="S1200" s="6"/>
      <c r="T1200" s="6"/>
      <c r="U1200" s="6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  <c r="AG1200" s="6"/>
      <c r="AH1200" s="6"/>
      <c r="AI1200" s="6"/>
      <c r="AJ1200" s="6"/>
      <c r="AK1200" s="6"/>
      <c r="AL1200" s="6"/>
      <c r="AM1200" s="6"/>
      <c r="AN1200" s="6"/>
      <c r="AO1200" s="6"/>
      <c r="AP1200" s="6"/>
      <c r="AQ1200" s="6"/>
      <c r="AR1200" s="6"/>
      <c r="AS1200" s="6"/>
      <c r="AT1200" s="6"/>
      <c r="AU1200" s="6"/>
      <c r="AV1200" s="6"/>
      <c r="AW1200" s="6"/>
      <c r="AX1200" s="6"/>
      <c r="AY1200" s="6"/>
      <c r="AZ1200" s="6"/>
      <c r="BA1200" s="6"/>
      <c r="BB1200" s="6"/>
      <c r="BC1200" s="6"/>
      <c r="BD1200" s="6"/>
      <c r="BE1200" s="6"/>
      <c r="BF1200" s="6"/>
      <c r="BG1200" s="6"/>
      <c r="BH1200" s="6"/>
      <c r="BI1200" s="6"/>
      <c r="BJ1200" s="6"/>
      <c r="BK1200" s="6"/>
      <c r="BL1200" s="6"/>
      <c r="BM1200" s="6"/>
      <c r="BN1200" s="6"/>
      <c r="BO1200" s="6"/>
      <c r="BP1200" s="6"/>
      <c r="BQ1200" s="6"/>
      <c r="BR1200" s="6"/>
      <c r="BS1200" s="6"/>
      <c r="BT1200" s="6"/>
      <c r="BU1200" s="6"/>
      <c r="BV1200" s="6"/>
      <c r="BW1200" s="6"/>
      <c r="BX1200" s="6"/>
      <c r="BY1200" s="6"/>
      <c r="BZ1200" s="6"/>
      <c r="CA1200" s="6"/>
      <c r="CB1200" s="6"/>
      <c r="CC1200" s="6"/>
    </row>
    <row r="1201" spans="2:81" x14ac:dyDescent="0.2">
      <c r="B1201" s="68"/>
      <c r="C1201" s="69"/>
      <c r="D1201" s="70"/>
      <c r="F1201" s="68"/>
      <c r="G1201" s="69"/>
      <c r="H1201" s="70"/>
      <c r="J1201" s="71"/>
      <c r="K1201" s="71"/>
      <c r="L1201" s="67"/>
      <c r="N1201" s="71"/>
      <c r="O1201" s="71"/>
      <c r="P1201" s="67"/>
      <c r="R1201" s="67"/>
      <c r="S1201" s="6"/>
      <c r="T1201" s="6"/>
      <c r="U1201" s="6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  <c r="AG1201" s="6"/>
      <c r="AH1201" s="6"/>
      <c r="AI1201" s="6"/>
      <c r="AJ1201" s="6"/>
      <c r="AK1201" s="6"/>
      <c r="AL1201" s="6"/>
      <c r="AM1201" s="6"/>
      <c r="AN1201" s="6"/>
      <c r="AO1201" s="6"/>
      <c r="AP1201" s="6"/>
      <c r="AQ1201" s="6"/>
      <c r="AR1201" s="6"/>
      <c r="AS1201" s="6"/>
      <c r="AT1201" s="6"/>
      <c r="AU1201" s="6"/>
      <c r="AV1201" s="6"/>
      <c r="AW1201" s="6"/>
      <c r="AX1201" s="6"/>
      <c r="AY1201" s="6"/>
      <c r="AZ1201" s="6"/>
      <c r="BA1201" s="6"/>
      <c r="BB1201" s="6"/>
      <c r="BC1201" s="6"/>
      <c r="BD1201" s="6"/>
      <c r="BE1201" s="6"/>
      <c r="BF1201" s="6"/>
      <c r="BG1201" s="6"/>
      <c r="BH1201" s="6"/>
      <c r="BI1201" s="6"/>
      <c r="BJ1201" s="6"/>
      <c r="BK1201" s="6"/>
      <c r="BL1201" s="6"/>
      <c r="BM1201" s="6"/>
      <c r="BN1201" s="6"/>
      <c r="BO1201" s="6"/>
      <c r="BP1201" s="6"/>
      <c r="BQ1201" s="6"/>
      <c r="BR1201" s="6"/>
      <c r="BS1201" s="6"/>
      <c r="BT1201" s="6"/>
      <c r="BU1201" s="6"/>
      <c r="BV1201" s="6"/>
      <c r="BW1201" s="6"/>
      <c r="BX1201" s="6"/>
      <c r="BY1201" s="6"/>
      <c r="BZ1201" s="6"/>
      <c r="CA1201" s="6"/>
      <c r="CB1201" s="6"/>
      <c r="CC1201" s="6"/>
    </row>
    <row r="1202" spans="2:81" x14ac:dyDescent="0.2">
      <c r="B1202" s="68"/>
      <c r="C1202" s="69"/>
      <c r="D1202" s="70"/>
      <c r="F1202" s="68"/>
      <c r="G1202" s="69"/>
      <c r="H1202" s="70"/>
      <c r="J1202" s="71"/>
      <c r="K1202" s="71"/>
      <c r="L1202" s="67"/>
      <c r="N1202" s="71"/>
      <c r="O1202" s="71"/>
      <c r="P1202" s="67"/>
      <c r="R1202" s="67"/>
      <c r="S1202" s="6"/>
      <c r="T1202" s="6"/>
      <c r="U1202" s="6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  <c r="AG1202" s="6"/>
      <c r="AH1202" s="6"/>
      <c r="AI1202" s="6"/>
      <c r="AJ1202" s="6"/>
      <c r="AK1202" s="6"/>
      <c r="AL1202" s="6"/>
      <c r="AM1202" s="6"/>
      <c r="AN1202" s="6"/>
      <c r="AO1202" s="6"/>
      <c r="AP1202" s="6"/>
      <c r="AQ1202" s="6"/>
      <c r="AR1202" s="6"/>
      <c r="AS1202" s="6"/>
      <c r="AT1202" s="6"/>
      <c r="AU1202" s="6"/>
      <c r="AV1202" s="6"/>
      <c r="AW1202" s="6"/>
      <c r="AX1202" s="6"/>
      <c r="AY1202" s="6"/>
      <c r="AZ1202" s="6"/>
      <c r="BA1202" s="6"/>
      <c r="BB1202" s="6"/>
      <c r="BC1202" s="6"/>
      <c r="BD1202" s="6"/>
      <c r="BE1202" s="6"/>
      <c r="BF1202" s="6"/>
      <c r="BG1202" s="6"/>
      <c r="BH1202" s="6"/>
      <c r="BI1202" s="6"/>
      <c r="BJ1202" s="6"/>
      <c r="BK1202" s="6"/>
      <c r="BL1202" s="6"/>
      <c r="BM1202" s="6"/>
      <c r="BN1202" s="6"/>
      <c r="BO1202" s="6"/>
      <c r="BP1202" s="6"/>
      <c r="BQ1202" s="6"/>
      <c r="BR1202" s="6"/>
      <c r="BS1202" s="6"/>
      <c r="BT1202" s="6"/>
      <c r="BU1202" s="6"/>
      <c r="BV1202" s="6"/>
      <c r="BW1202" s="6"/>
      <c r="BX1202" s="6"/>
      <c r="BY1202" s="6"/>
      <c r="BZ1202" s="6"/>
      <c r="CA1202" s="6"/>
      <c r="CB1202" s="6"/>
      <c r="CC1202" s="6"/>
    </row>
    <row r="1203" spans="2:81" x14ac:dyDescent="0.2">
      <c r="B1203" s="68"/>
      <c r="C1203" s="69"/>
      <c r="D1203" s="70"/>
      <c r="F1203" s="68"/>
      <c r="G1203" s="69"/>
      <c r="H1203" s="70"/>
      <c r="J1203" s="71"/>
      <c r="K1203" s="71"/>
      <c r="L1203" s="67"/>
      <c r="N1203" s="71"/>
      <c r="O1203" s="71"/>
      <c r="P1203" s="67"/>
      <c r="R1203" s="67"/>
      <c r="S1203" s="6"/>
      <c r="T1203" s="6"/>
      <c r="U1203" s="6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  <c r="AG1203" s="6"/>
      <c r="AH1203" s="6"/>
      <c r="AI1203" s="6"/>
      <c r="AJ1203" s="6"/>
      <c r="AK1203" s="6"/>
      <c r="AL1203" s="6"/>
      <c r="AM1203" s="6"/>
      <c r="AN1203" s="6"/>
      <c r="AO1203" s="6"/>
      <c r="AP1203" s="6"/>
      <c r="AQ1203" s="6"/>
      <c r="AR1203" s="6"/>
      <c r="AS1203" s="6"/>
      <c r="AT1203" s="6"/>
      <c r="AU1203" s="6"/>
      <c r="AV1203" s="6"/>
      <c r="AW1203" s="6"/>
      <c r="AX1203" s="6"/>
      <c r="AY1203" s="6"/>
      <c r="AZ1203" s="6"/>
      <c r="BA1203" s="6"/>
      <c r="BB1203" s="6"/>
      <c r="BC1203" s="6"/>
      <c r="BD1203" s="6"/>
      <c r="BE1203" s="6"/>
      <c r="BF1203" s="6"/>
      <c r="BG1203" s="6"/>
      <c r="BH1203" s="6"/>
      <c r="BI1203" s="6"/>
      <c r="BJ1203" s="6"/>
      <c r="BK1203" s="6"/>
      <c r="BL1203" s="6"/>
      <c r="BM1203" s="6"/>
      <c r="BN1203" s="6"/>
      <c r="BO1203" s="6"/>
      <c r="BP1203" s="6"/>
      <c r="BQ1203" s="6"/>
      <c r="BR1203" s="6"/>
      <c r="BS1203" s="6"/>
      <c r="BT1203" s="6"/>
      <c r="BU1203" s="6"/>
      <c r="BV1203" s="6"/>
      <c r="BW1203" s="6"/>
      <c r="BX1203" s="6"/>
      <c r="BY1203" s="6"/>
      <c r="BZ1203" s="6"/>
      <c r="CA1203" s="6"/>
      <c r="CB1203" s="6"/>
      <c r="CC1203" s="6"/>
    </row>
    <row r="1204" spans="2:81" x14ac:dyDescent="0.2">
      <c r="B1204" s="68"/>
      <c r="C1204" s="69"/>
      <c r="D1204" s="70"/>
      <c r="F1204" s="68"/>
      <c r="G1204" s="69"/>
      <c r="H1204" s="70"/>
      <c r="J1204" s="71"/>
      <c r="K1204" s="71"/>
      <c r="L1204" s="67"/>
      <c r="N1204" s="71"/>
      <c r="O1204" s="71"/>
      <c r="P1204" s="67"/>
      <c r="R1204" s="67"/>
      <c r="S1204" s="6"/>
      <c r="T1204" s="6"/>
      <c r="U1204" s="6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  <c r="AG1204" s="6"/>
      <c r="AH1204" s="6"/>
      <c r="AI1204" s="6"/>
      <c r="AJ1204" s="6"/>
      <c r="AK1204" s="6"/>
      <c r="AL1204" s="6"/>
      <c r="AM1204" s="6"/>
      <c r="AN1204" s="6"/>
      <c r="AO1204" s="6"/>
      <c r="AP1204" s="6"/>
      <c r="AQ1204" s="6"/>
      <c r="AR1204" s="6"/>
      <c r="AS1204" s="6"/>
      <c r="AT1204" s="6"/>
      <c r="AU1204" s="6"/>
      <c r="AV1204" s="6"/>
      <c r="AW1204" s="6"/>
      <c r="AX1204" s="6"/>
      <c r="AY1204" s="6"/>
      <c r="AZ1204" s="6"/>
      <c r="BA1204" s="6"/>
      <c r="BB1204" s="6"/>
      <c r="BC1204" s="6"/>
      <c r="BD1204" s="6"/>
      <c r="BE1204" s="6"/>
      <c r="BF1204" s="6"/>
      <c r="BG1204" s="6"/>
      <c r="BH1204" s="6"/>
      <c r="BI1204" s="6"/>
      <c r="BJ1204" s="6"/>
      <c r="BK1204" s="6"/>
      <c r="BL1204" s="6"/>
      <c r="BM1204" s="6"/>
      <c r="BN1204" s="6"/>
      <c r="BO1204" s="6"/>
      <c r="BP1204" s="6"/>
      <c r="BQ1204" s="6"/>
      <c r="BR1204" s="6"/>
      <c r="BS1204" s="6"/>
      <c r="BT1204" s="6"/>
      <c r="BU1204" s="6"/>
      <c r="BV1204" s="6"/>
      <c r="BW1204" s="6"/>
      <c r="BX1204" s="6"/>
      <c r="BY1204" s="6"/>
      <c r="BZ1204" s="6"/>
      <c r="CA1204" s="6"/>
      <c r="CB1204" s="6"/>
      <c r="CC1204" s="6"/>
    </row>
    <row r="1205" spans="2:81" x14ac:dyDescent="0.2">
      <c r="B1205" s="68"/>
      <c r="C1205" s="69"/>
      <c r="D1205" s="70"/>
      <c r="F1205" s="68"/>
      <c r="G1205" s="69"/>
      <c r="H1205" s="70"/>
      <c r="J1205" s="71"/>
      <c r="K1205" s="71"/>
      <c r="L1205" s="67"/>
      <c r="N1205" s="71"/>
      <c r="O1205" s="71"/>
      <c r="P1205" s="67"/>
      <c r="R1205" s="67"/>
      <c r="S1205" s="6"/>
      <c r="T1205" s="6"/>
      <c r="U1205" s="6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  <c r="AG1205" s="6"/>
      <c r="AH1205" s="6"/>
      <c r="AI1205" s="6"/>
      <c r="AJ1205" s="6"/>
      <c r="AK1205" s="6"/>
      <c r="AL1205" s="6"/>
      <c r="AM1205" s="6"/>
      <c r="AN1205" s="6"/>
      <c r="AO1205" s="6"/>
      <c r="AP1205" s="6"/>
      <c r="AQ1205" s="6"/>
      <c r="AR1205" s="6"/>
      <c r="AS1205" s="6"/>
      <c r="AT1205" s="6"/>
      <c r="AU1205" s="6"/>
      <c r="AV1205" s="6"/>
      <c r="AW1205" s="6"/>
      <c r="AX1205" s="6"/>
      <c r="AY1205" s="6"/>
      <c r="AZ1205" s="6"/>
      <c r="BA1205" s="6"/>
      <c r="BB1205" s="6"/>
      <c r="BC1205" s="6"/>
      <c r="BD1205" s="6"/>
      <c r="BE1205" s="6"/>
      <c r="BF1205" s="6"/>
      <c r="BG1205" s="6"/>
      <c r="BH1205" s="6"/>
      <c r="BI1205" s="6"/>
      <c r="BJ1205" s="6"/>
      <c r="BK1205" s="6"/>
      <c r="BL1205" s="6"/>
      <c r="BM1205" s="6"/>
      <c r="BN1205" s="6"/>
      <c r="BO1205" s="6"/>
      <c r="BP1205" s="6"/>
      <c r="BQ1205" s="6"/>
      <c r="BR1205" s="6"/>
      <c r="BS1205" s="6"/>
      <c r="BT1205" s="6"/>
      <c r="BU1205" s="6"/>
      <c r="BV1205" s="6"/>
      <c r="BW1205" s="6"/>
      <c r="BX1205" s="6"/>
      <c r="BY1205" s="6"/>
      <c r="BZ1205" s="6"/>
      <c r="CA1205" s="6"/>
      <c r="CB1205" s="6"/>
      <c r="CC1205" s="6"/>
    </row>
    <row r="1206" spans="2:81" x14ac:dyDescent="0.2">
      <c r="B1206" s="68"/>
      <c r="C1206" s="69"/>
      <c r="D1206" s="70"/>
      <c r="F1206" s="68"/>
      <c r="G1206" s="69"/>
      <c r="H1206" s="70"/>
      <c r="J1206" s="71"/>
      <c r="K1206" s="71"/>
      <c r="L1206" s="67"/>
      <c r="N1206" s="71"/>
      <c r="O1206" s="71"/>
      <c r="P1206" s="67"/>
      <c r="R1206" s="67"/>
      <c r="S1206" s="6"/>
      <c r="T1206" s="6"/>
      <c r="U1206" s="6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  <c r="AG1206" s="6"/>
      <c r="AH1206" s="6"/>
      <c r="AI1206" s="6"/>
      <c r="AJ1206" s="6"/>
      <c r="AK1206" s="6"/>
      <c r="AL1206" s="6"/>
      <c r="AM1206" s="6"/>
      <c r="AN1206" s="6"/>
      <c r="AO1206" s="6"/>
      <c r="AP1206" s="6"/>
      <c r="AQ1206" s="6"/>
      <c r="AR1206" s="6"/>
      <c r="AS1206" s="6"/>
      <c r="AT1206" s="6"/>
      <c r="AU1206" s="6"/>
      <c r="AV1206" s="6"/>
      <c r="AW1206" s="6"/>
      <c r="AX1206" s="6"/>
      <c r="AY1206" s="6"/>
      <c r="AZ1206" s="6"/>
      <c r="BA1206" s="6"/>
      <c r="BB1206" s="6"/>
      <c r="BC1206" s="6"/>
      <c r="BD1206" s="6"/>
      <c r="BE1206" s="6"/>
      <c r="BF1206" s="6"/>
      <c r="BG1206" s="6"/>
      <c r="BH1206" s="6"/>
      <c r="BI1206" s="6"/>
      <c r="BJ1206" s="6"/>
      <c r="BK1206" s="6"/>
      <c r="BL1206" s="6"/>
      <c r="BM1206" s="6"/>
      <c r="BN1206" s="6"/>
      <c r="BO1206" s="6"/>
      <c r="BP1206" s="6"/>
      <c r="BQ1206" s="6"/>
      <c r="BR1206" s="6"/>
      <c r="BS1206" s="6"/>
      <c r="BT1206" s="6"/>
      <c r="BU1206" s="6"/>
      <c r="BV1206" s="6"/>
      <c r="BW1206" s="6"/>
      <c r="BX1206" s="6"/>
      <c r="BY1206" s="6"/>
      <c r="BZ1206" s="6"/>
      <c r="CA1206" s="6"/>
      <c r="CB1206" s="6"/>
      <c r="CC1206" s="6"/>
    </row>
    <row r="1207" spans="2:81" x14ac:dyDescent="0.2">
      <c r="B1207" s="68"/>
      <c r="C1207" s="69"/>
      <c r="D1207" s="70"/>
      <c r="F1207" s="68"/>
      <c r="G1207" s="69"/>
      <c r="H1207" s="70"/>
      <c r="J1207" s="71"/>
      <c r="K1207" s="71"/>
      <c r="L1207" s="67"/>
      <c r="N1207" s="71"/>
      <c r="O1207" s="71"/>
      <c r="P1207" s="67"/>
      <c r="R1207" s="67"/>
      <c r="S1207" s="6"/>
      <c r="T1207" s="6"/>
      <c r="U1207" s="6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  <c r="AG1207" s="6"/>
      <c r="AH1207" s="6"/>
      <c r="AI1207" s="6"/>
      <c r="AJ1207" s="6"/>
      <c r="AK1207" s="6"/>
      <c r="AL1207" s="6"/>
      <c r="AM1207" s="6"/>
      <c r="AN1207" s="6"/>
      <c r="AO1207" s="6"/>
      <c r="AP1207" s="6"/>
      <c r="AQ1207" s="6"/>
      <c r="AR1207" s="6"/>
      <c r="AS1207" s="6"/>
      <c r="AT1207" s="6"/>
      <c r="AU1207" s="6"/>
      <c r="AV1207" s="6"/>
      <c r="AW1207" s="6"/>
      <c r="AX1207" s="6"/>
      <c r="AY1207" s="6"/>
      <c r="AZ1207" s="6"/>
      <c r="BA1207" s="6"/>
      <c r="BB1207" s="6"/>
      <c r="BC1207" s="6"/>
      <c r="BD1207" s="6"/>
      <c r="BE1207" s="6"/>
      <c r="BF1207" s="6"/>
      <c r="BG1207" s="6"/>
      <c r="BH1207" s="6"/>
      <c r="BI1207" s="6"/>
      <c r="BJ1207" s="6"/>
      <c r="BK1207" s="6"/>
      <c r="BL1207" s="6"/>
      <c r="BM1207" s="6"/>
      <c r="BN1207" s="6"/>
      <c r="BO1207" s="6"/>
      <c r="BP1207" s="6"/>
      <c r="BQ1207" s="6"/>
      <c r="BR1207" s="6"/>
      <c r="BS1207" s="6"/>
      <c r="BT1207" s="6"/>
      <c r="BU1207" s="6"/>
      <c r="BV1207" s="6"/>
      <c r="BW1207" s="6"/>
      <c r="BX1207" s="6"/>
      <c r="BY1207" s="6"/>
      <c r="BZ1207" s="6"/>
      <c r="CA1207" s="6"/>
      <c r="CB1207" s="6"/>
      <c r="CC1207" s="6"/>
    </row>
    <row r="1208" spans="2:81" x14ac:dyDescent="0.2">
      <c r="B1208" s="68"/>
      <c r="C1208" s="69"/>
      <c r="D1208" s="70"/>
      <c r="F1208" s="68"/>
      <c r="G1208" s="69"/>
      <c r="H1208" s="70"/>
      <c r="J1208" s="71"/>
      <c r="K1208" s="71"/>
      <c r="L1208" s="67"/>
      <c r="N1208" s="71"/>
      <c r="O1208" s="71"/>
      <c r="P1208" s="67"/>
      <c r="R1208" s="67"/>
      <c r="S1208" s="6"/>
      <c r="T1208" s="6"/>
      <c r="U1208" s="6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  <c r="AG1208" s="6"/>
      <c r="AH1208" s="6"/>
      <c r="AI1208" s="6"/>
      <c r="AJ1208" s="6"/>
      <c r="AK1208" s="6"/>
      <c r="AL1208" s="6"/>
      <c r="AM1208" s="6"/>
      <c r="AN1208" s="6"/>
      <c r="AO1208" s="6"/>
      <c r="AP1208" s="6"/>
      <c r="AQ1208" s="6"/>
      <c r="AR1208" s="6"/>
      <c r="AS1208" s="6"/>
      <c r="AT1208" s="6"/>
      <c r="AU1208" s="6"/>
      <c r="AV1208" s="6"/>
      <c r="AW1208" s="6"/>
      <c r="AX1208" s="6"/>
      <c r="AY1208" s="6"/>
      <c r="AZ1208" s="6"/>
      <c r="BA1208" s="6"/>
      <c r="BB1208" s="6"/>
      <c r="BC1208" s="6"/>
      <c r="BD1208" s="6"/>
      <c r="BE1208" s="6"/>
      <c r="BF1208" s="6"/>
      <c r="BG1208" s="6"/>
      <c r="BH1208" s="6"/>
      <c r="BI1208" s="6"/>
      <c r="BJ1208" s="6"/>
      <c r="BK1208" s="6"/>
      <c r="BL1208" s="6"/>
      <c r="BM1208" s="6"/>
      <c r="BN1208" s="6"/>
      <c r="BO1208" s="6"/>
      <c r="BP1208" s="6"/>
      <c r="BQ1208" s="6"/>
      <c r="BR1208" s="6"/>
      <c r="BS1208" s="6"/>
      <c r="BT1208" s="6"/>
      <c r="BU1208" s="6"/>
      <c r="BV1208" s="6"/>
      <c r="BW1208" s="6"/>
      <c r="BX1208" s="6"/>
      <c r="BY1208" s="6"/>
      <c r="BZ1208" s="6"/>
      <c r="CA1208" s="6"/>
      <c r="CB1208" s="6"/>
      <c r="CC1208" s="6"/>
    </row>
    <row r="1209" spans="2:81" x14ac:dyDescent="0.2">
      <c r="B1209" s="68"/>
      <c r="C1209" s="69"/>
      <c r="D1209" s="70"/>
      <c r="F1209" s="68"/>
      <c r="G1209" s="69"/>
      <c r="H1209" s="70"/>
      <c r="J1209" s="71"/>
      <c r="K1209" s="71"/>
      <c r="L1209" s="67"/>
      <c r="N1209" s="71"/>
      <c r="O1209" s="71"/>
      <c r="P1209" s="67"/>
      <c r="R1209" s="67"/>
      <c r="S1209" s="6"/>
      <c r="T1209" s="6"/>
      <c r="U1209" s="6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  <c r="AG1209" s="6"/>
      <c r="AH1209" s="6"/>
      <c r="AI1209" s="6"/>
      <c r="AJ1209" s="6"/>
      <c r="AK1209" s="6"/>
      <c r="AL1209" s="6"/>
      <c r="AM1209" s="6"/>
      <c r="AN1209" s="6"/>
      <c r="AO1209" s="6"/>
      <c r="AP1209" s="6"/>
      <c r="AQ1209" s="6"/>
      <c r="AR1209" s="6"/>
      <c r="AS1209" s="6"/>
      <c r="AT1209" s="6"/>
      <c r="AU1209" s="6"/>
      <c r="AV1209" s="6"/>
      <c r="AW1209" s="6"/>
      <c r="AX1209" s="6"/>
      <c r="AY1209" s="6"/>
      <c r="AZ1209" s="6"/>
      <c r="BA1209" s="6"/>
      <c r="BB1209" s="6"/>
      <c r="BC1209" s="6"/>
      <c r="BD1209" s="6"/>
      <c r="BE1209" s="6"/>
      <c r="BF1209" s="6"/>
      <c r="BG1209" s="6"/>
      <c r="BH1209" s="6"/>
      <c r="BI1209" s="6"/>
      <c r="BJ1209" s="6"/>
      <c r="BK1209" s="6"/>
      <c r="BL1209" s="6"/>
      <c r="BM1209" s="6"/>
      <c r="BN1209" s="6"/>
      <c r="BO1209" s="6"/>
      <c r="BP1209" s="6"/>
      <c r="BQ1209" s="6"/>
      <c r="BR1209" s="6"/>
      <c r="BS1209" s="6"/>
      <c r="BT1209" s="6"/>
      <c r="BU1209" s="6"/>
      <c r="BV1209" s="6"/>
      <c r="BW1209" s="6"/>
      <c r="BX1209" s="6"/>
      <c r="BY1209" s="6"/>
      <c r="BZ1209" s="6"/>
      <c r="CA1209" s="6"/>
      <c r="CB1209" s="6"/>
      <c r="CC1209" s="6"/>
    </row>
    <row r="1210" spans="2:81" x14ac:dyDescent="0.2">
      <c r="B1210" s="68"/>
      <c r="C1210" s="69"/>
      <c r="D1210" s="70"/>
      <c r="F1210" s="68"/>
      <c r="G1210" s="69"/>
      <c r="H1210" s="70"/>
      <c r="J1210" s="71"/>
      <c r="K1210" s="71"/>
      <c r="L1210" s="67"/>
      <c r="N1210" s="71"/>
      <c r="O1210" s="71"/>
      <c r="P1210" s="67"/>
      <c r="R1210" s="67"/>
      <c r="S1210" s="6"/>
      <c r="T1210" s="6"/>
      <c r="U1210" s="6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  <c r="AG1210" s="6"/>
      <c r="AH1210" s="6"/>
      <c r="AI1210" s="6"/>
      <c r="AJ1210" s="6"/>
      <c r="AK1210" s="6"/>
      <c r="AL1210" s="6"/>
      <c r="AM1210" s="6"/>
      <c r="AN1210" s="6"/>
      <c r="AO1210" s="6"/>
      <c r="AP1210" s="6"/>
      <c r="AQ1210" s="6"/>
      <c r="AR1210" s="6"/>
      <c r="AS1210" s="6"/>
      <c r="AT1210" s="6"/>
      <c r="AU1210" s="6"/>
      <c r="AV1210" s="6"/>
      <c r="AW1210" s="6"/>
      <c r="AX1210" s="6"/>
      <c r="AY1210" s="6"/>
      <c r="AZ1210" s="6"/>
      <c r="BA1210" s="6"/>
      <c r="BB1210" s="6"/>
      <c r="BC1210" s="6"/>
      <c r="BD1210" s="6"/>
      <c r="BE1210" s="6"/>
      <c r="BF1210" s="6"/>
      <c r="BG1210" s="6"/>
      <c r="BH1210" s="6"/>
      <c r="BI1210" s="6"/>
      <c r="BJ1210" s="6"/>
      <c r="BK1210" s="6"/>
      <c r="BL1210" s="6"/>
      <c r="BM1210" s="6"/>
      <c r="BN1210" s="6"/>
      <c r="BO1210" s="6"/>
      <c r="BP1210" s="6"/>
      <c r="BQ1210" s="6"/>
      <c r="BR1210" s="6"/>
      <c r="BS1210" s="6"/>
      <c r="BT1210" s="6"/>
      <c r="BU1210" s="6"/>
      <c r="BV1210" s="6"/>
      <c r="BW1210" s="6"/>
      <c r="BX1210" s="6"/>
      <c r="BY1210" s="6"/>
      <c r="BZ1210" s="6"/>
      <c r="CA1210" s="6"/>
      <c r="CB1210" s="6"/>
      <c r="CC1210" s="6"/>
    </row>
    <row r="1211" spans="2:81" x14ac:dyDescent="0.2">
      <c r="B1211" s="68"/>
      <c r="C1211" s="69"/>
      <c r="D1211" s="70"/>
      <c r="F1211" s="68"/>
      <c r="G1211" s="69"/>
      <c r="H1211" s="70"/>
      <c r="J1211" s="71"/>
      <c r="K1211" s="71"/>
      <c r="L1211" s="67"/>
      <c r="N1211" s="71"/>
      <c r="O1211" s="71"/>
      <c r="P1211" s="67"/>
      <c r="R1211" s="67"/>
      <c r="S1211" s="6"/>
      <c r="T1211" s="6"/>
      <c r="U1211" s="6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  <c r="AG1211" s="6"/>
      <c r="AH1211" s="6"/>
      <c r="AI1211" s="6"/>
      <c r="AJ1211" s="6"/>
      <c r="AK1211" s="6"/>
      <c r="AL1211" s="6"/>
      <c r="AM1211" s="6"/>
      <c r="AN1211" s="6"/>
      <c r="AO1211" s="6"/>
      <c r="AP1211" s="6"/>
      <c r="AQ1211" s="6"/>
      <c r="AR1211" s="6"/>
      <c r="AS1211" s="6"/>
      <c r="AT1211" s="6"/>
      <c r="AU1211" s="6"/>
      <c r="AV1211" s="6"/>
      <c r="AW1211" s="6"/>
      <c r="AX1211" s="6"/>
      <c r="AY1211" s="6"/>
      <c r="AZ1211" s="6"/>
      <c r="BA1211" s="6"/>
      <c r="BB1211" s="6"/>
      <c r="BC1211" s="6"/>
      <c r="BD1211" s="6"/>
      <c r="BE1211" s="6"/>
      <c r="BF1211" s="6"/>
      <c r="BG1211" s="6"/>
      <c r="BH1211" s="6"/>
      <c r="BI1211" s="6"/>
      <c r="BJ1211" s="6"/>
      <c r="BK1211" s="6"/>
      <c r="BL1211" s="6"/>
      <c r="BM1211" s="6"/>
      <c r="BN1211" s="6"/>
      <c r="BO1211" s="6"/>
      <c r="BP1211" s="6"/>
      <c r="BQ1211" s="6"/>
      <c r="BR1211" s="6"/>
      <c r="BS1211" s="6"/>
      <c r="BT1211" s="6"/>
      <c r="BU1211" s="6"/>
      <c r="BV1211" s="6"/>
      <c r="BW1211" s="6"/>
      <c r="BX1211" s="6"/>
      <c r="BY1211" s="6"/>
      <c r="BZ1211" s="6"/>
      <c r="CA1211" s="6"/>
      <c r="CB1211" s="6"/>
      <c r="CC1211" s="6"/>
    </row>
    <row r="1212" spans="2:81" x14ac:dyDescent="0.2">
      <c r="B1212" s="68"/>
      <c r="C1212" s="69"/>
      <c r="D1212" s="70"/>
      <c r="F1212" s="68"/>
      <c r="G1212" s="69"/>
      <c r="H1212" s="70"/>
      <c r="J1212" s="71"/>
      <c r="K1212" s="71"/>
      <c r="L1212" s="67"/>
      <c r="N1212" s="71"/>
      <c r="O1212" s="71"/>
      <c r="P1212" s="67"/>
      <c r="R1212" s="67"/>
      <c r="S1212" s="6"/>
      <c r="T1212" s="6"/>
      <c r="U1212" s="6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  <c r="AG1212" s="6"/>
      <c r="AH1212" s="6"/>
      <c r="AI1212" s="6"/>
      <c r="AJ1212" s="6"/>
      <c r="AK1212" s="6"/>
      <c r="AL1212" s="6"/>
      <c r="AM1212" s="6"/>
      <c r="AN1212" s="6"/>
      <c r="AO1212" s="6"/>
      <c r="AP1212" s="6"/>
      <c r="AQ1212" s="6"/>
      <c r="AR1212" s="6"/>
      <c r="AS1212" s="6"/>
      <c r="AT1212" s="6"/>
      <c r="AU1212" s="6"/>
      <c r="AV1212" s="6"/>
      <c r="AW1212" s="6"/>
      <c r="AX1212" s="6"/>
      <c r="AY1212" s="6"/>
      <c r="AZ1212" s="6"/>
      <c r="BA1212" s="6"/>
      <c r="BB1212" s="6"/>
      <c r="BC1212" s="6"/>
      <c r="BD1212" s="6"/>
      <c r="BE1212" s="6"/>
      <c r="BF1212" s="6"/>
      <c r="BG1212" s="6"/>
      <c r="BH1212" s="6"/>
      <c r="BI1212" s="6"/>
      <c r="BJ1212" s="6"/>
      <c r="BK1212" s="6"/>
      <c r="BL1212" s="6"/>
      <c r="BM1212" s="6"/>
      <c r="BN1212" s="6"/>
      <c r="BO1212" s="6"/>
      <c r="BP1212" s="6"/>
      <c r="BQ1212" s="6"/>
      <c r="BR1212" s="6"/>
      <c r="BS1212" s="6"/>
      <c r="BT1212" s="6"/>
      <c r="BU1212" s="6"/>
      <c r="BV1212" s="6"/>
      <c r="BW1212" s="6"/>
      <c r="BX1212" s="6"/>
      <c r="BY1212" s="6"/>
      <c r="BZ1212" s="6"/>
      <c r="CA1212" s="6"/>
      <c r="CB1212" s="6"/>
      <c r="CC1212" s="6"/>
    </row>
    <row r="1213" spans="2:81" x14ac:dyDescent="0.2">
      <c r="B1213" s="68"/>
      <c r="C1213" s="69"/>
      <c r="D1213" s="70"/>
      <c r="F1213" s="68"/>
      <c r="G1213" s="69"/>
      <c r="H1213" s="70"/>
      <c r="J1213" s="71"/>
      <c r="K1213" s="71"/>
      <c r="L1213" s="67"/>
      <c r="N1213" s="71"/>
      <c r="O1213" s="71"/>
      <c r="P1213" s="67"/>
      <c r="R1213" s="67"/>
      <c r="S1213" s="6"/>
      <c r="T1213" s="6"/>
      <c r="U1213" s="6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  <c r="AG1213" s="6"/>
      <c r="AH1213" s="6"/>
      <c r="AI1213" s="6"/>
      <c r="AJ1213" s="6"/>
      <c r="AK1213" s="6"/>
      <c r="AL1213" s="6"/>
      <c r="AM1213" s="6"/>
      <c r="AN1213" s="6"/>
      <c r="AO1213" s="6"/>
      <c r="AP1213" s="6"/>
      <c r="AQ1213" s="6"/>
      <c r="AR1213" s="6"/>
      <c r="AS1213" s="6"/>
      <c r="AT1213" s="6"/>
      <c r="AU1213" s="6"/>
      <c r="AV1213" s="6"/>
      <c r="AW1213" s="6"/>
      <c r="AX1213" s="6"/>
      <c r="AY1213" s="6"/>
      <c r="AZ1213" s="6"/>
      <c r="BA1213" s="6"/>
      <c r="BB1213" s="6"/>
      <c r="BC1213" s="6"/>
      <c r="BD1213" s="6"/>
      <c r="BE1213" s="6"/>
      <c r="BF1213" s="6"/>
      <c r="BG1213" s="6"/>
      <c r="BH1213" s="6"/>
      <c r="BI1213" s="6"/>
      <c r="BJ1213" s="6"/>
      <c r="BK1213" s="6"/>
      <c r="BL1213" s="6"/>
      <c r="BM1213" s="6"/>
      <c r="BN1213" s="6"/>
      <c r="BO1213" s="6"/>
      <c r="BP1213" s="6"/>
      <c r="BQ1213" s="6"/>
      <c r="BR1213" s="6"/>
      <c r="BS1213" s="6"/>
      <c r="BT1213" s="6"/>
      <c r="BU1213" s="6"/>
      <c r="BV1213" s="6"/>
      <c r="BW1213" s="6"/>
      <c r="BX1213" s="6"/>
      <c r="BY1213" s="6"/>
      <c r="BZ1213" s="6"/>
      <c r="CA1213" s="6"/>
      <c r="CB1213" s="6"/>
      <c r="CC1213" s="6"/>
    </row>
    <row r="1214" spans="2:81" x14ac:dyDescent="0.2">
      <c r="B1214" s="68"/>
      <c r="C1214" s="69"/>
      <c r="D1214" s="70"/>
      <c r="F1214" s="68"/>
      <c r="G1214" s="69"/>
      <c r="H1214" s="70"/>
      <c r="J1214" s="71"/>
      <c r="K1214" s="71"/>
      <c r="L1214" s="67"/>
      <c r="N1214" s="71"/>
      <c r="O1214" s="71"/>
      <c r="P1214" s="67"/>
      <c r="R1214" s="67"/>
      <c r="S1214" s="6"/>
      <c r="T1214" s="6"/>
      <c r="U1214" s="6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  <c r="AG1214" s="6"/>
      <c r="AH1214" s="6"/>
      <c r="AI1214" s="6"/>
      <c r="AJ1214" s="6"/>
      <c r="AK1214" s="6"/>
      <c r="AL1214" s="6"/>
      <c r="AM1214" s="6"/>
      <c r="AN1214" s="6"/>
      <c r="AO1214" s="6"/>
      <c r="AP1214" s="6"/>
      <c r="AQ1214" s="6"/>
      <c r="AR1214" s="6"/>
      <c r="AS1214" s="6"/>
      <c r="AT1214" s="6"/>
      <c r="AU1214" s="6"/>
      <c r="AV1214" s="6"/>
      <c r="AW1214" s="6"/>
      <c r="AX1214" s="6"/>
      <c r="AY1214" s="6"/>
      <c r="AZ1214" s="6"/>
      <c r="BA1214" s="6"/>
      <c r="BB1214" s="6"/>
      <c r="BC1214" s="6"/>
      <c r="BD1214" s="6"/>
      <c r="BE1214" s="6"/>
      <c r="BF1214" s="6"/>
      <c r="BG1214" s="6"/>
      <c r="BH1214" s="6"/>
      <c r="BI1214" s="6"/>
      <c r="BJ1214" s="6"/>
      <c r="BK1214" s="6"/>
      <c r="BL1214" s="6"/>
      <c r="BM1214" s="6"/>
      <c r="BN1214" s="6"/>
      <c r="BO1214" s="6"/>
      <c r="BP1214" s="6"/>
      <c r="BQ1214" s="6"/>
      <c r="BR1214" s="6"/>
      <c r="BS1214" s="6"/>
      <c r="BT1214" s="6"/>
      <c r="BU1214" s="6"/>
      <c r="BV1214" s="6"/>
      <c r="BW1214" s="6"/>
      <c r="BX1214" s="6"/>
      <c r="BY1214" s="6"/>
      <c r="BZ1214" s="6"/>
      <c r="CA1214" s="6"/>
      <c r="CB1214" s="6"/>
      <c r="CC1214" s="6"/>
    </row>
    <row r="1215" spans="2:81" x14ac:dyDescent="0.2">
      <c r="B1215" s="68"/>
      <c r="C1215" s="69"/>
      <c r="D1215" s="70"/>
      <c r="F1215" s="68"/>
      <c r="G1215" s="69"/>
      <c r="H1215" s="70"/>
      <c r="J1215" s="71"/>
      <c r="K1215" s="71"/>
      <c r="L1215" s="67"/>
      <c r="N1215" s="71"/>
      <c r="O1215" s="71"/>
      <c r="P1215" s="67"/>
      <c r="R1215" s="67"/>
      <c r="S1215" s="6"/>
      <c r="T1215" s="6"/>
      <c r="U1215" s="6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  <c r="AG1215" s="6"/>
      <c r="AH1215" s="6"/>
      <c r="AI1215" s="6"/>
      <c r="AJ1215" s="6"/>
      <c r="AK1215" s="6"/>
      <c r="AL1215" s="6"/>
      <c r="AM1215" s="6"/>
      <c r="AN1215" s="6"/>
      <c r="AO1215" s="6"/>
      <c r="AP1215" s="6"/>
      <c r="AQ1215" s="6"/>
      <c r="AR1215" s="6"/>
      <c r="AS1215" s="6"/>
      <c r="AT1215" s="6"/>
      <c r="AU1215" s="6"/>
      <c r="AV1215" s="6"/>
      <c r="AW1215" s="6"/>
      <c r="AX1215" s="6"/>
      <c r="AY1215" s="6"/>
      <c r="AZ1215" s="6"/>
      <c r="BA1215" s="6"/>
      <c r="BB1215" s="6"/>
      <c r="BC1215" s="6"/>
      <c r="BD1215" s="6"/>
      <c r="BE1215" s="6"/>
      <c r="BF1215" s="6"/>
      <c r="BG1215" s="6"/>
      <c r="BH1215" s="6"/>
      <c r="BI1215" s="6"/>
      <c r="BJ1215" s="6"/>
      <c r="BK1215" s="6"/>
      <c r="BL1215" s="6"/>
      <c r="BM1215" s="6"/>
      <c r="BN1215" s="6"/>
      <c r="BO1215" s="6"/>
      <c r="BP1215" s="6"/>
      <c r="BQ1215" s="6"/>
      <c r="BR1215" s="6"/>
      <c r="BS1215" s="6"/>
      <c r="BT1215" s="6"/>
      <c r="BU1215" s="6"/>
      <c r="BV1215" s="6"/>
      <c r="BW1215" s="6"/>
      <c r="BX1215" s="6"/>
      <c r="BY1215" s="6"/>
      <c r="BZ1215" s="6"/>
      <c r="CA1215" s="6"/>
      <c r="CB1215" s="6"/>
      <c r="CC1215" s="6"/>
    </row>
    <row r="1216" spans="2:81" x14ac:dyDescent="0.2">
      <c r="B1216" s="68"/>
      <c r="C1216" s="69"/>
      <c r="D1216" s="70"/>
      <c r="F1216" s="68"/>
      <c r="G1216" s="69"/>
      <c r="H1216" s="70"/>
      <c r="J1216" s="71"/>
      <c r="K1216" s="71"/>
      <c r="L1216" s="67"/>
      <c r="N1216" s="71"/>
      <c r="O1216" s="71"/>
      <c r="P1216" s="67"/>
      <c r="R1216" s="67"/>
      <c r="S1216" s="6"/>
      <c r="T1216" s="6"/>
      <c r="U1216" s="6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  <c r="AG1216" s="6"/>
      <c r="AH1216" s="6"/>
      <c r="AI1216" s="6"/>
      <c r="AJ1216" s="6"/>
      <c r="AK1216" s="6"/>
      <c r="AL1216" s="6"/>
      <c r="AM1216" s="6"/>
      <c r="AN1216" s="6"/>
      <c r="AO1216" s="6"/>
      <c r="AP1216" s="6"/>
      <c r="AQ1216" s="6"/>
      <c r="AR1216" s="6"/>
      <c r="AS1216" s="6"/>
      <c r="AT1216" s="6"/>
      <c r="AU1216" s="6"/>
      <c r="AV1216" s="6"/>
      <c r="AW1216" s="6"/>
      <c r="AX1216" s="6"/>
      <c r="AY1216" s="6"/>
      <c r="AZ1216" s="6"/>
      <c r="BA1216" s="6"/>
      <c r="BB1216" s="6"/>
      <c r="BC1216" s="6"/>
      <c r="BD1216" s="6"/>
      <c r="BE1216" s="6"/>
      <c r="BF1216" s="6"/>
      <c r="BG1216" s="6"/>
      <c r="BH1216" s="6"/>
      <c r="BI1216" s="6"/>
      <c r="BJ1216" s="6"/>
      <c r="BK1216" s="6"/>
      <c r="BL1216" s="6"/>
      <c r="BM1216" s="6"/>
      <c r="BN1216" s="6"/>
      <c r="BO1216" s="6"/>
      <c r="BP1216" s="6"/>
      <c r="BQ1216" s="6"/>
      <c r="BR1216" s="6"/>
      <c r="BS1216" s="6"/>
      <c r="BT1216" s="6"/>
      <c r="BU1216" s="6"/>
      <c r="BV1216" s="6"/>
      <c r="BW1216" s="6"/>
      <c r="BX1216" s="6"/>
      <c r="BY1216" s="6"/>
      <c r="BZ1216" s="6"/>
      <c r="CA1216" s="6"/>
      <c r="CB1216" s="6"/>
      <c r="CC1216" s="6"/>
    </row>
    <row r="1217" spans="2:81" x14ac:dyDescent="0.2">
      <c r="B1217" s="68"/>
      <c r="C1217" s="69"/>
      <c r="D1217" s="70"/>
      <c r="F1217" s="68"/>
      <c r="G1217" s="69"/>
      <c r="H1217" s="70"/>
      <c r="J1217" s="71"/>
      <c r="K1217" s="71"/>
      <c r="L1217" s="67"/>
      <c r="N1217" s="71"/>
      <c r="O1217" s="71"/>
      <c r="P1217" s="67"/>
      <c r="R1217" s="67"/>
      <c r="S1217" s="6"/>
      <c r="T1217" s="6"/>
      <c r="U1217" s="6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  <c r="AG1217" s="6"/>
      <c r="AH1217" s="6"/>
      <c r="AI1217" s="6"/>
      <c r="AJ1217" s="6"/>
      <c r="AK1217" s="6"/>
      <c r="AL1217" s="6"/>
      <c r="AM1217" s="6"/>
      <c r="AN1217" s="6"/>
      <c r="AO1217" s="6"/>
      <c r="AP1217" s="6"/>
      <c r="AQ1217" s="6"/>
      <c r="AR1217" s="6"/>
      <c r="AS1217" s="6"/>
      <c r="AT1217" s="6"/>
      <c r="AU1217" s="6"/>
      <c r="AV1217" s="6"/>
      <c r="AW1217" s="6"/>
      <c r="AX1217" s="6"/>
      <c r="AY1217" s="6"/>
      <c r="AZ1217" s="6"/>
      <c r="BA1217" s="6"/>
      <c r="BB1217" s="6"/>
      <c r="BC1217" s="6"/>
      <c r="BD1217" s="6"/>
      <c r="BE1217" s="6"/>
      <c r="BF1217" s="6"/>
      <c r="BG1217" s="6"/>
      <c r="BH1217" s="6"/>
      <c r="BI1217" s="6"/>
      <c r="BJ1217" s="6"/>
      <c r="BK1217" s="6"/>
      <c r="BL1217" s="6"/>
      <c r="BM1217" s="6"/>
      <c r="BN1217" s="6"/>
      <c r="BO1217" s="6"/>
      <c r="BP1217" s="6"/>
      <c r="BQ1217" s="6"/>
      <c r="BR1217" s="6"/>
      <c r="BS1217" s="6"/>
      <c r="BT1217" s="6"/>
      <c r="BU1217" s="6"/>
      <c r="BV1217" s="6"/>
      <c r="BW1217" s="6"/>
      <c r="BX1217" s="6"/>
      <c r="BY1217" s="6"/>
      <c r="BZ1217" s="6"/>
      <c r="CA1217" s="6"/>
      <c r="CB1217" s="6"/>
      <c r="CC1217" s="6"/>
    </row>
    <row r="1218" spans="2:81" x14ac:dyDescent="0.2">
      <c r="B1218" s="68"/>
      <c r="C1218" s="69"/>
      <c r="D1218" s="70"/>
      <c r="F1218" s="68"/>
      <c r="G1218" s="69"/>
      <c r="H1218" s="70"/>
      <c r="J1218" s="71"/>
      <c r="K1218" s="71"/>
      <c r="L1218" s="67"/>
      <c r="N1218" s="71"/>
      <c r="O1218" s="71"/>
      <c r="P1218" s="67"/>
      <c r="R1218" s="67"/>
      <c r="S1218" s="6"/>
      <c r="T1218" s="6"/>
      <c r="U1218" s="6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  <c r="AG1218" s="6"/>
      <c r="AH1218" s="6"/>
      <c r="AI1218" s="6"/>
      <c r="AJ1218" s="6"/>
      <c r="AK1218" s="6"/>
      <c r="AL1218" s="6"/>
      <c r="AM1218" s="6"/>
      <c r="AN1218" s="6"/>
      <c r="AO1218" s="6"/>
      <c r="AP1218" s="6"/>
      <c r="AQ1218" s="6"/>
      <c r="AR1218" s="6"/>
      <c r="AS1218" s="6"/>
      <c r="AT1218" s="6"/>
      <c r="AU1218" s="6"/>
      <c r="AV1218" s="6"/>
      <c r="AW1218" s="6"/>
      <c r="AX1218" s="6"/>
      <c r="AY1218" s="6"/>
      <c r="AZ1218" s="6"/>
      <c r="BA1218" s="6"/>
      <c r="BB1218" s="6"/>
      <c r="BC1218" s="6"/>
      <c r="BD1218" s="6"/>
      <c r="BE1218" s="6"/>
      <c r="BF1218" s="6"/>
      <c r="BG1218" s="6"/>
      <c r="BH1218" s="6"/>
      <c r="BI1218" s="6"/>
      <c r="BJ1218" s="6"/>
      <c r="BK1218" s="6"/>
      <c r="BL1218" s="6"/>
      <c r="BM1218" s="6"/>
      <c r="BN1218" s="6"/>
      <c r="BO1218" s="6"/>
      <c r="BP1218" s="6"/>
      <c r="BQ1218" s="6"/>
      <c r="BR1218" s="6"/>
      <c r="BS1218" s="6"/>
      <c r="BT1218" s="6"/>
      <c r="BU1218" s="6"/>
      <c r="BV1218" s="6"/>
      <c r="BW1218" s="6"/>
      <c r="BX1218" s="6"/>
      <c r="BY1218" s="6"/>
      <c r="BZ1218" s="6"/>
      <c r="CA1218" s="6"/>
      <c r="CB1218" s="6"/>
      <c r="CC1218" s="6"/>
    </row>
    <row r="1219" spans="2:81" x14ac:dyDescent="0.2">
      <c r="B1219" s="68"/>
      <c r="C1219" s="69"/>
      <c r="D1219" s="70"/>
      <c r="F1219" s="68"/>
      <c r="G1219" s="69"/>
      <c r="H1219" s="70"/>
      <c r="J1219" s="71"/>
      <c r="K1219" s="71"/>
      <c r="L1219" s="67"/>
      <c r="N1219" s="71"/>
      <c r="O1219" s="71"/>
      <c r="P1219" s="67"/>
      <c r="R1219" s="67"/>
      <c r="S1219" s="6"/>
      <c r="T1219" s="6"/>
      <c r="U1219" s="6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  <c r="AG1219" s="6"/>
      <c r="AH1219" s="6"/>
      <c r="AI1219" s="6"/>
      <c r="AJ1219" s="6"/>
      <c r="AK1219" s="6"/>
      <c r="AL1219" s="6"/>
      <c r="AM1219" s="6"/>
      <c r="AN1219" s="6"/>
      <c r="AO1219" s="6"/>
      <c r="AP1219" s="6"/>
      <c r="AQ1219" s="6"/>
      <c r="AR1219" s="6"/>
      <c r="AS1219" s="6"/>
      <c r="AT1219" s="6"/>
      <c r="AU1219" s="6"/>
      <c r="AV1219" s="6"/>
      <c r="AW1219" s="6"/>
      <c r="AX1219" s="6"/>
      <c r="AY1219" s="6"/>
      <c r="AZ1219" s="6"/>
      <c r="BA1219" s="6"/>
      <c r="BB1219" s="6"/>
      <c r="BC1219" s="6"/>
      <c r="BD1219" s="6"/>
      <c r="BE1219" s="6"/>
      <c r="BF1219" s="6"/>
      <c r="BG1219" s="6"/>
      <c r="BH1219" s="6"/>
      <c r="BI1219" s="6"/>
      <c r="BJ1219" s="6"/>
      <c r="BK1219" s="6"/>
      <c r="BL1219" s="6"/>
      <c r="BM1219" s="6"/>
      <c r="BN1219" s="6"/>
      <c r="BO1219" s="6"/>
      <c r="BP1219" s="6"/>
      <c r="BQ1219" s="6"/>
      <c r="BR1219" s="6"/>
      <c r="BS1219" s="6"/>
      <c r="BT1219" s="6"/>
      <c r="BU1219" s="6"/>
      <c r="BV1219" s="6"/>
      <c r="BW1219" s="6"/>
      <c r="BX1219" s="6"/>
      <c r="BY1219" s="6"/>
      <c r="BZ1219" s="6"/>
      <c r="CA1219" s="6"/>
      <c r="CB1219" s="6"/>
      <c r="CC1219" s="6"/>
    </row>
    <row r="1220" spans="2:81" x14ac:dyDescent="0.2">
      <c r="B1220" s="68"/>
      <c r="C1220" s="69"/>
      <c r="D1220" s="70"/>
      <c r="F1220" s="68"/>
      <c r="G1220" s="69"/>
      <c r="H1220" s="70"/>
      <c r="J1220" s="71"/>
      <c r="K1220" s="71"/>
      <c r="L1220" s="67"/>
      <c r="N1220" s="71"/>
      <c r="O1220" s="71"/>
      <c r="P1220" s="67"/>
      <c r="R1220" s="67"/>
      <c r="S1220" s="6"/>
      <c r="T1220" s="6"/>
      <c r="U1220" s="6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  <c r="AG1220" s="6"/>
      <c r="AH1220" s="6"/>
      <c r="AI1220" s="6"/>
      <c r="AJ1220" s="6"/>
      <c r="AK1220" s="6"/>
      <c r="AL1220" s="6"/>
      <c r="AM1220" s="6"/>
      <c r="AN1220" s="6"/>
      <c r="AO1220" s="6"/>
      <c r="AP1220" s="6"/>
      <c r="AQ1220" s="6"/>
      <c r="AR1220" s="6"/>
      <c r="AS1220" s="6"/>
      <c r="AT1220" s="6"/>
      <c r="AU1220" s="6"/>
      <c r="AV1220" s="6"/>
      <c r="AW1220" s="6"/>
      <c r="AX1220" s="6"/>
      <c r="AY1220" s="6"/>
      <c r="AZ1220" s="6"/>
      <c r="BA1220" s="6"/>
      <c r="BB1220" s="6"/>
      <c r="BC1220" s="6"/>
      <c r="BD1220" s="6"/>
      <c r="BE1220" s="6"/>
      <c r="BF1220" s="6"/>
      <c r="BG1220" s="6"/>
      <c r="BH1220" s="6"/>
      <c r="BI1220" s="6"/>
      <c r="BJ1220" s="6"/>
      <c r="BK1220" s="6"/>
      <c r="BL1220" s="6"/>
      <c r="BM1220" s="6"/>
      <c r="BN1220" s="6"/>
      <c r="BO1220" s="6"/>
      <c r="BP1220" s="6"/>
      <c r="BQ1220" s="6"/>
      <c r="BR1220" s="6"/>
      <c r="BS1220" s="6"/>
      <c r="BT1220" s="6"/>
      <c r="BU1220" s="6"/>
      <c r="BV1220" s="6"/>
      <c r="BW1220" s="6"/>
      <c r="BX1220" s="6"/>
      <c r="BY1220" s="6"/>
      <c r="BZ1220" s="6"/>
      <c r="CA1220" s="6"/>
      <c r="CB1220" s="6"/>
      <c r="CC1220" s="6"/>
    </row>
    <row r="1221" spans="2:81" x14ac:dyDescent="0.2">
      <c r="B1221" s="68"/>
      <c r="C1221" s="69"/>
      <c r="D1221" s="70"/>
      <c r="F1221" s="68"/>
      <c r="G1221" s="69"/>
      <c r="H1221" s="70"/>
      <c r="J1221" s="71"/>
      <c r="K1221" s="71"/>
      <c r="L1221" s="67"/>
      <c r="N1221" s="71"/>
      <c r="O1221" s="71"/>
      <c r="P1221" s="67"/>
      <c r="R1221" s="67"/>
      <c r="S1221" s="6"/>
      <c r="T1221" s="6"/>
      <c r="U1221" s="6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  <c r="AG1221" s="6"/>
      <c r="AH1221" s="6"/>
      <c r="AI1221" s="6"/>
      <c r="AJ1221" s="6"/>
      <c r="AK1221" s="6"/>
      <c r="AL1221" s="6"/>
      <c r="AM1221" s="6"/>
      <c r="AN1221" s="6"/>
      <c r="AO1221" s="6"/>
      <c r="AP1221" s="6"/>
      <c r="AQ1221" s="6"/>
      <c r="AR1221" s="6"/>
      <c r="AS1221" s="6"/>
      <c r="AT1221" s="6"/>
      <c r="AU1221" s="6"/>
      <c r="AV1221" s="6"/>
      <c r="AW1221" s="6"/>
      <c r="AX1221" s="6"/>
      <c r="AY1221" s="6"/>
      <c r="AZ1221" s="6"/>
      <c r="BA1221" s="6"/>
      <c r="BB1221" s="6"/>
      <c r="BC1221" s="6"/>
      <c r="BD1221" s="6"/>
      <c r="BE1221" s="6"/>
      <c r="BF1221" s="6"/>
      <c r="BG1221" s="6"/>
      <c r="BH1221" s="6"/>
      <c r="BI1221" s="6"/>
      <c r="BJ1221" s="6"/>
      <c r="BK1221" s="6"/>
      <c r="BL1221" s="6"/>
      <c r="BM1221" s="6"/>
      <c r="BN1221" s="6"/>
      <c r="BO1221" s="6"/>
      <c r="BP1221" s="6"/>
      <c r="BQ1221" s="6"/>
      <c r="BR1221" s="6"/>
      <c r="BS1221" s="6"/>
      <c r="BT1221" s="6"/>
      <c r="BU1221" s="6"/>
      <c r="BV1221" s="6"/>
      <c r="BW1221" s="6"/>
      <c r="BX1221" s="6"/>
      <c r="BY1221" s="6"/>
      <c r="BZ1221" s="6"/>
      <c r="CA1221" s="6"/>
      <c r="CB1221" s="6"/>
      <c r="CC1221" s="6"/>
    </row>
    <row r="1222" spans="2:81" x14ac:dyDescent="0.2">
      <c r="B1222" s="68"/>
      <c r="C1222" s="69"/>
      <c r="D1222" s="70"/>
      <c r="F1222" s="68"/>
      <c r="G1222" s="69"/>
      <c r="H1222" s="70"/>
      <c r="J1222" s="71"/>
      <c r="K1222" s="71"/>
      <c r="L1222" s="67"/>
      <c r="N1222" s="71"/>
      <c r="O1222" s="71"/>
      <c r="P1222" s="67"/>
      <c r="R1222" s="67"/>
      <c r="S1222" s="6"/>
      <c r="T1222" s="6"/>
      <c r="U1222" s="6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  <c r="AG1222" s="6"/>
      <c r="AH1222" s="6"/>
      <c r="AI1222" s="6"/>
      <c r="AJ1222" s="6"/>
      <c r="AK1222" s="6"/>
      <c r="AL1222" s="6"/>
      <c r="AM1222" s="6"/>
      <c r="AN1222" s="6"/>
      <c r="AO1222" s="6"/>
      <c r="AP1222" s="6"/>
      <c r="AQ1222" s="6"/>
      <c r="AR1222" s="6"/>
      <c r="AS1222" s="6"/>
      <c r="AT1222" s="6"/>
      <c r="AU1222" s="6"/>
      <c r="AV1222" s="6"/>
      <c r="AW1222" s="6"/>
      <c r="AX1222" s="6"/>
      <c r="AY1222" s="6"/>
      <c r="AZ1222" s="6"/>
      <c r="BA1222" s="6"/>
      <c r="BB1222" s="6"/>
      <c r="BC1222" s="6"/>
      <c r="BD1222" s="6"/>
      <c r="BE1222" s="6"/>
      <c r="BF1222" s="6"/>
      <c r="BG1222" s="6"/>
      <c r="BH1222" s="6"/>
      <c r="BI1222" s="6"/>
      <c r="BJ1222" s="6"/>
      <c r="BK1222" s="6"/>
      <c r="BL1222" s="6"/>
      <c r="BM1222" s="6"/>
      <c r="BN1222" s="6"/>
      <c r="BO1222" s="6"/>
      <c r="BP1222" s="6"/>
      <c r="BQ1222" s="6"/>
      <c r="BR1222" s="6"/>
      <c r="BS1222" s="6"/>
      <c r="BT1222" s="6"/>
      <c r="BU1222" s="6"/>
      <c r="BV1222" s="6"/>
      <c r="BW1222" s="6"/>
      <c r="BX1222" s="6"/>
      <c r="BY1222" s="6"/>
      <c r="BZ1222" s="6"/>
      <c r="CA1222" s="6"/>
      <c r="CB1222" s="6"/>
      <c r="CC1222" s="6"/>
    </row>
    <row r="1223" spans="2:81" x14ac:dyDescent="0.2">
      <c r="B1223" s="68"/>
      <c r="C1223" s="69"/>
      <c r="D1223" s="70"/>
      <c r="F1223" s="68"/>
      <c r="G1223" s="69"/>
      <c r="H1223" s="70"/>
      <c r="J1223" s="71"/>
      <c r="K1223" s="71"/>
      <c r="L1223" s="67"/>
      <c r="N1223" s="71"/>
      <c r="O1223" s="71"/>
      <c r="P1223" s="67"/>
      <c r="R1223" s="67"/>
      <c r="S1223" s="6"/>
      <c r="T1223" s="6"/>
      <c r="U1223" s="6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  <c r="AG1223" s="6"/>
      <c r="AH1223" s="6"/>
      <c r="AI1223" s="6"/>
      <c r="AJ1223" s="6"/>
      <c r="AK1223" s="6"/>
      <c r="AL1223" s="6"/>
      <c r="AM1223" s="6"/>
      <c r="AN1223" s="6"/>
      <c r="AO1223" s="6"/>
      <c r="AP1223" s="6"/>
      <c r="AQ1223" s="6"/>
      <c r="AR1223" s="6"/>
      <c r="AS1223" s="6"/>
      <c r="AT1223" s="6"/>
      <c r="AU1223" s="6"/>
      <c r="AV1223" s="6"/>
      <c r="AW1223" s="6"/>
      <c r="AX1223" s="6"/>
      <c r="AY1223" s="6"/>
      <c r="AZ1223" s="6"/>
      <c r="BA1223" s="6"/>
      <c r="BB1223" s="6"/>
      <c r="BC1223" s="6"/>
      <c r="BD1223" s="6"/>
      <c r="BE1223" s="6"/>
      <c r="BF1223" s="6"/>
      <c r="BG1223" s="6"/>
      <c r="BH1223" s="6"/>
      <c r="BI1223" s="6"/>
      <c r="BJ1223" s="6"/>
      <c r="BK1223" s="6"/>
      <c r="BL1223" s="6"/>
      <c r="BM1223" s="6"/>
      <c r="BN1223" s="6"/>
      <c r="BO1223" s="6"/>
      <c r="BP1223" s="6"/>
      <c r="BQ1223" s="6"/>
      <c r="BR1223" s="6"/>
      <c r="BS1223" s="6"/>
      <c r="BT1223" s="6"/>
      <c r="BU1223" s="6"/>
      <c r="BV1223" s="6"/>
      <c r="BW1223" s="6"/>
      <c r="BX1223" s="6"/>
      <c r="BY1223" s="6"/>
      <c r="BZ1223" s="6"/>
      <c r="CA1223" s="6"/>
      <c r="CB1223" s="6"/>
      <c r="CC1223" s="6"/>
    </row>
    <row r="1224" spans="2:81" x14ac:dyDescent="0.2">
      <c r="B1224" s="68"/>
      <c r="C1224" s="69"/>
      <c r="D1224" s="70"/>
      <c r="F1224" s="68"/>
      <c r="G1224" s="69"/>
      <c r="H1224" s="70"/>
      <c r="J1224" s="71"/>
      <c r="K1224" s="71"/>
      <c r="L1224" s="67"/>
      <c r="N1224" s="71"/>
      <c r="O1224" s="71"/>
      <c r="P1224" s="67"/>
      <c r="R1224" s="67"/>
      <c r="S1224" s="6"/>
      <c r="T1224" s="6"/>
      <c r="U1224" s="6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  <c r="AG1224" s="6"/>
      <c r="AH1224" s="6"/>
      <c r="AI1224" s="6"/>
      <c r="AJ1224" s="6"/>
      <c r="AK1224" s="6"/>
      <c r="AL1224" s="6"/>
      <c r="AM1224" s="6"/>
      <c r="AN1224" s="6"/>
      <c r="AO1224" s="6"/>
      <c r="AP1224" s="6"/>
      <c r="AQ1224" s="6"/>
      <c r="AR1224" s="6"/>
      <c r="AS1224" s="6"/>
      <c r="AT1224" s="6"/>
      <c r="AU1224" s="6"/>
      <c r="AV1224" s="6"/>
      <c r="AW1224" s="6"/>
      <c r="AX1224" s="6"/>
      <c r="AY1224" s="6"/>
      <c r="AZ1224" s="6"/>
      <c r="BA1224" s="6"/>
      <c r="BB1224" s="6"/>
      <c r="BC1224" s="6"/>
      <c r="BD1224" s="6"/>
      <c r="BE1224" s="6"/>
      <c r="BF1224" s="6"/>
      <c r="BG1224" s="6"/>
      <c r="BH1224" s="6"/>
      <c r="BI1224" s="6"/>
      <c r="BJ1224" s="6"/>
      <c r="BK1224" s="6"/>
      <c r="BL1224" s="6"/>
      <c r="BM1224" s="6"/>
      <c r="BN1224" s="6"/>
      <c r="BO1224" s="6"/>
      <c r="BP1224" s="6"/>
      <c r="BQ1224" s="6"/>
      <c r="BR1224" s="6"/>
      <c r="BS1224" s="6"/>
      <c r="BT1224" s="6"/>
      <c r="BU1224" s="6"/>
      <c r="BV1224" s="6"/>
      <c r="BW1224" s="6"/>
      <c r="BX1224" s="6"/>
      <c r="BY1224" s="6"/>
      <c r="BZ1224" s="6"/>
      <c r="CA1224" s="6"/>
      <c r="CB1224" s="6"/>
      <c r="CC1224" s="6"/>
    </row>
    <row r="1225" spans="2:81" x14ac:dyDescent="0.2">
      <c r="B1225" s="68"/>
      <c r="C1225" s="69"/>
      <c r="D1225" s="70"/>
      <c r="F1225" s="68"/>
      <c r="G1225" s="69"/>
      <c r="H1225" s="70"/>
      <c r="J1225" s="71"/>
      <c r="K1225" s="71"/>
      <c r="L1225" s="67"/>
      <c r="N1225" s="71"/>
      <c r="O1225" s="71"/>
      <c r="P1225" s="67"/>
      <c r="R1225" s="67"/>
      <c r="S1225" s="6"/>
      <c r="T1225" s="6"/>
      <c r="U1225" s="6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  <c r="AG1225" s="6"/>
      <c r="AH1225" s="6"/>
      <c r="AI1225" s="6"/>
      <c r="AJ1225" s="6"/>
      <c r="AK1225" s="6"/>
      <c r="AL1225" s="6"/>
      <c r="AM1225" s="6"/>
      <c r="AN1225" s="6"/>
      <c r="AO1225" s="6"/>
      <c r="AP1225" s="6"/>
      <c r="AQ1225" s="6"/>
      <c r="AR1225" s="6"/>
      <c r="AS1225" s="6"/>
      <c r="AT1225" s="6"/>
      <c r="AU1225" s="6"/>
      <c r="AV1225" s="6"/>
      <c r="AW1225" s="6"/>
      <c r="AX1225" s="6"/>
      <c r="AY1225" s="6"/>
      <c r="AZ1225" s="6"/>
      <c r="BA1225" s="6"/>
      <c r="BB1225" s="6"/>
      <c r="BC1225" s="6"/>
      <c r="BD1225" s="6"/>
      <c r="BE1225" s="6"/>
      <c r="BF1225" s="6"/>
      <c r="BG1225" s="6"/>
      <c r="BH1225" s="6"/>
      <c r="BI1225" s="6"/>
      <c r="BJ1225" s="6"/>
      <c r="BK1225" s="6"/>
      <c r="BL1225" s="6"/>
      <c r="BM1225" s="6"/>
      <c r="BN1225" s="6"/>
      <c r="BO1225" s="6"/>
      <c r="BP1225" s="6"/>
      <c r="BQ1225" s="6"/>
      <c r="BR1225" s="6"/>
      <c r="BS1225" s="6"/>
      <c r="BT1225" s="6"/>
      <c r="BU1225" s="6"/>
      <c r="BV1225" s="6"/>
      <c r="BW1225" s="6"/>
      <c r="BX1225" s="6"/>
      <c r="BY1225" s="6"/>
      <c r="BZ1225" s="6"/>
      <c r="CA1225" s="6"/>
      <c r="CB1225" s="6"/>
      <c r="CC1225" s="6"/>
    </row>
    <row r="1226" spans="2:81" x14ac:dyDescent="0.2">
      <c r="B1226" s="68"/>
      <c r="C1226" s="69"/>
      <c r="D1226" s="70"/>
      <c r="F1226" s="68"/>
      <c r="G1226" s="69"/>
      <c r="H1226" s="70"/>
      <c r="J1226" s="71"/>
      <c r="K1226" s="71"/>
      <c r="L1226" s="67"/>
      <c r="N1226" s="71"/>
      <c r="O1226" s="71"/>
      <c r="P1226" s="67"/>
      <c r="R1226" s="67"/>
      <c r="S1226" s="6"/>
      <c r="T1226" s="6"/>
      <c r="U1226" s="6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  <c r="AG1226" s="6"/>
      <c r="AH1226" s="6"/>
      <c r="AI1226" s="6"/>
      <c r="AJ1226" s="6"/>
      <c r="AK1226" s="6"/>
      <c r="AL1226" s="6"/>
      <c r="AM1226" s="6"/>
      <c r="AN1226" s="6"/>
      <c r="AO1226" s="6"/>
      <c r="AP1226" s="6"/>
      <c r="AQ1226" s="6"/>
      <c r="AR1226" s="6"/>
      <c r="AS1226" s="6"/>
      <c r="AT1226" s="6"/>
      <c r="AU1226" s="6"/>
      <c r="AV1226" s="6"/>
      <c r="AW1226" s="6"/>
      <c r="AX1226" s="6"/>
      <c r="AY1226" s="6"/>
      <c r="AZ1226" s="6"/>
      <c r="BA1226" s="6"/>
      <c r="BB1226" s="6"/>
      <c r="BC1226" s="6"/>
      <c r="BD1226" s="6"/>
      <c r="BE1226" s="6"/>
      <c r="BF1226" s="6"/>
      <c r="BG1226" s="6"/>
      <c r="BH1226" s="6"/>
      <c r="BI1226" s="6"/>
      <c r="BJ1226" s="6"/>
      <c r="BK1226" s="6"/>
      <c r="BL1226" s="6"/>
      <c r="BM1226" s="6"/>
      <c r="BN1226" s="6"/>
      <c r="BO1226" s="6"/>
      <c r="BP1226" s="6"/>
      <c r="BQ1226" s="6"/>
      <c r="BR1226" s="6"/>
      <c r="BS1226" s="6"/>
      <c r="BT1226" s="6"/>
      <c r="BU1226" s="6"/>
      <c r="BV1226" s="6"/>
      <c r="BW1226" s="6"/>
      <c r="BX1226" s="6"/>
      <c r="BY1226" s="6"/>
      <c r="BZ1226" s="6"/>
      <c r="CA1226" s="6"/>
      <c r="CB1226" s="6"/>
      <c r="CC1226" s="6"/>
    </row>
    <row r="1227" spans="2:81" x14ac:dyDescent="0.2">
      <c r="B1227" s="68"/>
      <c r="C1227" s="69"/>
      <c r="D1227" s="70"/>
      <c r="F1227" s="68"/>
      <c r="G1227" s="69"/>
      <c r="H1227" s="70"/>
      <c r="J1227" s="71"/>
      <c r="K1227" s="71"/>
      <c r="L1227" s="67"/>
      <c r="N1227" s="71"/>
      <c r="O1227" s="71"/>
      <c r="P1227" s="67"/>
      <c r="R1227" s="67"/>
      <c r="S1227" s="6"/>
      <c r="T1227" s="6"/>
      <c r="U1227" s="6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  <c r="AG1227" s="6"/>
      <c r="AH1227" s="6"/>
      <c r="AI1227" s="6"/>
      <c r="AJ1227" s="6"/>
      <c r="AK1227" s="6"/>
      <c r="AL1227" s="6"/>
      <c r="AM1227" s="6"/>
      <c r="AN1227" s="6"/>
      <c r="AO1227" s="6"/>
      <c r="AP1227" s="6"/>
      <c r="AQ1227" s="6"/>
      <c r="AR1227" s="6"/>
      <c r="AS1227" s="6"/>
      <c r="AT1227" s="6"/>
      <c r="AU1227" s="6"/>
      <c r="AV1227" s="6"/>
      <c r="AW1227" s="6"/>
      <c r="AX1227" s="6"/>
      <c r="AY1227" s="6"/>
      <c r="AZ1227" s="6"/>
      <c r="BA1227" s="6"/>
      <c r="BB1227" s="6"/>
      <c r="BC1227" s="6"/>
      <c r="BD1227" s="6"/>
      <c r="BE1227" s="6"/>
      <c r="BF1227" s="6"/>
      <c r="BG1227" s="6"/>
      <c r="BH1227" s="6"/>
      <c r="BI1227" s="6"/>
      <c r="BJ1227" s="6"/>
      <c r="BK1227" s="6"/>
      <c r="BL1227" s="6"/>
      <c r="BM1227" s="6"/>
      <c r="BN1227" s="6"/>
      <c r="BO1227" s="6"/>
      <c r="BP1227" s="6"/>
      <c r="BQ1227" s="6"/>
      <c r="BR1227" s="6"/>
      <c r="BS1227" s="6"/>
      <c r="BT1227" s="6"/>
      <c r="BU1227" s="6"/>
      <c r="BV1227" s="6"/>
      <c r="BW1227" s="6"/>
      <c r="BX1227" s="6"/>
      <c r="BY1227" s="6"/>
      <c r="BZ1227" s="6"/>
      <c r="CA1227" s="6"/>
      <c r="CB1227" s="6"/>
      <c r="CC1227" s="6"/>
    </row>
    <row r="1228" spans="2:81" x14ac:dyDescent="0.2">
      <c r="B1228" s="68"/>
      <c r="C1228" s="69"/>
      <c r="D1228" s="70"/>
      <c r="F1228" s="68"/>
      <c r="G1228" s="69"/>
      <c r="H1228" s="70"/>
      <c r="J1228" s="71"/>
      <c r="K1228" s="71"/>
      <c r="L1228" s="67"/>
      <c r="N1228" s="71"/>
      <c r="O1228" s="71"/>
      <c r="P1228" s="67"/>
      <c r="R1228" s="67"/>
      <c r="S1228" s="6"/>
      <c r="T1228" s="6"/>
      <c r="U1228" s="6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  <c r="AG1228" s="6"/>
      <c r="AH1228" s="6"/>
      <c r="AI1228" s="6"/>
      <c r="AJ1228" s="6"/>
      <c r="AK1228" s="6"/>
      <c r="AL1228" s="6"/>
      <c r="AM1228" s="6"/>
      <c r="AN1228" s="6"/>
      <c r="AO1228" s="6"/>
      <c r="AP1228" s="6"/>
      <c r="AQ1228" s="6"/>
      <c r="AR1228" s="6"/>
      <c r="AS1228" s="6"/>
      <c r="AT1228" s="6"/>
      <c r="AU1228" s="6"/>
      <c r="AV1228" s="6"/>
      <c r="AW1228" s="6"/>
      <c r="AX1228" s="6"/>
      <c r="AY1228" s="6"/>
      <c r="AZ1228" s="6"/>
      <c r="BA1228" s="6"/>
      <c r="BB1228" s="6"/>
      <c r="BC1228" s="6"/>
      <c r="BD1228" s="6"/>
      <c r="BE1228" s="6"/>
      <c r="BF1228" s="6"/>
      <c r="BG1228" s="6"/>
      <c r="BH1228" s="6"/>
      <c r="BI1228" s="6"/>
      <c r="BJ1228" s="6"/>
      <c r="BK1228" s="6"/>
      <c r="BL1228" s="6"/>
      <c r="BM1228" s="6"/>
      <c r="BN1228" s="6"/>
      <c r="BO1228" s="6"/>
      <c r="BP1228" s="6"/>
      <c r="BQ1228" s="6"/>
      <c r="BR1228" s="6"/>
      <c r="BS1228" s="6"/>
      <c r="BT1228" s="6"/>
      <c r="BU1228" s="6"/>
      <c r="BV1228" s="6"/>
      <c r="BW1228" s="6"/>
      <c r="BX1228" s="6"/>
      <c r="BY1228" s="6"/>
      <c r="BZ1228" s="6"/>
      <c r="CA1228" s="6"/>
      <c r="CB1228" s="6"/>
      <c r="CC1228" s="6"/>
    </row>
    <row r="1229" spans="2:81" x14ac:dyDescent="0.2">
      <c r="B1229" s="68"/>
      <c r="C1229" s="69"/>
      <c r="D1229" s="70"/>
      <c r="F1229" s="68"/>
      <c r="G1229" s="69"/>
      <c r="H1229" s="70"/>
      <c r="J1229" s="71"/>
      <c r="K1229" s="71"/>
      <c r="L1229" s="67"/>
      <c r="N1229" s="71"/>
      <c r="O1229" s="71"/>
      <c r="P1229" s="67"/>
      <c r="R1229" s="67"/>
      <c r="S1229" s="6"/>
      <c r="T1229" s="6"/>
      <c r="U1229" s="6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  <c r="AG1229" s="6"/>
      <c r="AH1229" s="6"/>
      <c r="AI1229" s="6"/>
      <c r="AJ1229" s="6"/>
      <c r="AK1229" s="6"/>
      <c r="AL1229" s="6"/>
      <c r="AM1229" s="6"/>
      <c r="AN1229" s="6"/>
      <c r="AO1229" s="6"/>
      <c r="AP1229" s="6"/>
      <c r="AQ1229" s="6"/>
      <c r="AR1229" s="6"/>
      <c r="AS1229" s="6"/>
      <c r="AT1229" s="6"/>
      <c r="AU1229" s="6"/>
      <c r="AV1229" s="6"/>
      <c r="AW1229" s="6"/>
      <c r="AX1229" s="6"/>
      <c r="AY1229" s="6"/>
      <c r="AZ1229" s="6"/>
      <c r="BA1229" s="6"/>
      <c r="BB1229" s="6"/>
      <c r="BC1229" s="6"/>
      <c r="BD1229" s="6"/>
      <c r="BE1229" s="6"/>
      <c r="BF1229" s="6"/>
      <c r="BG1229" s="6"/>
      <c r="BH1229" s="6"/>
      <c r="BI1229" s="6"/>
      <c r="BJ1229" s="6"/>
      <c r="BK1229" s="6"/>
      <c r="BL1229" s="6"/>
      <c r="BM1229" s="6"/>
      <c r="BN1229" s="6"/>
      <c r="BO1229" s="6"/>
      <c r="BP1229" s="6"/>
      <c r="BQ1229" s="6"/>
      <c r="BR1229" s="6"/>
      <c r="BS1229" s="6"/>
      <c r="BT1229" s="6"/>
      <c r="BU1229" s="6"/>
      <c r="BV1229" s="6"/>
      <c r="BW1229" s="6"/>
      <c r="BX1229" s="6"/>
      <c r="BY1229" s="6"/>
      <c r="BZ1229" s="6"/>
      <c r="CA1229" s="6"/>
      <c r="CB1229" s="6"/>
      <c r="CC1229" s="6"/>
    </row>
    <row r="1230" spans="2:81" x14ac:dyDescent="0.2">
      <c r="B1230" s="68"/>
      <c r="C1230" s="69"/>
      <c r="D1230" s="70"/>
      <c r="F1230" s="68"/>
      <c r="G1230" s="69"/>
      <c r="H1230" s="70"/>
      <c r="J1230" s="71"/>
      <c r="K1230" s="71"/>
      <c r="L1230" s="67"/>
      <c r="N1230" s="71"/>
      <c r="O1230" s="71"/>
      <c r="P1230" s="67"/>
      <c r="R1230" s="67"/>
      <c r="S1230" s="6"/>
      <c r="T1230" s="6"/>
      <c r="U1230" s="6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  <c r="AG1230" s="6"/>
      <c r="AH1230" s="6"/>
      <c r="AI1230" s="6"/>
      <c r="AJ1230" s="6"/>
      <c r="AK1230" s="6"/>
      <c r="AL1230" s="6"/>
      <c r="AM1230" s="6"/>
      <c r="AN1230" s="6"/>
      <c r="AO1230" s="6"/>
      <c r="AP1230" s="6"/>
      <c r="AQ1230" s="6"/>
      <c r="AR1230" s="6"/>
      <c r="AS1230" s="6"/>
      <c r="AT1230" s="6"/>
      <c r="AU1230" s="6"/>
      <c r="AV1230" s="6"/>
      <c r="AW1230" s="6"/>
      <c r="AX1230" s="6"/>
      <c r="AY1230" s="6"/>
      <c r="AZ1230" s="6"/>
      <c r="BA1230" s="6"/>
      <c r="BB1230" s="6"/>
      <c r="BC1230" s="6"/>
      <c r="BD1230" s="6"/>
      <c r="BE1230" s="6"/>
      <c r="BF1230" s="6"/>
      <c r="BG1230" s="6"/>
      <c r="BH1230" s="6"/>
      <c r="BI1230" s="6"/>
      <c r="BJ1230" s="6"/>
      <c r="BK1230" s="6"/>
      <c r="BL1230" s="6"/>
      <c r="BM1230" s="6"/>
      <c r="BN1230" s="6"/>
      <c r="BO1230" s="6"/>
      <c r="BP1230" s="6"/>
      <c r="BQ1230" s="6"/>
      <c r="BR1230" s="6"/>
      <c r="BS1230" s="6"/>
      <c r="BT1230" s="6"/>
      <c r="BU1230" s="6"/>
      <c r="BV1230" s="6"/>
      <c r="BW1230" s="6"/>
      <c r="BX1230" s="6"/>
      <c r="BY1230" s="6"/>
      <c r="BZ1230" s="6"/>
      <c r="CA1230" s="6"/>
      <c r="CB1230" s="6"/>
      <c r="CC1230" s="6"/>
    </row>
    <row r="1231" spans="2:81" x14ac:dyDescent="0.2">
      <c r="B1231" s="68"/>
      <c r="C1231" s="69"/>
      <c r="D1231" s="70"/>
      <c r="F1231" s="68"/>
      <c r="G1231" s="69"/>
      <c r="H1231" s="70"/>
      <c r="J1231" s="71"/>
      <c r="K1231" s="71"/>
      <c r="L1231" s="67"/>
      <c r="N1231" s="71"/>
      <c r="O1231" s="71"/>
      <c r="P1231" s="67"/>
      <c r="R1231" s="67"/>
      <c r="S1231" s="6"/>
      <c r="T1231" s="6"/>
      <c r="U1231" s="6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  <c r="AG1231" s="6"/>
      <c r="AH1231" s="6"/>
      <c r="AI1231" s="6"/>
      <c r="AJ1231" s="6"/>
      <c r="AK1231" s="6"/>
      <c r="AL1231" s="6"/>
      <c r="AM1231" s="6"/>
      <c r="AN1231" s="6"/>
      <c r="AO1231" s="6"/>
      <c r="AP1231" s="6"/>
      <c r="AQ1231" s="6"/>
      <c r="AR1231" s="6"/>
      <c r="AS1231" s="6"/>
      <c r="AT1231" s="6"/>
      <c r="AU1231" s="6"/>
      <c r="AV1231" s="6"/>
      <c r="AW1231" s="6"/>
      <c r="AX1231" s="6"/>
      <c r="AY1231" s="6"/>
      <c r="AZ1231" s="6"/>
      <c r="BA1231" s="6"/>
      <c r="BB1231" s="6"/>
      <c r="BC1231" s="6"/>
      <c r="BD1231" s="6"/>
      <c r="BE1231" s="6"/>
      <c r="BF1231" s="6"/>
      <c r="BG1231" s="6"/>
      <c r="BH1231" s="6"/>
      <c r="BI1231" s="6"/>
      <c r="BJ1231" s="6"/>
      <c r="BK1231" s="6"/>
      <c r="BL1231" s="6"/>
      <c r="BM1231" s="6"/>
      <c r="BN1231" s="6"/>
      <c r="BO1231" s="6"/>
      <c r="BP1231" s="6"/>
      <c r="BQ1231" s="6"/>
      <c r="BR1231" s="6"/>
      <c r="BS1231" s="6"/>
      <c r="BT1231" s="6"/>
      <c r="BU1231" s="6"/>
      <c r="BV1231" s="6"/>
      <c r="BW1231" s="6"/>
      <c r="BX1231" s="6"/>
      <c r="BY1231" s="6"/>
      <c r="BZ1231" s="6"/>
      <c r="CA1231" s="6"/>
      <c r="CB1231" s="6"/>
      <c r="CC1231" s="6"/>
    </row>
    <row r="1232" spans="2:81" x14ac:dyDescent="0.2">
      <c r="B1232" s="68"/>
      <c r="C1232" s="69"/>
      <c r="D1232" s="70"/>
      <c r="F1232" s="68"/>
      <c r="G1232" s="69"/>
      <c r="H1232" s="70"/>
      <c r="J1232" s="71"/>
      <c r="K1232" s="71"/>
      <c r="L1232" s="67"/>
      <c r="N1232" s="71"/>
      <c r="O1232" s="71"/>
      <c r="P1232" s="67"/>
      <c r="R1232" s="67"/>
      <c r="S1232" s="6"/>
      <c r="T1232" s="6"/>
      <c r="U1232" s="6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  <c r="AG1232" s="6"/>
      <c r="AH1232" s="6"/>
      <c r="AI1232" s="6"/>
      <c r="AJ1232" s="6"/>
      <c r="AK1232" s="6"/>
      <c r="AL1232" s="6"/>
      <c r="AM1232" s="6"/>
      <c r="AN1232" s="6"/>
      <c r="AO1232" s="6"/>
      <c r="AP1232" s="6"/>
      <c r="AQ1232" s="6"/>
      <c r="AR1232" s="6"/>
      <c r="AS1232" s="6"/>
      <c r="AT1232" s="6"/>
      <c r="AU1232" s="6"/>
      <c r="AV1232" s="6"/>
      <c r="AW1232" s="6"/>
      <c r="AX1232" s="6"/>
      <c r="AY1232" s="6"/>
      <c r="AZ1232" s="6"/>
      <c r="BA1232" s="6"/>
      <c r="BB1232" s="6"/>
      <c r="BC1232" s="6"/>
      <c r="BD1232" s="6"/>
      <c r="BE1232" s="6"/>
      <c r="BF1232" s="6"/>
      <c r="BG1232" s="6"/>
      <c r="BH1232" s="6"/>
      <c r="BI1232" s="6"/>
      <c r="BJ1232" s="6"/>
      <c r="BK1232" s="6"/>
      <c r="BL1232" s="6"/>
      <c r="BM1232" s="6"/>
      <c r="BN1232" s="6"/>
      <c r="BO1232" s="6"/>
      <c r="BP1232" s="6"/>
      <c r="BQ1232" s="6"/>
      <c r="BR1232" s="6"/>
      <c r="BS1232" s="6"/>
      <c r="BT1232" s="6"/>
      <c r="BU1232" s="6"/>
      <c r="BV1232" s="6"/>
      <c r="BW1232" s="6"/>
      <c r="BX1232" s="6"/>
      <c r="BY1232" s="6"/>
      <c r="BZ1232" s="6"/>
      <c r="CA1232" s="6"/>
      <c r="CB1232" s="6"/>
      <c r="CC1232" s="6"/>
    </row>
    <row r="1233" spans="2:81" x14ac:dyDescent="0.2">
      <c r="B1233" s="68"/>
      <c r="C1233" s="69"/>
      <c r="D1233" s="70"/>
      <c r="F1233" s="68"/>
      <c r="G1233" s="69"/>
      <c r="H1233" s="70"/>
      <c r="J1233" s="71"/>
      <c r="K1233" s="71"/>
      <c r="L1233" s="67"/>
      <c r="N1233" s="71"/>
      <c r="O1233" s="71"/>
      <c r="P1233" s="67"/>
      <c r="R1233" s="67"/>
      <c r="S1233" s="6"/>
      <c r="T1233" s="6"/>
      <c r="U1233" s="6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  <c r="AG1233" s="6"/>
      <c r="AH1233" s="6"/>
      <c r="AI1233" s="6"/>
      <c r="AJ1233" s="6"/>
      <c r="AK1233" s="6"/>
      <c r="AL1233" s="6"/>
      <c r="AM1233" s="6"/>
      <c r="AN1233" s="6"/>
      <c r="AO1233" s="6"/>
      <c r="AP1233" s="6"/>
      <c r="AQ1233" s="6"/>
      <c r="AR1233" s="6"/>
      <c r="AS1233" s="6"/>
      <c r="AT1233" s="6"/>
      <c r="AU1233" s="6"/>
      <c r="AV1233" s="6"/>
      <c r="AW1233" s="6"/>
      <c r="AX1233" s="6"/>
      <c r="AY1233" s="6"/>
      <c r="AZ1233" s="6"/>
      <c r="BA1233" s="6"/>
      <c r="BB1233" s="6"/>
      <c r="BC1233" s="6"/>
      <c r="BD1233" s="6"/>
      <c r="BE1233" s="6"/>
      <c r="BF1233" s="6"/>
      <c r="BG1233" s="6"/>
      <c r="BH1233" s="6"/>
      <c r="BI1233" s="6"/>
      <c r="BJ1233" s="6"/>
      <c r="BK1233" s="6"/>
      <c r="BL1233" s="6"/>
      <c r="BM1233" s="6"/>
      <c r="BN1233" s="6"/>
      <c r="BO1233" s="6"/>
      <c r="BP1233" s="6"/>
      <c r="BQ1233" s="6"/>
      <c r="BR1233" s="6"/>
      <c r="BS1233" s="6"/>
      <c r="BT1233" s="6"/>
      <c r="BU1233" s="6"/>
      <c r="BV1233" s="6"/>
      <c r="BW1233" s="6"/>
      <c r="BX1233" s="6"/>
      <c r="BY1233" s="6"/>
      <c r="BZ1233" s="6"/>
      <c r="CA1233" s="6"/>
      <c r="CB1233" s="6"/>
      <c r="CC1233" s="6"/>
    </row>
    <row r="1234" spans="2:81" x14ac:dyDescent="0.2">
      <c r="B1234" s="68"/>
      <c r="C1234" s="69"/>
      <c r="D1234" s="70"/>
      <c r="F1234" s="68"/>
      <c r="G1234" s="69"/>
      <c r="H1234" s="70"/>
      <c r="J1234" s="71"/>
      <c r="K1234" s="71"/>
      <c r="L1234" s="67"/>
      <c r="N1234" s="71"/>
      <c r="O1234" s="71"/>
      <c r="P1234" s="67"/>
      <c r="R1234" s="67"/>
      <c r="S1234" s="6"/>
      <c r="T1234" s="6"/>
      <c r="U1234" s="6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  <c r="AG1234" s="6"/>
      <c r="AH1234" s="6"/>
      <c r="AI1234" s="6"/>
      <c r="AJ1234" s="6"/>
      <c r="AK1234" s="6"/>
      <c r="AL1234" s="6"/>
      <c r="AM1234" s="6"/>
      <c r="AN1234" s="6"/>
      <c r="AO1234" s="6"/>
      <c r="AP1234" s="6"/>
      <c r="AQ1234" s="6"/>
      <c r="AR1234" s="6"/>
      <c r="AS1234" s="6"/>
      <c r="AT1234" s="6"/>
      <c r="AU1234" s="6"/>
      <c r="AV1234" s="6"/>
      <c r="AW1234" s="6"/>
      <c r="AX1234" s="6"/>
      <c r="AY1234" s="6"/>
      <c r="AZ1234" s="6"/>
      <c r="BA1234" s="6"/>
      <c r="BB1234" s="6"/>
      <c r="BC1234" s="6"/>
      <c r="BD1234" s="6"/>
      <c r="BE1234" s="6"/>
      <c r="BF1234" s="6"/>
      <c r="BG1234" s="6"/>
      <c r="BH1234" s="6"/>
      <c r="BI1234" s="6"/>
      <c r="BJ1234" s="6"/>
      <c r="BK1234" s="6"/>
      <c r="BL1234" s="6"/>
      <c r="BM1234" s="6"/>
      <c r="BN1234" s="6"/>
      <c r="BO1234" s="6"/>
      <c r="BP1234" s="6"/>
      <c r="BQ1234" s="6"/>
      <c r="BR1234" s="6"/>
      <c r="BS1234" s="6"/>
      <c r="BT1234" s="6"/>
      <c r="BU1234" s="6"/>
      <c r="BV1234" s="6"/>
      <c r="BW1234" s="6"/>
      <c r="BX1234" s="6"/>
      <c r="BY1234" s="6"/>
      <c r="BZ1234" s="6"/>
      <c r="CA1234" s="6"/>
      <c r="CB1234" s="6"/>
      <c r="CC1234" s="6"/>
    </row>
    <row r="1235" spans="2:81" x14ac:dyDescent="0.2">
      <c r="B1235" s="68"/>
      <c r="C1235" s="69"/>
      <c r="D1235" s="70"/>
      <c r="F1235" s="68"/>
      <c r="G1235" s="69"/>
      <c r="H1235" s="70"/>
      <c r="J1235" s="71"/>
      <c r="K1235" s="71"/>
      <c r="L1235" s="67"/>
      <c r="N1235" s="71"/>
      <c r="O1235" s="71"/>
      <c r="P1235" s="67"/>
      <c r="R1235" s="67"/>
      <c r="S1235" s="6"/>
      <c r="T1235" s="6"/>
      <c r="U1235" s="6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  <c r="AG1235" s="6"/>
      <c r="AH1235" s="6"/>
      <c r="AI1235" s="6"/>
      <c r="AJ1235" s="6"/>
      <c r="AK1235" s="6"/>
      <c r="AL1235" s="6"/>
      <c r="AM1235" s="6"/>
      <c r="AN1235" s="6"/>
      <c r="AO1235" s="6"/>
      <c r="AP1235" s="6"/>
      <c r="AQ1235" s="6"/>
      <c r="AR1235" s="6"/>
      <c r="AS1235" s="6"/>
      <c r="AT1235" s="6"/>
      <c r="AU1235" s="6"/>
      <c r="AV1235" s="6"/>
      <c r="AW1235" s="6"/>
      <c r="AX1235" s="6"/>
      <c r="AY1235" s="6"/>
      <c r="AZ1235" s="6"/>
      <c r="BA1235" s="6"/>
      <c r="BB1235" s="6"/>
      <c r="BC1235" s="6"/>
      <c r="BD1235" s="6"/>
      <c r="BE1235" s="6"/>
      <c r="BF1235" s="6"/>
      <c r="BG1235" s="6"/>
      <c r="BH1235" s="6"/>
      <c r="BI1235" s="6"/>
      <c r="BJ1235" s="6"/>
      <c r="BK1235" s="6"/>
      <c r="BL1235" s="6"/>
      <c r="BM1235" s="6"/>
      <c r="BN1235" s="6"/>
      <c r="BO1235" s="6"/>
      <c r="BP1235" s="6"/>
      <c r="BQ1235" s="6"/>
      <c r="BR1235" s="6"/>
      <c r="BS1235" s="6"/>
      <c r="BT1235" s="6"/>
      <c r="BU1235" s="6"/>
      <c r="BV1235" s="6"/>
      <c r="BW1235" s="6"/>
      <c r="BX1235" s="6"/>
      <c r="BY1235" s="6"/>
      <c r="BZ1235" s="6"/>
      <c r="CA1235" s="6"/>
      <c r="CB1235" s="6"/>
      <c r="CC1235" s="6"/>
    </row>
    <row r="1236" spans="2:81" x14ac:dyDescent="0.2">
      <c r="B1236" s="68"/>
      <c r="C1236" s="69"/>
      <c r="D1236" s="70"/>
      <c r="F1236" s="68"/>
      <c r="G1236" s="69"/>
      <c r="H1236" s="70"/>
      <c r="J1236" s="71"/>
      <c r="K1236" s="71"/>
      <c r="L1236" s="67"/>
      <c r="N1236" s="71"/>
      <c r="O1236" s="71"/>
      <c r="P1236" s="67"/>
      <c r="R1236" s="67"/>
      <c r="S1236" s="6"/>
      <c r="T1236" s="6"/>
      <c r="U1236" s="6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  <c r="AG1236" s="6"/>
      <c r="AH1236" s="6"/>
      <c r="AI1236" s="6"/>
      <c r="AJ1236" s="6"/>
      <c r="AK1236" s="6"/>
      <c r="AL1236" s="6"/>
      <c r="AM1236" s="6"/>
      <c r="AN1236" s="6"/>
      <c r="AO1236" s="6"/>
      <c r="AP1236" s="6"/>
      <c r="AQ1236" s="6"/>
      <c r="AR1236" s="6"/>
      <c r="AS1236" s="6"/>
      <c r="AT1236" s="6"/>
      <c r="AU1236" s="6"/>
      <c r="AV1236" s="6"/>
      <c r="AW1236" s="6"/>
      <c r="AX1236" s="6"/>
      <c r="AY1236" s="6"/>
      <c r="AZ1236" s="6"/>
      <c r="BA1236" s="6"/>
      <c r="BB1236" s="6"/>
      <c r="BC1236" s="6"/>
      <c r="BD1236" s="6"/>
      <c r="BE1236" s="6"/>
      <c r="BF1236" s="6"/>
      <c r="BG1236" s="6"/>
      <c r="BH1236" s="6"/>
      <c r="BI1236" s="6"/>
      <c r="BJ1236" s="6"/>
      <c r="BK1236" s="6"/>
      <c r="BL1236" s="6"/>
      <c r="BM1236" s="6"/>
      <c r="BN1236" s="6"/>
      <c r="BO1236" s="6"/>
      <c r="BP1236" s="6"/>
      <c r="BQ1236" s="6"/>
      <c r="BR1236" s="6"/>
      <c r="BS1236" s="6"/>
      <c r="BT1236" s="6"/>
      <c r="BU1236" s="6"/>
      <c r="BV1236" s="6"/>
      <c r="BW1236" s="6"/>
      <c r="BX1236" s="6"/>
      <c r="BY1236" s="6"/>
      <c r="BZ1236" s="6"/>
      <c r="CA1236" s="6"/>
      <c r="CB1236" s="6"/>
      <c r="CC1236" s="6"/>
    </row>
    <row r="1237" spans="2:81" x14ac:dyDescent="0.2">
      <c r="B1237" s="68"/>
      <c r="C1237" s="69"/>
      <c r="D1237" s="70"/>
      <c r="F1237" s="68"/>
      <c r="G1237" s="69"/>
      <c r="H1237" s="70"/>
      <c r="J1237" s="71"/>
      <c r="K1237" s="71"/>
      <c r="L1237" s="67"/>
      <c r="N1237" s="71"/>
      <c r="O1237" s="71"/>
      <c r="P1237" s="67"/>
      <c r="R1237" s="67"/>
      <c r="S1237" s="6"/>
      <c r="T1237" s="6"/>
      <c r="U1237" s="6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  <c r="AG1237" s="6"/>
      <c r="AH1237" s="6"/>
      <c r="AI1237" s="6"/>
      <c r="AJ1237" s="6"/>
      <c r="AK1237" s="6"/>
      <c r="AL1237" s="6"/>
      <c r="AM1237" s="6"/>
      <c r="AN1237" s="6"/>
      <c r="AO1237" s="6"/>
      <c r="AP1237" s="6"/>
      <c r="AQ1237" s="6"/>
      <c r="AR1237" s="6"/>
      <c r="AS1237" s="6"/>
      <c r="AT1237" s="6"/>
      <c r="AU1237" s="6"/>
      <c r="AV1237" s="6"/>
      <c r="AW1237" s="6"/>
      <c r="AX1237" s="6"/>
      <c r="AY1237" s="6"/>
      <c r="AZ1237" s="6"/>
      <c r="BA1237" s="6"/>
      <c r="BB1237" s="6"/>
      <c r="BC1237" s="6"/>
      <c r="BD1237" s="6"/>
      <c r="BE1237" s="6"/>
      <c r="BF1237" s="6"/>
      <c r="BG1237" s="6"/>
      <c r="BH1237" s="6"/>
      <c r="BI1237" s="6"/>
      <c r="BJ1237" s="6"/>
      <c r="BK1237" s="6"/>
      <c r="BL1237" s="6"/>
      <c r="BM1237" s="6"/>
      <c r="BN1237" s="6"/>
      <c r="BO1237" s="6"/>
      <c r="BP1237" s="6"/>
      <c r="BQ1237" s="6"/>
      <c r="BR1237" s="6"/>
      <c r="BS1237" s="6"/>
      <c r="BT1237" s="6"/>
      <c r="BU1237" s="6"/>
      <c r="BV1237" s="6"/>
      <c r="BW1237" s="6"/>
      <c r="BX1237" s="6"/>
      <c r="BY1237" s="6"/>
      <c r="BZ1237" s="6"/>
      <c r="CA1237" s="6"/>
      <c r="CB1237" s="6"/>
      <c r="CC1237" s="6"/>
    </row>
    <row r="1238" spans="2:81" x14ac:dyDescent="0.2">
      <c r="B1238" s="68"/>
      <c r="C1238" s="69"/>
      <c r="D1238" s="70"/>
      <c r="F1238" s="68"/>
      <c r="G1238" s="69"/>
      <c r="H1238" s="70"/>
      <c r="J1238" s="71"/>
      <c r="K1238" s="71"/>
      <c r="L1238" s="67"/>
      <c r="N1238" s="71"/>
      <c r="O1238" s="71"/>
      <c r="P1238" s="67"/>
      <c r="R1238" s="67"/>
      <c r="S1238" s="6"/>
      <c r="T1238" s="6"/>
      <c r="U1238" s="6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  <c r="AG1238" s="6"/>
      <c r="AH1238" s="6"/>
      <c r="AI1238" s="6"/>
      <c r="AJ1238" s="6"/>
      <c r="AK1238" s="6"/>
      <c r="AL1238" s="6"/>
      <c r="AM1238" s="6"/>
      <c r="AN1238" s="6"/>
      <c r="AO1238" s="6"/>
      <c r="AP1238" s="6"/>
      <c r="AQ1238" s="6"/>
      <c r="AR1238" s="6"/>
      <c r="AS1238" s="6"/>
      <c r="AT1238" s="6"/>
      <c r="AU1238" s="6"/>
      <c r="AV1238" s="6"/>
      <c r="AW1238" s="6"/>
      <c r="AX1238" s="6"/>
      <c r="AY1238" s="6"/>
      <c r="AZ1238" s="6"/>
      <c r="BA1238" s="6"/>
      <c r="BB1238" s="6"/>
      <c r="BC1238" s="6"/>
      <c r="BD1238" s="6"/>
      <c r="BE1238" s="6"/>
      <c r="BF1238" s="6"/>
      <c r="BG1238" s="6"/>
      <c r="BH1238" s="6"/>
      <c r="BI1238" s="6"/>
      <c r="BJ1238" s="6"/>
      <c r="BK1238" s="6"/>
      <c r="BL1238" s="6"/>
      <c r="BM1238" s="6"/>
      <c r="BN1238" s="6"/>
      <c r="BO1238" s="6"/>
      <c r="BP1238" s="6"/>
      <c r="BQ1238" s="6"/>
      <c r="BR1238" s="6"/>
      <c r="BS1238" s="6"/>
      <c r="BT1238" s="6"/>
      <c r="BU1238" s="6"/>
      <c r="BV1238" s="6"/>
      <c r="BW1238" s="6"/>
      <c r="BX1238" s="6"/>
      <c r="BY1238" s="6"/>
      <c r="BZ1238" s="6"/>
      <c r="CA1238" s="6"/>
      <c r="CB1238" s="6"/>
      <c r="CC1238" s="6"/>
    </row>
    <row r="1239" spans="2:81" x14ac:dyDescent="0.2">
      <c r="B1239" s="68"/>
      <c r="C1239" s="69"/>
      <c r="D1239" s="70"/>
      <c r="F1239" s="68"/>
      <c r="G1239" s="69"/>
      <c r="H1239" s="70"/>
      <c r="J1239" s="71"/>
      <c r="K1239" s="71"/>
      <c r="L1239" s="67"/>
      <c r="N1239" s="71"/>
      <c r="O1239" s="71"/>
      <c r="P1239" s="67"/>
      <c r="R1239" s="67"/>
      <c r="S1239" s="6"/>
      <c r="T1239" s="6"/>
      <c r="U1239" s="6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  <c r="AG1239" s="6"/>
      <c r="AH1239" s="6"/>
      <c r="AI1239" s="6"/>
      <c r="AJ1239" s="6"/>
      <c r="AK1239" s="6"/>
      <c r="AL1239" s="6"/>
      <c r="AM1239" s="6"/>
      <c r="AN1239" s="6"/>
      <c r="AO1239" s="6"/>
      <c r="AP1239" s="6"/>
      <c r="AQ1239" s="6"/>
      <c r="AR1239" s="6"/>
      <c r="AS1239" s="6"/>
      <c r="AT1239" s="6"/>
      <c r="AU1239" s="6"/>
      <c r="AV1239" s="6"/>
      <c r="AW1239" s="6"/>
      <c r="AX1239" s="6"/>
      <c r="AY1239" s="6"/>
      <c r="AZ1239" s="6"/>
      <c r="BA1239" s="6"/>
      <c r="BB1239" s="6"/>
      <c r="BC1239" s="6"/>
      <c r="BD1239" s="6"/>
      <c r="BE1239" s="6"/>
      <c r="BF1239" s="6"/>
      <c r="BG1239" s="6"/>
      <c r="BH1239" s="6"/>
      <c r="BI1239" s="6"/>
      <c r="BJ1239" s="6"/>
      <c r="BK1239" s="6"/>
      <c r="BL1239" s="6"/>
      <c r="BM1239" s="6"/>
      <c r="BN1239" s="6"/>
      <c r="BO1239" s="6"/>
      <c r="BP1239" s="6"/>
      <c r="BQ1239" s="6"/>
      <c r="BR1239" s="6"/>
      <c r="BS1239" s="6"/>
      <c r="BT1239" s="6"/>
      <c r="BU1239" s="6"/>
      <c r="BV1239" s="6"/>
      <c r="BW1239" s="6"/>
      <c r="BX1239" s="6"/>
      <c r="BY1239" s="6"/>
      <c r="BZ1239" s="6"/>
      <c r="CA1239" s="6"/>
      <c r="CB1239" s="6"/>
      <c r="CC1239" s="6"/>
    </row>
    <row r="1240" spans="2:81" x14ac:dyDescent="0.2">
      <c r="B1240" s="68"/>
      <c r="C1240" s="69"/>
      <c r="D1240" s="70"/>
      <c r="F1240" s="68"/>
      <c r="G1240" s="69"/>
      <c r="H1240" s="70"/>
      <c r="J1240" s="71"/>
      <c r="K1240" s="71"/>
      <c r="L1240" s="67"/>
      <c r="N1240" s="71"/>
      <c r="O1240" s="71"/>
      <c r="P1240" s="67"/>
      <c r="R1240" s="67"/>
      <c r="S1240" s="6"/>
      <c r="T1240" s="6"/>
      <c r="U1240" s="6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  <c r="AG1240" s="6"/>
      <c r="AH1240" s="6"/>
      <c r="AI1240" s="6"/>
      <c r="AJ1240" s="6"/>
      <c r="AK1240" s="6"/>
      <c r="AL1240" s="6"/>
      <c r="AM1240" s="6"/>
      <c r="AN1240" s="6"/>
      <c r="AO1240" s="6"/>
      <c r="AP1240" s="6"/>
      <c r="AQ1240" s="6"/>
      <c r="AR1240" s="6"/>
      <c r="AS1240" s="6"/>
      <c r="AT1240" s="6"/>
      <c r="AU1240" s="6"/>
      <c r="AV1240" s="6"/>
      <c r="AW1240" s="6"/>
      <c r="AX1240" s="6"/>
      <c r="AY1240" s="6"/>
      <c r="AZ1240" s="6"/>
      <c r="BA1240" s="6"/>
      <c r="BB1240" s="6"/>
      <c r="BC1240" s="6"/>
      <c r="BD1240" s="6"/>
      <c r="BE1240" s="6"/>
      <c r="BF1240" s="6"/>
      <c r="BG1240" s="6"/>
      <c r="BH1240" s="6"/>
      <c r="BI1240" s="6"/>
      <c r="BJ1240" s="6"/>
      <c r="BK1240" s="6"/>
      <c r="BL1240" s="6"/>
      <c r="BM1240" s="6"/>
      <c r="BN1240" s="6"/>
      <c r="BO1240" s="6"/>
      <c r="BP1240" s="6"/>
      <c r="BQ1240" s="6"/>
      <c r="BR1240" s="6"/>
      <c r="BS1240" s="6"/>
      <c r="BT1240" s="6"/>
      <c r="BU1240" s="6"/>
      <c r="BV1240" s="6"/>
      <c r="BW1240" s="6"/>
      <c r="BX1240" s="6"/>
      <c r="BY1240" s="6"/>
      <c r="BZ1240" s="6"/>
      <c r="CA1240" s="6"/>
      <c r="CB1240" s="6"/>
      <c r="CC1240" s="6"/>
    </row>
    <row r="1241" spans="2:81" x14ac:dyDescent="0.2">
      <c r="B1241" s="68"/>
      <c r="C1241" s="69"/>
      <c r="D1241" s="70"/>
      <c r="F1241" s="68"/>
      <c r="G1241" s="69"/>
      <c r="H1241" s="70"/>
      <c r="J1241" s="71"/>
      <c r="K1241" s="71"/>
      <c r="L1241" s="67"/>
      <c r="N1241" s="71"/>
      <c r="O1241" s="71"/>
      <c r="P1241" s="67"/>
      <c r="R1241" s="67"/>
      <c r="S1241" s="6"/>
      <c r="T1241" s="6"/>
      <c r="U1241" s="6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  <c r="AG1241" s="6"/>
      <c r="AH1241" s="6"/>
      <c r="AI1241" s="6"/>
      <c r="AJ1241" s="6"/>
      <c r="AK1241" s="6"/>
      <c r="AL1241" s="6"/>
      <c r="AM1241" s="6"/>
      <c r="AN1241" s="6"/>
      <c r="AO1241" s="6"/>
      <c r="AP1241" s="6"/>
      <c r="AQ1241" s="6"/>
      <c r="AR1241" s="6"/>
      <c r="AS1241" s="6"/>
      <c r="AT1241" s="6"/>
      <c r="AU1241" s="6"/>
      <c r="AV1241" s="6"/>
      <c r="AW1241" s="6"/>
      <c r="AX1241" s="6"/>
      <c r="AY1241" s="6"/>
      <c r="AZ1241" s="6"/>
      <c r="BA1241" s="6"/>
      <c r="BB1241" s="6"/>
      <c r="BC1241" s="6"/>
      <c r="BD1241" s="6"/>
      <c r="BE1241" s="6"/>
      <c r="BF1241" s="6"/>
      <c r="BG1241" s="6"/>
      <c r="BH1241" s="6"/>
      <c r="BI1241" s="6"/>
      <c r="BJ1241" s="6"/>
      <c r="BK1241" s="6"/>
      <c r="BL1241" s="6"/>
      <c r="BM1241" s="6"/>
      <c r="BN1241" s="6"/>
      <c r="BO1241" s="6"/>
      <c r="BP1241" s="6"/>
      <c r="BQ1241" s="6"/>
      <c r="BR1241" s="6"/>
      <c r="BS1241" s="6"/>
      <c r="BT1241" s="6"/>
      <c r="BU1241" s="6"/>
      <c r="BV1241" s="6"/>
      <c r="BW1241" s="6"/>
      <c r="BX1241" s="6"/>
      <c r="BY1241" s="6"/>
      <c r="BZ1241" s="6"/>
      <c r="CA1241" s="6"/>
      <c r="CB1241" s="6"/>
      <c r="CC1241" s="6"/>
    </row>
    <row r="1242" spans="2:81" x14ac:dyDescent="0.2">
      <c r="B1242" s="68"/>
      <c r="C1242" s="69"/>
      <c r="D1242" s="70"/>
      <c r="F1242" s="68"/>
      <c r="G1242" s="69"/>
      <c r="H1242" s="70"/>
      <c r="J1242" s="71"/>
      <c r="K1242" s="71"/>
      <c r="L1242" s="67"/>
      <c r="N1242" s="71"/>
      <c r="O1242" s="71"/>
      <c r="P1242" s="67"/>
      <c r="R1242" s="67"/>
      <c r="S1242" s="6"/>
      <c r="T1242" s="6"/>
      <c r="U1242" s="6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  <c r="AG1242" s="6"/>
      <c r="AH1242" s="6"/>
      <c r="AI1242" s="6"/>
      <c r="AJ1242" s="6"/>
      <c r="AK1242" s="6"/>
      <c r="AL1242" s="6"/>
      <c r="AM1242" s="6"/>
      <c r="AN1242" s="6"/>
      <c r="AO1242" s="6"/>
      <c r="AP1242" s="6"/>
      <c r="AQ1242" s="6"/>
      <c r="AR1242" s="6"/>
      <c r="AS1242" s="6"/>
      <c r="AT1242" s="6"/>
      <c r="AU1242" s="6"/>
      <c r="AV1242" s="6"/>
      <c r="AW1242" s="6"/>
      <c r="AX1242" s="6"/>
      <c r="AY1242" s="6"/>
      <c r="AZ1242" s="6"/>
      <c r="BA1242" s="6"/>
      <c r="BB1242" s="6"/>
      <c r="BC1242" s="6"/>
      <c r="BD1242" s="6"/>
      <c r="BE1242" s="6"/>
      <c r="BF1242" s="6"/>
      <c r="BG1242" s="6"/>
      <c r="BH1242" s="6"/>
      <c r="BI1242" s="6"/>
      <c r="BJ1242" s="6"/>
      <c r="BK1242" s="6"/>
      <c r="BL1242" s="6"/>
      <c r="BM1242" s="6"/>
      <c r="BN1242" s="6"/>
      <c r="BO1242" s="6"/>
      <c r="BP1242" s="6"/>
      <c r="BQ1242" s="6"/>
      <c r="BR1242" s="6"/>
      <c r="BS1242" s="6"/>
      <c r="BT1242" s="6"/>
      <c r="BU1242" s="6"/>
      <c r="BV1242" s="6"/>
      <c r="BW1242" s="6"/>
      <c r="BX1242" s="6"/>
      <c r="BY1242" s="6"/>
      <c r="BZ1242" s="6"/>
      <c r="CA1242" s="6"/>
      <c r="CB1242" s="6"/>
      <c r="CC1242" s="6"/>
    </row>
    <row r="1243" spans="2:81" x14ac:dyDescent="0.2">
      <c r="B1243" s="68"/>
      <c r="C1243" s="69"/>
      <c r="D1243" s="70"/>
      <c r="F1243" s="68"/>
      <c r="G1243" s="69"/>
      <c r="H1243" s="70"/>
      <c r="J1243" s="71"/>
      <c r="K1243" s="71"/>
      <c r="L1243" s="67"/>
      <c r="N1243" s="71"/>
      <c r="O1243" s="71"/>
      <c r="P1243" s="67"/>
      <c r="R1243" s="67"/>
      <c r="S1243" s="6"/>
      <c r="T1243" s="6"/>
      <c r="U1243" s="6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  <c r="AG1243" s="6"/>
      <c r="AH1243" s="6"/>
      <c r="AI1243" s="6"/>
      <c r="AJ1243" s="6"/>
      <c r="AK1243" s="6"/>
      <c r="AL1243" s="6"/>
      <c r="AM1243" s="6"/>
      <c r="AN1243" s="6"/>
      <c r="AO1243" s="6"/>
      <c r="AP1243" s="6"/>
      <c r="AQ1243" s="6"/>
      <c r="AR1243" s="6"/>
      <c r="AS1243" s="6"/>
      <c r="AT1243" s="6"/>
      <c r="AU1243" s="6"/>
      <c r="AV1243" s="6"/>
      <c r="AW1243" s="6"/>
      <c r="AX1243" s="6"/>
      <c r="AY1243" s="6"/>
      <c r="AZ1243" s="6"/>
      <c r="BA1243" s="6"/>
      <c r="BB1243" s="6"/>
      <c r="BC1243" s="6"/>
      <c r="BD1243" s="6"/>
      <c r="BE1243" s="6"/>
      <c r="BF1243" s="6"/>
      <c r="BG1243" s="6"/>
      <c r="BH1243" s="6"/>
      <c r="BI1243" s="6"/>
      <c r="BJ1243" s="6"/>
      <c r="BK1243" s="6"/>
      <c r="BL1243" s="6"/>
      <c r="BM1243" s="6"/>
      <c r="BN1243" s="6"/>
      <c r="BO1243" s="6"/>
      <c r="BP1243" s="6"/>
      <c r="BQ1243" s="6"/>
      <c r="BR1243" s="6"/>
      <c r="BS1243" s="6"/>
      <c r="BT1243" s="6"/>
      <c r="BU1243" s="6"/>
      <c r="BV1243" s="6"/>
      <c r="BW1243" s="6"/>
      <c r="BX1243" s="6"/>
      <c r="BY1243" s="6"/>
      <c r="BZ1243" s="6"/>
      <c r="CA1243" s="6"/>
      <c r="CB1243" s="6"/>
      <c r="CC1243" s="6"/>
    </row>
    <row r="1244" spans="2:81" x14ac:dyDescent="0.2">
      <c r="B1244" s="68"/>
      <c r="C1244" s="69"/>
      <c r="D1244" s="70"/>
      <c r="F1244" s="68"/>
      <c r="G1244" s="69"/>
      <c r="H1244" s="70"/>
      <c r="J1244" s="71"/>
      <c r="K1244" s="71"/>
      <c r="L1244" s="67"/>
      <c r="N1244" s="71"/>
      <c r="O1244" s="71"/>
      <c r="P1244" s="67"/>
      <c r="R1244" s="67"/>
      <c r="S1244" s="6"/>
      <c r="T1244" s="6"/>
      <c r="U1244" s="6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  <c r="AG1244" s="6"/>
      <c r="AH1244" s="6"/>
      <c r="AI1244" s="6"/>
      <c r="AJ1244" s="6"/>
      <c r="AK1244" s="6"/>
      <c r="AL1244" s="6"/>
      <c r="AM1244" s="6"/>
      <c r="AN1244" s="6"/>
      <c r="AO1244" s="6"/>
      <c r="AP1244" s="6"/>
      <c r="AQ1244" s="6"/>
      <c r="AR1244" s="6"/>
      <c r="AS1244" s="6"/>
      <c r="AT1244" s="6"/>
      <c r="AU1244" s="6"/>
      <c r="AV1244" s="6"/>
      <c r="AW1244" s="6"/>
      <c r="AX1244" s="6"/>
      <c r="AY1244" s="6"/>
      <c r="AZ1244" s="6"/>
      <c r="BA1244" s="6"/>
      <c r="BB1244" s="6"/>
      <c r="BC1244" s="6"/>
      <c r="BD1244" s="6"/>
      <c r="BE1244" s="6"/>
      <c r="BF1244" s="6"/>
      <c r="BG1244" s="6"/>
      <c r="BH1244" s="6"/>
      <c r="BI1244" s="6"/>
      <c r="BJ1244" s="6"/>
      <c r="BK1244" s="6"/>
      <c r="BL1244" s="6"/>
      <c r="BM1244" s="6"/>
      <c r="BN1244" s="6"/>
      <c r="BO1244" s="6"/>
      <c r="BP1244" s="6"/>
      <c r="BQ1244" s="6"/>
      <c r="BR1244" s="6"/>
      <c r="BS1244" s="6"/>
      <c r="BT1244" s="6"/>
      <c r="BU1244" s="6"/>
      <c r="BV1244" s="6"/>
      <c r="BW1244" s="6"/>
      <c r="BX1244" s="6"/>
      <c r="BY1244" s="6"/>
      <c r="BZ1244" s="6"/>
      <c r="CA1244" s="6"/>
      <c r="CB1244" s="6"/>
      <c r="CC1244" s="6"/>
    </row>
    <row r="1245" spans="2:81" x14ac:dyDescent="0.2">
      <c r="B1245" s="68"/>
      <c r="C1245" s="69"/>
      <c r="D1245" s="70"/>
      <c r="F1245" s="68"/>
      <c r="G1245" s="69"/>
      <c r="H1245" s="70"/>
      <c r="J1245" s="71"/>
      <c r="K1245" s="71"/>
      <c r="L1245" s="67"/>
      <c r="N1245" s="71"/>
      <c r="O1245" s="71"/>
      <c r="P1245" s="67"/>
      <c r="R1245" s="67"/>
      <c r="S1245" s="6"/>
      <c r="T1245" s="6"/>
      <c r="U1245" s="6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  <c r="AG1245" s="6"/>
      <c r="AH1245" s="6"/>
      <c r="AI1245" s="6"/>
      <c r="AJ1245" s="6"/>
      <c r="AK1245" s="6"/>
      <c r="AL1245" s="6"/>
      <c r="AM1245" s="6"/>
      <c r="AN1245" s="6"/>
      <c r="AO1245" s="6"/>
      <c r="AP1245" s="6"/>
      <c r="AQ1245" s="6"/>
      <c r="AR1245" s="6"/>
      <c r="AS1245" s="6"/>
      <c r="AT1245" s="6"/>
      <c r="AU1245" s="6"/>
      <c r="AV1245" s="6"/>
      <c r="AW1245" s="6"/>
      <c r="AX1245" s="6"/>
      <c r="AY1245" s="6"/>
      <c r="AZ1245" s="6"/>
      <c r="BA1245" s="6"/>
      <c r="BB1245" s="6"/>
      <c r="BC1245" s="6"/>
      <c r="BD1245" s="6"/>
      <c r="BE1245" s="6"/>
      <c r="BF1245" s="6"/>
      <c r="BG1245" s="6"/>
      <c r="BH1245" s="6"/>
      <c r="BI1245" s="6"/>
      <c r="BJ1245" s="6"/>
      <c r="BK1245" s="6"/>
      <c r="BL1245" s="6"/>
      <c r="BM1245" s="6"/>
      <c r="BN1245" s="6"/>
      <c r="BO1245" s="6"/>
      <c r="BP1245" s="6"/>
      <c r="BQ1245" s="6"/>
      <c r="BR1245" s="6"/>
      <c r="BS1245" s="6"/>
      <c r="BT1245" s="6"/>
      <c r="BU1245" s="6"/>
      <c r="BV1245" s="6"/>
      <c r="BW1245" s="6"/>
      <c r="BX1245" s="6"/>
      <c r="BY1245" s="6"/>
      <c r="BZ1245" s="6"/>
      <c r="CA1245" s="6"/>
      <c r="CB1245" s="6"/>
      <c r="CC1245" s="6"/>
    </row>
    <row r="1246" spans="2:81" x14ac:dyDescent="0.2">
      <c r="B1246" s="68"/>
      <c r="C1246" s="69"/>
      <c r="D1246" s="70"/>
      <c r="F1246" s="68"/>
      <c r="G1246" s="69"/>
      <c r="H1246" s="70"/>
      <c r="J1246" s="71"/>
      <c r="K1246" s="71"/>
      <c r="L1246" s="67"/>
      <c r="N1246" s="71"/>
      <c r="O1246" s="71"/>
      <c r="P1246" s="67"/>
      <c r="R1246" s="67"/>
      <c r="S1246" s="6"/>
      <c r="T1246" s="6"/>
      <c r="U1246" s="6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  <c r="AG1246" s="6"/>
      <c r="AH1246" s="6"/>
      <c r="AI1246" s="6"/>
      <c r="AJ1246" s="6"/>
      <c r="AK1246" s="6"/>
      <c r="AL1246" s="6"/>
      <c r="AM1246" s="6"/>
      <c r="AN1246" s="6"/>
      <c r="AO1246" s="6"/>
      <c r="AP1246" s="6"/>
      <c r="AQ1246" s="6"/>
      <c r="AR1246" s="6"/>
      <c r="AS1246" s="6"/>
      <c r="AT1246" s="6"/>
      <c r="AU1246" s="6"/>
      <c r="AV1246" s="6"/>
      <c r="AW1246" s="6"/>
      <c r="AX1246" s="6"/>
      <c r="AY1246" s="6"/>
      <c r="AZ1246" s="6"/>
      <c r="BA1246" s="6"/>
      <c r="BB1246" s="6"/>
      <c r="BC1246" s="6"/>
      <c r="BD1246" s="6"/>
      <c r="BE1246" s="6"/>
      <c r="BF1246" s="6"/>
      <c r="BG1246" s="6"/>
      <c r="BH1246" s="6"/>
      <c r="BI1246" s="6"/>
      <c r="BJ1246" s="6"/>
      <c r="BK1246" s="6"/>
      <c r="BL1246" s="6"/>
      <c r="BM1246" s="6"/>
      <c r="BN1246" s="6"/>
      <c r="BO1246" s="6"/>
      <c r="BP1246" s="6"/>
      <c r="BQ1246" s="6"/>
      <c r="BR1246" s="6"/>
      <c r="BS1246" s="6"/>
      <c r="BT1246" s="6"/>
      <c r="BU1246" s="6"/>
      <c r="BV1246" s="6"/>
      <c r="BW1246" s="6"/>
      <c r="BX1246" s="6"/>
      <c r="BY1246" s="6"/>
      <c r="BZ1246" s="6"/>
      <c r="CA1246" s="6"/>
      <c r="CB1246" s="6"/>
      <c r="CC1246" s="6"/>
    </row>
    <row r="1247" spans="2:81" x14ac:dyDescent="0.2">
      <c r="B1247" s="68"/>
      <c r="C1247" s="69"/>
      <c r="D1247" s="70"/>
      <c r="F1247" s="68"/>
      <c r="G1247" s="69"/>
      <c r="H1247" s="70"/>
      <c r="J1247" s="71"/>
      <c r="K1247" s="71"/>
      <c r="L1247" s="67"/>
      <c r="N1247" s="71"/>
      <c r="O1247" s="71"/>
      <c r="P1247" s="67"/>
      <c r="R1247" s="67"/>
      <c r="S1247" s="6"/>
      <c r="T1247" s="6"/>
      <c r="U1247" s="6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  <c r="AG1247" s="6"/>
      <c r="AH1247" s="6"/>
      <c r="AI1247" s="6"/>
      <c r="AJ1247" s="6"/>
      <c r="AK1247" s="6"/>
      <c r="AL1247" s="6"/>
      <c r="AM1247" s="6"/>
      <c r="AN1247" s="6"/>
      <c r="AO1247" s="6"/>
      <c r="AP1247" s="6"/>
      <c r="AQ1247" s="6"/>
      <c r="AR1247" s="6"/>
      <c r="AS1247" s="6"/>
      <c r="AT1247" s="6"/>
      <c r="AU1247" s="6"/>
      <c r="AV1247" s="6"/>
      <c r="AW1247" s="6"/>
      <c r="AX1247" s="6"/>
      <c r="AY1247" s="6"/>
      <c r="AZ1247" s="6"/>
      <c r="BA1247" s="6"/>
      <c r="BB1247" s="6"/>
      <c r="BC1247" s="6"/>
      <c r="BD1247" s="6"/>
      <c r="BE1247" s="6"/>
      <c r="BF1247" s="6"/>
      <c r="BG1247" s="6"/>
      <c r="BH1247" s="6"/>
      <c r="BI1247" s="6"/>
      <c r="BJ1247" s="6"/>
      <c r="BK1247" s="6"/>
      <c r="BL1247" s="6"/>
      <c r="BM1247" s="6"/>
      <c r="BN1247" s="6"/>
      <c r="BO1247" s="6"/>
      <c r="BP1247" s="6"/>
      <c r="BQ1247" s="6"/>
      <c r="BR1247" s="6"/>
      <c r="BS1247" s="6"/>
      <c r="BT1247" s="6"/>
      <c r="BU1247" s="6"/>
      <c r="BV1247" s="6"/>
      <c r="BW1247" s="6"/>
      <c r="BX1247" s="6"/>
      <c r="BY1247" s="6"/>
      <c r="BZ1247" s="6"/>
      <c r="CA1247" s="6"/>
      <c r="CB1247" s="6"/>
      <c r="CC1247" s="6"/>
    </row>
    <row r="1248" spans="2:81" x14ac:dyDescent="0.2">
      <c r="B1248" s="68"/>
      <c r="C1248" s="69"/>
      <c r="D1248" s="70"/>
      <c r="F1248" s="68"/>
      <c r="G1248" s="69"/>
      <c r="H1248" s="70"/>
      <c r="J1248" s="71"/>
      <c r="K1248" s="71"/>
      <c r="L1248" s="67"/>
      <c r="N1248" s="71"/>
      <c r="O1248" s="71"/>
      <c r="P1248" s="67"/>
      <c r="R1248" s="67"/>
      <c r="S1248" s="6"/>
      <c r="T1248" s="6"/>
      <c r="U1248" s="6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  <c r="AG1248" s="6"/>
      <c r="AH1248" s="6"/>
      <c r="AI1248" s="6"/>
      <c r="AJ1248" s="6"/>
      <c r="AK1248" s="6"/>
      <c r="AL1248" s="6"/>
      <c r="AM1248" s="6"/>
      <c r="AN1248" s="6"/>
      <c r="AO1248" s="6"/>
      <c r="AP1248" s="6"/>
      <c r="AQ1248" s="6"/>
      <c r="AR1248" s="6"/>
      <c r="AS1248" s="6"/>
      <c r="AT1248" s="6"/>
      <c r="AU1248" s="6"/>
      <c r="AV1248" s="6"/>
      <c r="AW1248" s="6"/>
      <c r="AX1248" s="6"/>
      <c r="AY1248" s="6"/>
      <c r="AZ1248" s="6"/>
      <c r="BA1248" s="6"/>
      <c r="BB1248" s="6"/>
      <c r="BC1248" s="6"/>
      <c r="BD1248" s="6"/>
      <c r="BE1248" s="6"/>
      <c r="BF1248" s="6"/>
      <c r="BG1248" s="6"/>
      <c r="BH1248" s="6"/>
      <c r="BI1248" s="6"/>
      <c r="BJ1248" s="6"/>
      <c r="BK1248" s="6"/>
      <c r="BL1248" s="6"/>
      <c r="BM1248" s="6"/>
      <c r="BN1248" s="6"/>
      <c r="BO1248" s="6"/>
      <c r="BP1248" s="6"/>
      <c r="BQ1248" s="6"/>
      <c r="BR1248" s="6"/>
      <c r="BS1248" s="6"/>
      <c r="BT1248" s="6"/>
      <c r="BU1248" s="6"/>
      <c r="BV1248" s="6"/>
      <c r="BW1248" s="6"/>
      <c r="BX1248" s="6"/>
      <c r="BY1248" s="6"/>
      <c r="BZ1248" s="6"/>
      <c r="CA1248" s="6"/>
      <c r="CB1248" s="6"/>
      <c r="CC1248" s="6"/>
    </row>
    <row r="1249" spans="2:81" x14ac:dyDescent="0.2">
      <c r="B1249" s="68"/>
      <c r="C1249" s="69"/>
      <c r="D1249" s="70"/>
      <c r="F1249" s="68"/>
      <c r="G1249" s="69"/>
      <c r="H1249" s="70"/>
      <c r="J1249" s="71"/>
      <c r="K1249" s="71"/>
      <c r="L1249" s="67"/>
      <c r="N1249" s="71"/>
      <c r="O1249" s="71"/>
      <c r="P1249" s="67"/>
      <c r="R1249" s="67"/>
      <c r="S1249" s="6"/>
      <c r="T1249" s="6"/>
      <c r="U1249" s="6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  <c r="AG1249" s="6"/>
      <c r="AH1249" s="6"/>
      <c r="AI1249" s="6"/>
      <c r="AJ1249" s="6"/>
      <c r="AK1249" s="6"/>
      <c r="AL1249" s="6"/>
      <c r="AM1249" s="6"/>
      <c r="AN1249" s="6"/>
      <c r="AO1249" s="6"/>
      <c r="AP1249" s="6"/>
      <c r="AQ1249" s="6"/>
      <c r="AR1249" s="6"/>
      <c r="AS1249" s="6"/>
      <c r="AT1249" s="6"/>
      <c r="AU1249" s="6"/>
      <c r="AV1249" s="6"/>
      <c r="AW1249" s="6"/>
      <c r="AX1249" s="6"/>
      <c r="AY1249" s="6"/>
      <c r="AZ1249" s="6"/>
      <c r="BA1249" s="6"/>
      <c r="BB1249" s="6"/>
      <c r="BC1249" s="6"/>
      <c r="BD1249" s="6"/>
      <c r="BE1249" s="6"/>
      <c r="BF1249" s="6"/>
      <c r="BG1249" s="6"/>
      <c r="BH1249" s="6"/>
      <c r="BI1249" s="6"/>
      <c r="BJ1249" s="6"/>
      <c r="BK1249" s="6"/>
      <c r="BL1249" s="6"/>
      <c r="BM1249" s="6"/>
      <c r="BN1249" s="6"/>
      <c r="BO1249" s="6"/>
      <c r="BP1249" s="6"/>
      <c r="BQ1249" s="6"/>
      <c r="BR1249" s="6"/>
      <c r="BS1249" s="6"/>
      <c r="BT1249" s="6"/>
      <c r="BU1249" s="6"/>
      <c r="BV1249" s="6"/>
      <c r="BW1249" s="6"/>
      <c r="BX1249" s="6"/>
      <c r="BY1249" s="6"/>
      <c r="BZ1249" s="6"/>
      <c r="CA1249" s="6"/>
      <c r="CB1249" s="6"/>
      <c r="CC1249" s="6"/>
    </row>
    <row r="1250" spans="2:81" x14ac:dyDescent="0.2">
      <c r="B1250" s="68"/>
      <c r="C1250" s="69"/>
      <c r="D1250" s="70"/>
      <c r="F1250" s="68"/>
      <c r="G1250" s="69"/>
      <c r="H1250" s="70"/>
      <c r="J1250" s="71"/>
      <c r="K1250" s="71"/>
      <c r="L1250" s="67"/>
      <c r="N1250" s="71"/>
      <c r="O1250" s="71"/>
      <c r="P1250" s="67"/>
      <c r="R1250" s="67"/>
      <c r="S1250" s="6"/>
      <c r="T1250" s="6"/>
      <c r="U1250" s="6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  <c r="AG1250" s="6"/>
      <c r="AH1250" s="6"/>
      <c r="AI1250" s="6"/>
      <c r="AJ1250" s="6"/>
      <c r="AK1250" s="6"/>
      <c r="AL1250" s="6"/>
      <c r="AM1250" s="6"/>
      <c r="AN1250" s="6"/>
      <c r="AO1250" s="6"/>
      <c r="AP1250" s="6"/>
      <c r="AQ1250" s="6"/>
      <c r="AR1250" s="6"/>
      <c r="AS1250" s="6"/>
      <c r="AT1250" s="6"/>
      <c r="AU1250" s="6"/>
      <c r="AV1250" s="6"/>
      <c r="AW1250" s="6"/>
      <c r="AX1250" s="6"/>
      <c r="AY1250" s="6"/>
      <c r="AZ1250" s="6"/>
      <c r="BA1250" s="6"/>
      <c r="BB1250" s="6"/>
      <c r="BC1250" s="6"/>
      <c r="BD1250" s="6"/>
      <c r="BE1250" s="6"/>
      <c r="BF1250" s="6"/>
      <c r="BG1250" s="6"/>
      <c r="BH1250" s="6"/>
      <c r="BI1250" s="6"/>
      <c r="BJ1250" s="6"/>
      <c r="BK1250" s="6"/>
      <c r="BL1250" s="6"/>
      <c r="BM1250" s="6"/>
      <c r="BN1250" s="6"/>
      <c r="BO1250" s="6"/>
      <c r="BP1250" s="6"/>
      <c r="BQ1250" s="6"/>
      <c r="BR1250" s="6"/>
      <c r="BS1250" s="6"/>
      <c r="BT1250" s="6"/>
      <c r="BU1250" s="6"/>
      <c r="BV1250" s="6"/>
      <c r="BW1250" s="6"/>
      <c r="BX1250" s="6"/>
      <c r="BY1250" s="6"/>
      <c r="BZ1250" s="6"/>
      <c r="CA1250" s="6"/>
      <c r="CB1250" s="6"/>
      <c r="CC1250" s="6"/>
    </row>
    <row r="1251" spans="2:81" x14ac:dyDescent="0.2">
      <c r="B1251" s="68"/>
      <c r="C1251" s="69"/>
      <c r="D1251" s="70"/>
      <c r="F1251" s="68"/>
      <c r="G1251" s="69"/>
      <c r="H1251" s="70"/>
      <c r="J1251" s="71"/>
      <c r="K1251" s="71"/>
      <c r="L1251" s="67"/>
      <c r="N1251" s="71"/>
      <c r="O1251" s="71"/>
      <c r="P1251" s="67"/>
      <c r="R1251" s="67"/>
      <c r="S1251" s="6"/>
      <c r="T1251" s="6"/>
      <c r="U1251" s="6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  <c r="AG1251" s="6"/>
      <c r="AH1251" s="6"/>
      <c r="AI1251" s="6"/>
      <c r="AJ1251" s="6"/>
      <c r="AK1251" s="6"/>
      <c r="AL1251" s="6"/>
      <c r="AM1251" s="6"/>
      <c r="AN1251" s="6"/>
      <c r="AO1251" s="6"/>
      <c r="AP1251" s="6"/>
      <c r="AQ1251" s="6"/>
      <c r="AR1251" s="6"/>
      <c r="AS1251" s="6"/>
      <c r="AT1251" s="6"/>
      <c r="AU1251" s="6"/>
      <c r="AV1251" s="6"/>
      <c r="AW1251" s="6"/>
      <c r="AX1251" s="6"/>
      <c r="AY1251" s="6"/>
      <c r="AZ1251" s="6"/>
      <c r="BA1251" s="6"/>
      <c r="BB1251" s="6"/>
      <c r="BC1251" s="6"/>
      <c r="BD1251" s="6"/>
      <c r="BE1251" s="6"/>
      <c r="BF1251" s="6"/>
      <c r="BG1251" s="6"/>
      <c r="BH1251" s="6"/>
      <c r="BI1251" s="6"/>
      <c r="BJ1251" s="6"/>
      <c r="BK1251" s="6"/>
      <c r="BL1251" s="6"/>
      <c r="BM1251" s="6"/>
      <c r="BN1251" s="6"/>
      <c r="BO1251" s="6"/>
      <c r="BP1251" s="6"/>
      <c r="BQ1251" s="6"/>
      <c r="BR1251" s="6"/>
      <c r="BS1251" s="6"/>
      <c r="BT1251" s="6"/>
      <c r="BU1251" s="6"/>
      <c r="BV1251" s="6"/>
      <c r="BW1251" s="6"/>
      <c r="BX1251" s="6"/>
      <c r="BY1251" s="6"/>
      <c r="BZ1251" s="6"/>
      <c r="CA1251" s="6"/>
      <c r="CB1251" s="6"/>
      <c r="CC1251" s="6"/>
    </row>
    <row r="1252" spans="2:81" x14ac:dyDescent="0.2">
      <c r="B1252" s="68"/>
      <c r="C1252" s="69"/>
      <c r="D1252" s="70"/>
      <c r="F1252" s="68"/>
      <c r="G1252" s="69"/>
      <c r="H1252" s="70"/>
      <c r="J1252" s="71"/>
      <c r="K1252" s="71"/>
      <c r="L1252" s="67"/>
      <c r="N1252" s="71"/>
      <c r="O1252" s="71"/>
      <c r="P1252" s="67"/>
      <c r="R1252" s="67"/>
      <c r="S1252" s="6"/>
      <c r="T1252" s="6"/>
      <c r="U1252" s="6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  <c r="AG1252" s="6"/>
      <c r="AH1252" s="6"/>
      <c r="AI1252" s="6"/>
      <c r="AJ1252" s="6"/>
      <c r="AK1252" s="6"/>
      <c r="AL1252" s="6"/>
      <c r="AM1252" s="6"/>
      <c r="AN1252" s="6"/>
      <c r="AO1252" s="6"/>
      <c r="AP1252" s="6"/>
      <c r="AQ1252" s="6"/>
      <c r="AR1252" s="6"/>
      <c r="AS1252" s="6"/>
      <c r="AT1252" s="6"/>
      <c r="AU1252" s="6"/>
      <c r="AV1252" s="6"/>
      <c r="AW1252" s="6"/>
      <c r="AX1252" s="6"/>
      <c r="AY1252" s="6"/>
      <c r="AZ1252" s="6"/>
      <c r="BA1252" s="6"/>
      <c r="BB1252" s="6"/>
      <c r="BC1252" s="6"/>
      <c r="BD1252" s="6"/>
      <c r="BE1252" s="6"/>
      <c r="BF1252" s="6"/>
      <c r="BG1252" s="6"/>
      <c r="BH1252" s="6"/>
      <c r="BI1252" s="6"/>
      <c r="BJ1252" s="6"/>
      <c r="BK1252" s="6"/>
      <c r="BL1252" s="6"/>
      <c r="BM1252" s="6"/>
      <c r="BN1252" s="6"/>
      <c r="BO1252" s="6"/>
      <c r="BP1252" s="6"/>
      <c r="BQ1252" s="6"/>
      <c r="BR1252" s="6"/>
      <c r="BS1252" s="6"/>
      <c r="BT1252" s="6"/>
      <c r="BU1252" s="6"/>
      <c r="BV1252" s="6"/>
      <c r="BW1252" s="6"/>
      <c r="BX1252" s="6"/>
      <c r="BY1252" s="6"/>
      <c r="BZ1252" s="6"/>
      <c r="CA1252" s="6"/>
      <c r="CB1252" s="6"/>
      <c r="CC1252" s="6"/>
    </row>
    <row r="1253" spans="2:81" x14ac:dyDescent="0.2">
      <c r="B1253" s="68"/>
      <c r="C1253" s="69"/>
      <c r="D1253" s="70"/>
      <c r="F1253" s="68"/>
      <c r="G1253" s="69"/>
      <c r="H1253" s="70"/>
      <c r="J1253" s="71"/>
      <c r="K1253" s="71"/>
      <c r="L1253" s="67"/>
      <c r="N1253" s="71"/>
      <c r="O1253" s="71"/>
      <c r="P1253" s="67"/>
      <c r="R1253" s="67"/>
      <c r="S1253" s="6"/>
      <c r="T1253" s="6"/>
      <c r="U1253" s="6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  <c r="AG1253" s="6"/>
      <c r="AH1253" s="6"/>
      <c r="AI1253" s="6"/>
      <c r="AJ1253" s="6"/>
      <c r="AK1253" s="6"/>
      <c r="AL1253" s="6"/>
      <c r="AM1253" s="6"/>
      <c r="AN1253" s="6"/>
      <c r="AO1253" s="6"/>
      <c r="AP1253" s="6"/>
      <c r="AQ1253" s="6"/>
      <c r="AR1253" s="6"/>
      <c r="AS1253" s="6"/>
      <c r="AT1253" s="6"/>
      <c r="AU1253" s="6"/>
      <c r="AV1253" s="6"/>
      <c r="AW1253" s="6"/>
      <c r="AX1253" s="6"/>
      <c r="AY1253" s="6"/>
      <c r="AZ1253" s="6"/>
      <c r="BA1253" s="6"/>
      <c r="BB1253" s="6"/>
      <c r="BC1253" s="6"/>
      <c r="BD1253" s="6"/>
      <c r="BE1253" s="6"/>
      <c r="BF1253" s="6"/>
      <c r="BG1253" s="6"/>
      <c r="BH1253" s="6"/>
      <c r="BI1253" s="6"/>
      <c r="BJ1253" s="6"/>
      <c r="BK1253" s="6"/>
      <c r="BL1253" s="6"/>
      <c r="BM1253" s="6"/>
      <c r="BN1253" s="6"/>
      <c r="BO1253" s="6"/>
      <c r="BP1253" s="6"/>
      <c r="BQ1253" s="6"/>
      <c r="BR1253" s="6"/>
      <c r="BS1253" s="6"/>
      <c r="BT1253" s="6"/>
      <c r="BU1253" s="6"/>
      <c r="BV1253" s="6"/>
      <c r="BW1253" s="6"/>
      <c r="BX1253" s="6"/>
      <c r="BY1253" s="6"/>
      <c r="BZ1253" s="6"/>
      <c r="CA1253" s="6"/>
      <c r="CB1253" s="6"/>
      <c r="CC1253" s="6"/>
    </row>
    <row r="1254" spans="2:81" x14ac:dyDescent="0.2">
      <c r="B1254" s="68"/>
      <c r="C1254" s="69"/>
      <c r="D1254" s="70"/>
      <c r="F1254" s="68"/>
      <c r="G1254" s="69"/>
      <c r="H1254" s="70"/>
      <c r="J1254" s="71"/>
      <c r="K1254" s="71"/>
      <c r="L1254" s="67"/>
      <c r="N1254" s="71"/>
      <c r="O1254" s="71"/>
      <c r="P1254" s="67"/>
      <c r="R1254" s="67"/>
      <c r="S1254" s="6"/>
      <c r="T1254" s="6"/>
      <c r="U1254" s="6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  <c r="AG1254" s="6"/>
      <c r="AH1254" s="6"/>
      <c r="AI1254" s="6"/>
      <c r="AJ1254" s="6"/>
      <c r="AK1254" s="6"/>
      <c r="AL1254" s="6"/>
      <c r="AM1254" s="6"/>
      <c r="AN1254" s="6"/>
      <c r="AO1254" s="6"/>
      <c r="AP1254" s="6"/>
      <c r="AQ1254" s="6"/>
      <c r="AR1254" s="6"/>
      <c r="AS1254" s="6"/>
      <c r="AT1254" s="6"/>
      <c r="AU1254" s="6"/>
      <c r="AV1254" s="6"/>
      <c r="AW1254" s="6"/>
      <c r="AX1254" s="6"/>
      <c r="AY1254" s="6"/>
      <c r="AZ1254" s="6"/>
      <c r="BA1254" s="6"/>
      <c r="BB1254" s="6"/>
      <c r="BC1254" s="6"/>
      <c r="BD1254" s="6"/>
      <c r="BE1254" s="6"/>
      <c r="BF1254" s="6"/>
      <c r="BG1254" s="6"/>
      <c r="BH1254" s="6"/>
      <c r="BI1254" s="6"/>
      <c r="BJ1254" s="6"/>
      <c r="BK1254" s="6"/>
      <c r="BL1254" s="6"/>
      <c r="BM1254" s="6"/>
      <c r="BN1254" s="6"/>
      <c r="BO1254" s="6"/>
      <c r="BP1254" s="6"/>
      <c r="BQ1254" s="6"/>
      <c r="BR1254" s="6"/>
      <c r="BS1254" s="6"/>
      <c r="BT1254" s="6"/>
      <c r="BU1254" s="6"/>
      <c r="BV1254" s="6"/>
      <c r="BW1254" s="6"/>
      <c r="BX1254" s="6"/>
      <c r="BY1254" s="6"/>
      <c r="BZ1254" s="6"/>
      <c r="CA1254" s="6"/>
      <c r="CB1254" s="6"/>
      <c r="CC1254" s="6"/>
    </row>
    <row r="1255" spans="2:81" x14ac:dyDescent="0.2">
      <c r="B1255" s="68"/>
      <c r="C1255" s="69"/>
      <c r="D1255" s="70"/>
      <c r="F1255" s="68"/>
      <c r="G1255" s="69"/>
      <c r="H1255" s="70"/>
      <c r="J1255" s="71"/>
      <c r="K1255" s="71"/>
      <c r="L1255" s="67"/>
      <c r="N1255" s="71"/>
      <c r="O1255" s="71"/>
      <c r="P1255" s="67"/>
      <c r="R1255" s="67"/>
      <c r="S1255" s="6"/>
      <c r="T1255" s="6"/>
      <c r="U1255" s="6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  <c r="AG1255" s="6"/>
      <c r="AH1255" s="6"/>
      <c r="AI1255" s="6"/>
      <c r="AJ1255" s="6"/>
      <c r="AK1255" s="6"/>
      <c r="AL1255" s="6"/>
      <c r="AM1255" s="6"/>
      <c r="AN1255" s="6"/>
      <c r="AO1255" s="6"/>
      <c r="AP1255" s="6"/>
      <c r="AQ1255" s="6"/>
      <c r="AR1255" s="6"/>
      <c r="AS1255" s="6"/>
      <c r="AT1255" s="6"/>
      <c r="AU1255" s="6"/>
      <c r="AV1255" s="6"/>
      <c r="AW1255" s="6"/>
      <c r="AX1255" s="6"/>
      <c r="AY1255" s="6"/>
      <c r="AZ1255" s="6"/>
      <c r="BA1255" s="6"/>
      <c r="BB1255" s="6"/>
      <c r="BC1255" s="6"/>
      <c r="BD1255" s="6"/>
      <c r="BE1255" s="6"/>
      <c r="BF1255" s="6"/>
      <c r="BG1255" s="6"/>
      <c r="BH1255" s="6"/>
      <c r="BI1255" s="6"/>
      <c r="BJ1255" s="6"/>
      <c r="BK1255" s="6"/>
      <c r="BL1255" s="6"/>
      <c r="BM1255" s="6"/>
      <c r="BN1255" s="6"/>
      <c r="BO1255" s="6"/>
      <c r="BP1255" s="6"/>
      <c r="BQ1255" s="6"/>
      <c r="BR1255" s="6"/>
      <c r="BS1255" s="6"/>
      <c r="BT1255" s="6"/>
      <c r="BU1255" s="6"/>
      <c r="BV1255" s="6"/>
      <c r="BW1255" s="6"/>
      <c r="BX1255" s="6"/>
      <c r="BY1255" s="6"/>
      <c r="BZ1255" s="6"/>
      <c r="CA1255" s="6"/>
      <c r="CB1255" s="6"/>
      <c r="CC1255" s="6"/>
    </row>
    <row r="1256" spans="2:81" x14ac:dyDescent="0.2">
      <c r="B1256" s="68"/>
      <c r="C1256" s="69"/>
      <c r="D1256" s="70"/>
      <c r="F1256" s="68"/>
      <c r="G1256" s="69"/>
      <c r="H1256" s="70"/>
      <c r="J1256" s="71"/>
      <c r="K1256" s="71"/>
      <c r="L1256" s="67"/>
      <c r="N1256" s="71"/>
      <c r="O1256" s="71"/>
      <c r="P1256" s="67"/>
      <c r="R1256" s="67"/>
      <c r="S1256" s="6"/>
      <c r="T1256" s="6"/>
      <c r="U1256" s="6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  <c r="AG1256" s="6"/>
      <c r="AH1256" s="6"/>
      <c r="AI1256" s="6"/>
      <c r="AJ1256" s="6"/>
      <c r="AK1256" s="6"/>
      <c r="AL1256" s="6"/>
      <c r="AM1256" s="6"/>
      <c r="AN1256" s="6"/>
      <c r="AO1256" s="6"/>
      <c r="AP1256" s="6"/>
      <c r="AQ1256" s="6"/>
      <c r="AR1256" s="6"/>
      <c r="AS1256" s="6"/>
      <c r="AT1256" s="6"/>
      <c r="AU1256" s="6"/>
      <c r="AV1256" s="6"/>
      <c r="AW1256" s="6"/>
      <c r="AX1256" s="6"/>
      <c r="AY1256" s="6"/>
      <c r="AZ1256" s="6"/>
      <c r="BA1256" s="6"/>
      <c r="BB1256" s="6"/>
      <c r="BC1256" s="6"/>
      <c r="BD1256" s="6"/>
      <c r="BE1256" s="6"/>
      <c r="BF1256" s="6"/>
      <c r="BG1256" s="6"/>
      <c r="BH1256" s="6"/>
      <c r="BI1256" s="6"/>
      <c r="BJ1256" s="6"/>
      <c r="BK1256" s="6"/>
      <c r="BL1256" s="6"/>
      <c r="BM1256" s="6"/>
      <c r="BN1256" s="6"/>
      <c r="BO1256" s="6"/>
      <c r="BP1256" s="6"/>
      <c r="BQ1256" s="6"/>
      <c r="BR1256" s="6"/>
      <c r="BS1256" s="6"/>
      <c r="BT1256" s="6"/>
      <c r="BU1256" s="6"/>
      <c r="BV1256" s="6"/>
      <c r="BW1256" s="6"/>
      <c r="BX1256" s="6"/>
      <c r="BY1256" s="6"/>
      <c r="BZ1256" s="6"/>
      <c r="CA1256" s="6"/>
      <c r="CB1256" s="6"/>
      <c r="CC1256" s="6"/>
    </row>
    <row r="1257" spans="2:81" x14ac:dyDescent="0.2">
      <c r="B1257" s="68"/>
      <c r="C1257" s="69"/>
      <c r="D1257" s="70"/>
      <c r="F1257" s="68"/>
      <c r="G1257" s="69"/>
      <c r="H1257" s="70"/>
      <c r="J1257" s="71"/>
      <c r="K1257" s="71"/>
      <c r="L1257" s="67"/>
      <c r="N1257" s="71"/>
      <c r="O1257" s="71"/>
      <c r="P1257" s="67"/>
      <c r="R1257" s="67"/>
      <c r="S1257" s="6"/>
      <c r="T1257" s="6"/>
      <c r="U1257" s="6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  <c r="AG1257" s="6"/>
      <c r="AH1257" s="6"/>
      <c r="AI1257" s="6"/>
      <c r="AJ1257" s="6"/>
      <c r="AK1257" s="6"/>
      <c r="AL1257" s="6"/>
      <c r="AM1257" s="6"/>
      <c r="AN1257" s="6"/>
      <c r="AO1257" s="6"/>
      <c r="AP1257" s="6"/>
      <c r="AQ1257" s="6"/>
      <c r="AR1257" s="6"/>
      <c r="AS1257" s="6"/>
      <c r="AT1257" s="6"/>
      <c r="AU1257" s="6"/>
      <c r="AV1257" s="6"/>
      <c r="AW1257" s="6"/>
      <c r="AX1257" s="6"/>
      <c r="AY1257" s="6"/>
      <c r="AZ1257" s="6"/>
      <c r="BA1257" s="6"/>
      <c r="BB1257" s="6"/>
      <c r="BC1257" s="6"/>
      <c r="BD1257" s="6"/>
      <c r="BE1257" s="6"/>
      <c r="BF1257" s="6"/>
      <c r="BG1257" s="6"/>
      <c r="BH1257" s="6"/>
      <c r="BI1257" s="6"/>
      <c r="BJ1257" s="6"/>
      <c r="BK1257" s="6"/>
      <c r="BL1257" s="6"/>
      <c r="BM1257" s="6"/>
      <c r="BN1257" s="6"/>
      <c r="BO1257" s="6"/>
      <c r="BP1257" s="6"/>
      <c r="BQ1257" s="6"/>
      <c r="BR1257" s="6"/>
      <c r="BS1257" s="6"/>
      <c r="BT1257" s="6"/>
      <c r="BU1257" s="6"/>
      <c r="BV1257" s="6"/>
      <c r="BW1257" s="6"/>
      <c r="BX1257" s="6"/>
      <c r="BY1257" s="6"/>
      <c r="BZ1257" s="6"/>
      <c r="CA1257" s="6"/>
      <c r="CB1257" s="6"/>
      <c r="CC1257" s="6"/>
    </row>
    <row r="1258" spans="2:81" x14ac:dyDescent="0.2">
      <c r="B1258" s="68"/>
      <c r="C1258" s="69"/>
      <c r="D1258" s="70"/>
      <c r="F1258" s="68"/>
      <c r="G1258" s="69"/>
      <c r="H1258" s="70"/>
      <c r="J1258" s="71"/>
      <c r="K1258" s="71"/>
      <c r="L1258" s="67"/>
      <c r="N1258" s="71"/>
      <c r="O1258" s="71"/>
      <c r="P1258" s="67"/>
      <c r="R1258" s="67"/>
      <c r="S1258" s="6"/>
      <c r="T1258" s="6"/>
      <c r="U1258" s="6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  <c r="AG1258" s="6"/>
      <c r="AH1258" s="6"/>
      <c r="AI1258" s="6"/>
      <c r="AJ1258" s="6"/>
      <c r="AK1258" s="6"/>
      <c r="AL1258" s="6"/>
      <c r="AM1258" s="6"/>
      <c r="AN1258" s="6"/>
      <c r="AO1258" s="6"/>
      <c r="AP1258" s="6"/>
      <c r="AQ1258" s="6"/>
      <c r="AR1258" s="6"/>
      <c r="AS1258" s="6"/>
      <c r="AT1258" s="6"/>
      <c r="AU1258" s="6"/>
      <c r="AV1258" s="6"/>
      <c r="AW1258" s="6"/>
      <c r="AX1258" s="6"/>
      <c r="AY1258" s="6"/>
      <c r="AZ1258" s="6"/>
      <c r="BA1258" s="6"/>
      <c r="BB1258" s="6"/>
      <c r="BC1258" s="6"/>
      <c r="BD1258" s="6"/>
      <c r="BE1258" s="6"/>
      <c r="BF1258" s="6"/>
      <c r="BG1258" s="6"/>
      <c r="BH1258" s="6"/>
      <c r="BI1258" s="6"/>
      <c r="BJ1258" s="6"/>
      <c r="BK1258" s="6"/>
      <c r="BL1258" s="6"/>
      <c r="BM1258" s="6"/>
      <c r="BN1258" s="6"/>
      <c r="BO1258" s="6"/>
      <c r="BP1258" s="6"/>
      <c r="BQ1258" s="6"/>
      <c r="BR1258" s="6"/>
      <c r="BS1258" s="6"/>
      <c r="BT1258" s="6"/>
      <c r="BU1258" s="6"/>
      <c r="BV1258" s="6"/>
      <c r="BW1258" s="6"/>
      <c r="BX1258" s="6"/>
      <c r="BY1258" s="6"/>
      <c r="BZ1258" s="6"/>
      <c r="CA1258" s="6"/>
      <c r="CB1258" s="6"/>
      <c r="CC1258" s="6"/>
    </row>
    <row r="1259" spans="2:81" x14ac:dyDescent="0.2">
      <c r="B1259" s="68"/>
      <c r="C1259" s="69"/>
      <c r="D1259" s="70"/>
      <c r="F1259" s="68"/>
      <c r="G1259" s="69"/>
      <c r="H1259" s="70"/>
      <c r="J1259" s="71"/>
      <c r="K1259" s="71"/>
      <c r="L1259" s="67"/>
      <c r="N1259" s="71"/>
      <c r="O1259" s="71"/>
      <c r="P1259" s="67"/>
      <c r="R1259" s="67"/>
      <c r="S1259" s="6"/>
      <c r="T1259" s="6"/>
      <c r="U1259" s="6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  <c r="AG1259" s="6"/>
      <c r="AH1259" s="6"/>
      <c r="AI1259" s="6"/>
      <c r="AJ1259" s="6"/>
      <c r="AK1259" s="6"/>
      <c r="AL1259" s="6"/>
      <c r="AM1259" s="6"/>
      <c r="AN1259" s="6"/>
      <c r="AO1259" s="6"/>
      <c r="AP1259" s="6"/>
      <c r="AQ1259" s="6"/>
      <c r="AR1259" s="6"/>
      <c r="AS1259" s="6"/>
      <c r="AT1259" s="6"/>
      <c r="AU1259" s="6"/>
      <c r="AV1259" s="6"/>
      <c r="AW1259" s="6"/>
      <c r="AX1259" s="6"/>
      <c r="AY1259" s="6"/>
      <c r="AZ1259" s="6"/>
      <c r="BA1259" s="6"/>
      <c r="BB1259" s="6"/>
      <c r="BC1259" s="6"/>
      <c r="BD1259" s="6"/>
      <c r="BE1259" s="6"/>
      <c r="BF1259" s="6"/>
      <c r="BG1259" s="6"/>
      <c r="BH1259" s="6"/>
      <c r="BI1259" s="6"/>
      <c r="BJ1259" s="6"/>
      <c r="BK1259" s="6"/>
      <c r="BL1259" s="6"/>
      <c r="BM1259" s="6"/>
      <c r="BN1259" s="6"/>
      <c r="BO1259" s="6"/>
      <c r="BP1259" s="6"/>
      <c r="BQ1259" s="6"/>
      <c r="BR1259" s="6"/>
      <c r="BS1259" s="6"/>
      <c r="BT1259" s="6"/>
      <c r="BU1259" s="6"/>
      <c r="BV1259" s="6"/>
      <c r="BW1259" s="6"/>
      <c r="BX1259" s="6"/>
      <c r="BY1259" s="6"/>
      <c r="BZ1259" s="6"/>
      <c r="CA1259" s="6"/>
      <c r="CB1259" s="6"/>
      <c r="CC1259" s="6"/>
    </row>
    <row r="1260" spans="2:81" x14ac:dyDescent="0.2">
      <c r="B1260" s="68"/>
      <c r="C1260" s="69"/>
      <c r="D1260" s="70"/>
      <c r="F1260" s="68"/>
      <c r="G1260" s="69"/>
      <c r="H1260" s="70"/>
      <c r="J1260" s="71"/>
      <c r="K1260" s="71"/>
      <c r="L1260" s="67"/>
      <c r="N1260" s="71"/>
      <c r="O1260" s="71"/>
      <c r="P1260" s="67"/>
      <c r="R1260" s="67"/>
      <c r="S1260" s="6"/>
      <c r="T1260" s="6"/>
      <c r="U1260" s="6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  <c r="AG1260" s="6"/>
      <c r="AH1260" s="6"/>
      <c r="AI1260" s="6"/>
      <c r="AJ1260" s="6"/>
      <c r="AK1260" s="6"/>
      <c r="AL1260" s="6"/>
      <c r="AM1260" s="6"/>
      <c r="AN1260" s="6"/>
      <c r="AO1260" s="6"/>
      <c r="AP1260" s="6"/>
      <c r="AQ1260" s="6"/>
      <c r="AR1260" s="6"/>
      <c r="AS1260" s="6"/>
      <c r="AT1260" s="6"/>
      <c r="AU1260" s="6"/>
      <c r="AV1260" s="6"/>
      <c r="AW1260" s="6"/>
      <c r="AX1260" s="6"/>
      <c r="AY1260" s="6"/>
      <c r="AZ1260" s="6"/>
      <c r="BA1260" s="6"/>
      <c r="BB1260" s="6"/>
      <c r="BC1260" s="6"/>
      <c r="BD1260" s="6"/>
      <c r="BE1260" s="6"/>
      <c r="BF1260" s="6"/>
      <c r="BG1260" s="6"/>
      <c r="BH1260" s="6"/>
      <c r="BI1260" s="6"/>
      <c r="BJ1260" s="6"/>
      <c r="BK1260" s="6"/>
      <c r="BL1260" s="6"/>
      <c r="BM1260" s="6"/>
      <c r="BN1260" s="6"/>
      <c r="BO1260" s="6"/>
      <c r="BP1260" s="6"/>
      <c r="BQ1260" s="6"/>
      <c r="BR1260" s="6"/>
      <c r="BS1260" s="6"/>
      <c r="BT1260" s="6"/>
      <c r="BU1260" s="6"/>
      <c r="BV1260" s="6"/>
      <c r="BW1260" s="6"/>
      <c r="BX1260" s="6"/>
      <c r="BY1260" s="6"/>
      <c r="BZ1260" s="6"/>
      <c r="CA1260" s="6"/>
      <c r="CB1260" s="6"/>
      <c r="CC1260" s="6"/>
    </row>
    <row r="1261" spans="2:81" x14ac:dyDescent="0.2">
      <c r="B1261" s="68"/>
      <c r="C1261" s="69"/>
      <c r="D1261" s="70"/>
      <c r="F1261" s="68"/>
      <c r="G1261" s="69"/>
      <c r="H1261" s="70"/>
      <c r="J1261" s="71"/>
      <c r="K1261" s="71"/>
      <c r="L1261" s="67"/>
      <c r="N1261" s="71"/>
      <c r="O1261" s="71"/>
      <c r="P1261" s="67"/>
      <c r="R1261" s="67"/>
      <c r="S1261" s="6"/>
      <c r="T1261" s="6"/>
      <c r="U1261" s="6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  <c r="AG1261" s="6"/>
      <c r="AH1261" s="6"/>
      <c r="AI1261" s="6"/>
      <c r="AJ1261" s="6"/>
      <c r="AK1261" s="6"/>
      <c r="AL1261" s="6"/>
      <c r="AM1261" s="6"/>
      <c r="AN1261" s="6"/>
      <c r="AO1261" s="6"/>
      <c r="AP1261" s="6"/>
      <c r="AQ1261" s="6"/>
      <c r="AR1261" s="6"/>
      <c r="AS1261" s="6"/>
      <c r="AT1261" s="6"/>
      <c r="AU1261" s="6"/>
      <c r="AV1261" s="6"/>
      <c r="AW1261" s="6"/>
      <c r="AX1261" s="6"/>
      <c r="AY1261" s="6"/>
      <c r="AZ1261" s="6"/>
      <c r="BA1261" s="6"/>
      <c r="BB1261" s="6"/>
      <c r="BC1261" s="6"/>
      <c r="BD1261" s="6"/>
      <c r="BE1261" s="6"/>
      <c r="BF1261" s="6"/>
      <c r="BG1261" s="6"/>
      <c r="BH1261" s="6"/>
      <c r="BI1261" s="6"/>
      <c r="BJ1261" s="6"/>
      <c r="BK1261" s="6"/>
      <c r="BL1261" s="6"/>
      <c r="BM1261" s="6"/>
      <c r="BN1261" s="6"/>
      <c r="BO1261" s="6"/>
      <c r="BP1261" s="6"/>
      <c r="BQ1261" s="6"/>
      <c r="BR1261" s="6"/>
      <c r="BS1261" s="6"/>
      <c r="BT1261" s="6"/>
      <c r="BU1261" s="6"/>
      <c r="BV1261" s="6"/>
      <c r="BW1261" s="6"/>
      <c r="BX1261" s="6"/>
      <c r="BY1261" s="6"/>
      <c r="BZ1261" s="6"/>
      <c r="CA1261" s="6"/>
      <c r="CB1261" s="6"/>
      <c r="CC1261" s="6"/>
    </row>
    <row r="1262" spans="2:81" x14ac:dyDescent="0.2">
      <c r="B1262" s="68"/>
      <c r="C1262" s="69"/>
      <c r="D1262" s="70"/>
      <c r="F1262" s="68"/>
      <c r="G1262" s="69"/>
      <c r="H1262" s="70"/>
      <c r="J1262" s="71"/>
      <c r="K1262" s="71"/>
      <c r="L1262" s="67"/>
      <c r="N1262" s="71"/>
      <c r="O1262" s="71"/>
      <c r="P1262" s="67"/>
      <c r="R1262" s="67"/>
      <c r="S1262" s="6"/>
      <c r="T1262" s="6"/>
      <c r="U1262" s="6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  <c r="AG1262" s="6"/>
      <c r="AH1262" s="6"/>
      <c r="AI1262" s="6"/>
      <c r="AJ1262" s="6"/>
      <c r="AK1262" s="6"/>
      <c r="AL1262" s="6"/>
      <c r="AM1262" s="6"/>
      <c r="AN1262" s="6"/>
      <c r="AO1262" s="6"/>
      <c r="AP1262" s="6"/>
      <c r="AQ1262" s="6"/>
      <c r="AR1262" s="6"/>
      <c r="AS1262" s="6"/>
      <c r="AT1262" s="6"/>
      <c r="AU1262" s="6"/>
      <c r="AV1262" s="6"/>
      <c r="AW1262" s="6"/>
      <c r="AX1262" s="6"/>
      <c r="AY1262" s="6"/>
      <c r="AZ1262" s="6"/>
      <c r="BA1262" s="6"/>
      <c r="BB1262" s="6"/>
      <c r="BC1262" s="6"/>
      <c r="BD1262" s="6"/>
      <c r="BE1262" s="6"/>
      <c r="BF1262" s="6"/>
      <c r="BG1262" s="6"/>
      <c r="BH1262" s="6"/>
      <c r="BI1262" s="6"/>
      <c r="BJ1262" s="6"/>
      <c r="BK1262" s="6"/>
      <c r="BL1262" s="6"/>
      <c r="BM1262" s="6"/>
      <c r="BN1262" s="6"/>
      <c r="BO1262" s="6"/>
      <c r="BP1262" s="6"/>
      <c r="BQ1262" s="6"/>
      <c r="BR1262" s="6"/>
      <c r="BS1262" s="6"/>
      <c r="BT1262" s="6"/>
      <c r="BU1262" s="6"/>
      <c r="BV1262" s="6"/>
      <c r="BW1262" s="6"/>
      <c r="BX1262" s="6"/>
      <c r="BY1262" s="6"/>
      <c r="BZ1262" s="6"/>
      <c r="CA1262" s="6"/>
      <c r="CB1262" s="6"/>
      <c r="CC1262" s="6"/>
    </row>
    <row r="1263" spans="2:81" x14ac:dyDescent="0.2">
      <c r="B1263" s="68"/>
      <c r="C1263" s="69"/>
      <c r="D1263" s="70"/>
      <c r="F1263" s="68"/>
      <c r="G1263" s="69"/>
      <c r="H1263" s="70"/>
      <c r="J1263" s="71"/>
      <c r="K1263" s="71"/>
      <c r="L1263" s="67"/>
      <c r="N1263" s="71"/>
      <c r="O1263" s="71"/>
      <c r="P1263" s="67"/>
      <c r="R1263" s="67"/>
      <c r="S1263" s="6"/>
      <c r="T1263" s="6"/>
      <c r="U1263" s="6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  <c r="AG1263" s="6"/>
      <c r="AH1263" s="6"/>
      <c r="AI1263" s="6"/>
      <c r="AJ1263" s="6"/>
      <c r="AK1263" s="6"/>
      <c r="AL1263" s="6"/>
      <c r="AM1263" s="6"/>
      <c r="AN1263" s="6"/>
      <c r="AO1263" s="6"/>
      <c r="AP1263" s="6"/>
      <c r="AQ1263" s="6"/>
      <c r="AR1263" s="6"/>
      <c r="AS1263" s="6"/>
      <c r="AT1263" s="6"/>
      <c r="AU1263" s="6"/>
      <c r="AV1263" s="6"/>
      <c r="AW1263" s="6"/>
      <c r="AX1263" s="6"/>
      <c r="AY1263" s="6"/>
      <c r="AZ1263" s="6"/>
      <c r="BA1263" s="6"/>
      <c r="BB1263" s="6"/>
      <c r="BC1263" s="6"/>
      <c r="BD1263" s="6"/>
      <c r="BE1263" s="6"/>
      <c r="BF1263" s="6"/>
      <c r="BG1263" s="6"/>
      <c r="BH1263" s="6"/>
      <c r="BI1263" s="6"/>
      <c r="BJ1263" s="6"/>
      <c r="BK1263" s="6"/>
      <c r="BL1263" s="6"/>
      <c r="BM1263" s="6"/>
      <c r="BN1263" s="6"/>
      <c r="BO1263" s="6"/>
      <c r="BP1263" s="6"/>
      <c r="BQ1263" s="6"/>
      <c r="BR1263" s="6"/>
      <c r="BS1263" s="6"/>
      <c r="BT1263" s="6"/>
      <c r="BU1263" s="6"/>
      <c r="BV1263" s="6"/>
      <c r="BW1263" s="6"/>
      <c r="BX1263" s="6"/>
      <c r="BY1263" s="6"/>
      <c r="BZ1263" s="6"/>
      <c r="CA1263" s="6"/>
      <c r="CB1263" s="6"/>
      <c r="CC1263" s="6"/>
    </row>
    <row r="1264" spans="2:81" x14ac:dyDescent="0.2">
      <c r="B1264" s="68"/>
      <c r="C1264" s="69"/>
      <c r="D1264" s="70"/>
      <c r="F1264" s="68"/>
      <c r="G1264" s="69"/>
      <c r="H1264" s="70"/>
      <c r="J1264" s="71"/>
      <c r="K1264" s="71"/>
      <c r="L1264" s="67"/>
      <c r="N1264" s="71"/>
      <c r="O1264" s="71"/>
      <c r="P1264" s="67"/>
      <c r="R1264" s="67"/>
      <c r="S1264" s="6"/>
      <c r="T1264" s="6"/>
      <c r="U1264" s="6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  <c r="AG1264" s="6"/>
      <c r="AH1264" s="6"/>
      <c r="AI1264" s="6"/>
      <c r="AJ1264" s="6"/>
      <c r="AK1264" s="6"/>
      <c r="AL1264" s="6"/>
      <c r="AM1264" s="6"/>
      <c r="AN1264" s="6"/>
      <c r="AO1264" s="6"/>
      <c r="AP1264" s="6"/>
      <c r="AQ1264" s="6"/>
      <c r="AR1264" s="6"/>
      <c r="AS1264" s="6"/>
      <c r="AT1264" s="6"/>
      <c r="AU1264" s="6"/>
      <c r="AV1264" s="6"/>
      <c r="AW1264" s="6"/>
      <c r="AX1264" s="6"/>
      <c r="AY1264" s="6"/>
      <c r="AZ1264" s="6"/>
      <c r="BA1264" s="6"/>
      <c r="BB1264" s="6"/>
      <c r="BC1264" s="6"/>
      <c r="BD1264" s="6"/>
      <c r="BE1264" s="6"/>
      <c r="BF1264" s="6"/>
      <c r="BG1264" s="6"/>
      <c r="BH1264" s="6"/>
      <c r="BI1264" s="6"/>
      <c r="BJ1264" s="6"/>
      <c r="BK1264" s="6"/>
      <c r="BL1264" s="6"/>
      <c r="BM1264" s="6"/>
      <c r="BN1264" s="6"/>
      <c r="BO1264" s="6"/>
      <c r="BP1264" s="6"/>
      <c r="BQ1264" s="6"/>
      <c r="BR1264" s="6"/>
      <c r="BS1264" s="6"/>
      <c r="BT1264" s="6"/>
      <c r="BU1264" s="6"/>
      <c r="BV1264" s="6"/>
      <c r="BW1264" s="6"/>
      <c r="BX1264" s="6"/>
      <c r="BY1264" s="6"/>
      <c r="BZ1264" s="6"/>
      <c r="CA1264" s="6"/>
      <c r="CB1264" s="6"/>
      <c r="CC1264" s="6"/>
    </row>
    <row r="1265" spans="2:81" x14ac:dyDescent="0.2">
      <c r="B1265" s="68"/>
      <c r="C1265" s="69"/>
      <c r="D1265" s="70"/>
      <c r="F1265" s="68"/>
      <c r="G1265" s="69"/>
      <c r="H1265" s="70"/>
      <c r="J1265" s="71"/>
      <c r="K1265" s="71"/>
      <c r="L1265" s="67"/>
      <c r="N1265" s="71"/>
      <c r="O1265" s="71"/>
      <c r="P1265" s="67"/>
      <c r="R1265" s="67"/>
      <c r="S1265" s="6"/>
      <c r="T1265" s="6"/>
      <c r="U1265" s="6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  <c r="AG1265" s="6"/>
      <c r="AH1265" s="6"/>
      <c r="AI1265" s="6"/>
      <c r="AJ1265" s="6"/>
      <c r="AK1265" s="6"/>
      <c r="AL1265" s="6"/>
      <c r="AM1265" s="6"/>
      <c r="AN1265" s="6"/>
      <c r="AO1265" s="6"/>
      <c r="AP1265" s="6"/>
      <c r="AQ1265" s="6"/>
      <c r="AR1265" s="6"/>
      <c r="AS1265" s="6"/>
      <c r="AT1265" s="6"/>
      <c r="AU1265" s="6"/>
      <c r="AV1265" s="6"/>
      <c r="AW1265" s="6"/>
      <c r="AX1265" s="6"/>
      <c r="AY1265" s="6"/>
      <c r="AZ1265" s="6"/>
      <c r="BA1265" s="6"/>
      <c r="BB1265" s="6"/>
      <c r="BC1265" s="6"/>
      <c r="BD1265" s="6"/>
      <c r="BE1265" s="6"/>
      <c r="BF1265" s="6"/>
      <c r="BG1265" s="6"/>
      <c r="BH1265" s="6"/>
      <c r="BI1265" s="6"/>
      <c r="BJ1265" s="6"/>
      <c r="BK1265" s="6"/>
      <c r="BL1265" s="6"/>
      <c r="BM1265" s="6"/>
      <c r="BN1265" s="6"/>
      <c r="BO1265" s="6"/>
      <c r="BP1265" s="6"/>
      <c r="BQ1265" s="6"/>
      <c r="BR1265" s="6"/>
      <c r="BS1265" s="6"/>
      <c r="BT1265" s="6"/>
      <c r="BU1265" s="6"/>
      <c r="BV1265" s="6"/>
      <c r="BW1265" s="6"/>
      <c r="BX1265" s="6"/>
      <c r="BY1265" s="6"/>
      <c r="BZ1265" s="6"/>
      <c r="CA1265" s="6"/>
      <c r="CB1265" s="6"/>
      <c r="CC1265" s="6"/>
    </row>
    <row r="1266" spans="2:81" x14ac:dyDescent="0.2">
      <c r="B1266" s="68"/>
      <c r="C1266" s="69"/>
      <c r="D1266" s="70"/>
      <c r="F1266" s="68"/>
      <c r="G1266" s="69"/>
      <c r="H1266" s="70"/>
      <c r="J1266" s="71"/>
      <c r="K1266" s="71"/>
      <c r="L1266" s="67"/>
      <c r="N1266" s="71"/>
      <c r="O1266" s="71"/>
      <c r="P1266" s="67"/>
      <c r="R1266" s="67"/>
      <c r="S1266" s="6"/>
      <c r="T1266" s="6"/>
      <c r="U1266" s="6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  <c r="AG1266" s="6"/>
      <c r="AH1266" s="6"/>
      <c r="AI1266" s="6"/>
      <c r="AJ1266" s="6"/>
      <c r="AK1266" s="6"/>
      <c r="AL1266" s="6"/>
      <c r="AM1266" s="6"/>
      <c r="AN1266" s="6"/>
      <c r="AO1266" s="6"/>
      <c r="AP1266" s="6"/>
      <c r="AQ1266" s="6"/>
      <c r="AR1266" s="6"/>
      <c r="AS1266" s="6"/>
      <c r="AT1266" s="6"/>
      <c r="AU1266" s="6"/>
      <c r="AV1266" s="6"/>
      <c r="AW1266" s="6"/>
      <c r="AX1266" s="6"/>
      <c r="AY1266" s="6"/>
      <c r="AZ1266" s="6"/>
      <c r="BA1266" s="6"/>
      <c r="BB1266" s="6"/>
      <c r="BC1266" s="6"/>
      <c r="BD1266" s="6"/>
      <c r="BE1266" s="6"/>
      <c r="BF1266" s="6"/>
      <c r="BG1266" s="6"/>
      <c r="BH1266" s="6"/>
      <c r="BI1266" s="6"/>
      <c r="BJ1266" s="6"/>
      <c r="BK1266" s="6"/>
      <c r="BL1266" s="6"/>
      <c r="BM1266" s="6"/>
      <c r="BN1266" s="6"/>
      <c r="BO1266" s="6"/>
      <c r="BP1266" s="6"/>
      <c r="BQ1266" s="6"/>
      <c r="BR1266" s="6"/>
      <c r="BS1266" s="6"/>
      <c r="BT1266" s="6"/>
      <c r="BU1266" s="6"/>
      <c r="BV1266" s="6"/>
      <c r="BW1266" s="6"/>
      <c r="BX1266" s="6"/>
      <c r="BY1266" s="6"/>
      <c r="BZ1266" s="6"/>
      <c r="CA1266" s="6"/>
      <c r="CB1266" s="6"/>
      <c r="CC1266" s="6"/>
    </row>
    <row r="1267" spans="2:81" x14ac:dyDescent="0.2">
      <c r="B1267" s="68"/>
      <c r="C1267" s="69"/>
      <c r="D1267" s="70"/>
      <c r="F1267" s="68"/>
      <c r="G1267" s="69"/>
      <c r="H1267" s="70"/>
      <c r="J1267" s="71"/>
      <c r="K1267" s="71"/>
      <c r="L1267" s="67"/>
      <c r="N1267" s="71"/>
      <c r="O1267" s="71"/>
      <c r="P1267" s="67"/>
      <c r="R1267" s="67"/>
      <c r="S1267" s="6"/>
      <c r="T1267" s="6"/>
      <c r="U1267" s="6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  <c r="AG1267" s="6"/>
      <c r="AH1267" s="6"/>
      <c r="AI1267" s="6"/>
      <c r="AJ1267" s="6"/>
      <c r="AK1267" s="6"/>
      <c r="AL1267" s="6"/>
      <c r="AM1267" s="6"/>
      <c r="AN1267" s="6"/>
      <c r="AO1267" s="6"/>
      <c r="AP1267" s="6"/>
      <c r="AQ1267" s="6"/>
      <c r="AR1267" s="6"/>
      <c r="AS1267" s="6"/>
      <c r="AT1267" s="6"/>
      <c r="AU1267" s="6"/>
      <c r="AV1267" s="6"/>
      <c r="AW1267" s="6"/>
      <c r="AX1267" s="6"/>
      <c r="AY1267" s="6"/>
      <c r="AZ1267" s="6"/>
      <c r="BA1267" s="6"/>
      <c r="BB1267" s="6"/>
      <c r="BC1267" s="6"/>
      <c r="BD1267" s="6"/>
      <c r="BE1267" s="6"/>
      <c r="BF1267" s="6"/>
      <c r="BG1267" s="6"/>
      <c r="BH1267" s="6"/>
      <c r="BI1267" s="6"/>
      <c r="BJ1267" s="6"/>
      <c r="BK1267" s="6"/>
      <c r="BL1267" s="6"/>
      <c r="BM1267" s="6"/>
      <c r="BN1267" s="6"/>
      <c r="BO1267" s="6"/>
      <c r="BP1267" s="6"/>
      <c r="BQ1267" s="6"/>
      <c r="BR1267" s="6"/>
      <c r="BS1267" s="6"/>
      <c r="BT1267" s="6"/>
      <c r="BU1267" s="6"/>
      <c r="BV1267" s="6"/>
      <c r="BW1267" s="6"/>
      <c r="BX1267" s="6"/>
      <c r="BY1267" s="6"/>
      <c r="BZ1267" s="6"/>
      <c r="CA1267" s="6"/>
      <c r="CB1267" s="6"/>
      <c r="CC1267" s="6"/>
    </row>
    <row r="1268" spans="2:81" x14ac:dyDescent="0.2">
      <c r="B1268" s="68"/>
      <c r="C1268" s="69"/>
      <c r="D1268" s="70"/>
      <c r="F1268" s="68"/>
      <c r="G1268" s="69"/>
      <c r="H1268" s="70"/>
      <c r="J1268" s="71"/>
      <c r="K1268" s="71"/>
      <c r="L1268" s="67"/>
      <c r="N1268" s="71"/>
      <c r="O1268" s="71"/>
      <c r="P1268" s="67"/>
      <c r="R1268" s="67"/>
      <c r="S1268" s="6"/>
      <c r="T1268" s="6"/>
      <c r="U1268" s="6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  <c r="AG1268" s="6"/>
      <c r="AH1268" s="6"/>
      <c r="AI1268" s="6"/>
      <c r="AJ1268" s="6"/>
      <c r="AK1268" s="6"/>
      <c r="AL1268" s="6"/>
      <c r="AM1268" s="6"/>
      <c r="AN1268" s="6"/>
      <c r="AO1268" s="6"/>
      <c r="AP1268" s="6"/>
      <c r="AQ1268" s="6"/>
      <c r="AR1268" s="6"/>
      <c r="AS1268" s="6"/>
      <c r="AT1268" s="6"/>
      <c r="AU1268" s="6"/>
      <c r="AV1268" s="6"/>
      <c r="AW1268" s="6"/>
      <c r="AX1268" s="6"/>
      <c r="AY1268" s="6"/>
      <c r="AZ1268" s="6"/>
      <c r="BA1268" s="6"/>
      <c r="BB1268" s="6"/>
      <c r="BC1268" s="6"/>
      <c r="BD1268" s="6"/>
      <c r="BE1268" s="6"/>
      <c r="BF1268" s="6"/>
      <c r="BG1268" s="6"/>
      <c r="BH1268" s="6"/>
      <c r="BI1268" s="6"/>
      <c r="BJ1268" s="6"/>
      <c r="BK1268" s="6"/>
      <c r="BL1268" s="6"/>
      <c r="BM1268" s="6"/>
      <c r="BN1268" s="6"/>
      <c r="BO1268" s="6"/>
      <c r="BP1268" s="6"/>
      <c r="BQ1268" s="6"/>
      <c r="BR1268" s="6"/>
      <c r="BS1268" s="6"/>
      <c r="BT1268" s="6"/>
      <c r="BU1268" s="6"/>
      <c r="BV1268" s="6"/>
      <c r="BW1268" s="6"/>
      <c r="BX1268" s="6"/>
      <c r="BY1268" s="6"/>
      <c r="BZ1268" s="6"/>
      <c r="CA1268" s="6"/>
      <c r="CB1268" s="6"/>
      <c r="CC1268" s="6"/>
    </row>
    <row r="1269" spans="2:81" x14ac:dyDescent="0.2">
      <c r="B1269" s="68"/>
      <c r="C1269" s="69"/>
      <c r="D1269" s="70"/>
      <c r="F1269" s="68"/>
      <c r="G1269" s="69"/>
      <c r="H1269" s="70"/>
      <c r="J1269" s="71"/>
      <c r="K1269" s="71"/>
      <c r="L1269" s="67"/>
      <c r="N1269" s="71"/>
      <c r="O1269" s="71"/>
      <c r="P1269" s="67"/>
      <c r="R1269" s="67"/>
      <c r="S1269" s="6"/>
      <c r="T1269" s="6"/>
      <c r="U1269" s="6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  <c r="AG1269" s="6"/>
      <c r="AH1269" s="6"/>
      <c r="AI1269" s="6"/>
      <c r="AJ1269" s="6"/>
      <c r="AK1269" s="6"/>
      <c r="AL1269" s="6"/>
      <c r="AM1269" s="6"/>
      <c r="AN1269" s="6"/>
      <c r="AO1269" s="6"/>
      <c r="AP1269" s="6"/>
      <c r="AQ1269" s="6"/>
      <c r="AR1269" s="6"/>
      <c r="AS1269" s="6"/>
      <c r="AT1269" s="6"/>
      <c r="AU1269" s="6"/>
      <c r="AV1269" s="6"/>
      <c r="AW1269" s="6"/>
      <c r="AX1269" s="6"/>
      <c r="AY1269" s="6"/>
      <c r="AZ1269" s="6"/>
      <c r="BA1269" s="6"/>
      <c r="BB1269" s="6"/>
      <c r="BC1269" s="6"/>
      <c r="BD1269" s="6"/>
      <c r="BE1269" s="6"/>
      <c r="BF1269" s="6"/>
      <c r="BG1269" s="6"/>
      <c r="BH1269" s="6"/>
      <c r="BI1269" s="6"/>
      <c r="BJ1269" s="6"/>
      <c r="BK1269" s="6"/>
      <c r="BL1269" s="6"/>
      <c r="BM1269" s="6"/>
      <c r="BN1269" s="6"/>
      <c r="BO1269" s="6"/>
      <c r="BP1269" s="6"/>
      <c r="BQ1269" s="6"/>
      <c r="BR1269" s="6"/>
      <c r="BS1269" s="6"/>
      <c r="BT1269" s="6"/>
      <c r="BU1269" s="6"/>
      <c r="BV1269" s="6"/>
      <c r="BW1269" s="6"/>
      <c r="BX1269" s="6"/>
      <c r="BY1269" s="6"/>
      <c r="BZ1269" s="6"/>
      <c r="CA1269" s="6"/>
      <c r="CB1269" s="6"/>
      <c r="CC1269" s="6"/>
    </row>
    <row r="1270" spans="2:81" x14ac:dyDescent="0.2">
      <c r="B1270" s="68"/>
      <c r="C1270" s="69"/>
      <c r="D1270" s="70"/>
      <c r="F1270" s="68"/>
      <c r="G1270" s="69"/>
      <c r="H1270" s="70"/>
      <c r="J1270" s="71"/>
      <c r="K1270" s="71"/>
      <c r="L1270" s="67"/>
      <c r="N1270" s="71"/>
      <c r="O1270" s="71"/>
      <c r="P1270" s="67"/>
      <c r="R1270" s="67"/>
      <c r="S1270" s="6"/>
      <c r="T1270" s="6"/>
      <c r="U1270" s="6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  <c r="AG1270" s="6"/>
      <c r="AH1270" s="6"/>
      <c r="AI1270" s="6"/>
      <c r="AJ1270" s="6"/>
      <c r="AK1270" s="6"/>
      <c r="AL1270" s="6"/>
      <c r="AM1270" s="6"/>
      <c r="AN1270" s="6"/>
      <c r="AO1270" s="6"/>
      <c r="AP1270" s="6"/>
      <c r="AQ1270" s="6"/>
      <c r="AR1270" s="6"/>
      <c r="AS1270" s="6"/>
      <c r="AT1270" s="6"/>
      <c r="AU1270" s="6"/>
      <c r="AV1270" s="6"/>
      <c r="AW1270" s="6"/>
      <c r="AX1270" s="6"/>
      <c r="AY1270" s="6"/>
      <c r="AZ1270" s="6"/>
      <c r="BA1270" s="6"/>
      <c r="BB1270" s="6"/>
      <c r="BC1270" s="6"/>
      <c r="BD1270" s="6"/>
      <c r="BE1270" s="6"/>
      <c r="BF1270" s="6"/>
      <c r="BG1270" s="6"/>
      <c r="BH1270" s="6"/>
      <c r="BI1270" s="6"/>
      <c r="BJ1270" s="6"/>
      <c r="BK1270" s="6"/>
      <c r="BL1270" s="6"/>
      <c r="BM1270" s="6"/>
      <c r="BN1270" s="6"/>
      <c r="BO1270" s="6"/>
      <c r="BP1270" s="6"/>
      <c r="BQ1270" s="6"/>
      <c r="BR1270" s="6"/>
      <c r="BS1270" s="6"/>
      <c r="BT1270" s="6"/>
      <c r="BU1270" s="6"/>
      <c r="BV1270" s="6"/>
      <c r="BW1270" s="6"/>
      <c r="BX1270" s="6"/>
      <c r="BY1270" s="6"/>
      <c r="BZ1270" s="6"/>
      <c r="CA1270" s="6"/>
      <c r="CB1270" s="6"/>
      <c r="CC1270" s="6"/>
    </row>
    <row r="1271" spans="2:81" x14ac:dyDescent="0.2">
      <c r="B1271" s="68"/>
      <c r="C1271" s="69"/>
      <c r="D1271" s="70"/>
      <c r="F1271" s="68"/>
      <c r="G1271" s="69"/>
      <c r="H1271" s="70"/>
      <c r="J1271" s="71"/>
      <c r="K1271" s="71"/>
      <c r="L1271" s="67"/>
      <c r="N1271" s="71"/>
      <c r="O1271" s="71"/>
      <c r="P1271" s="67"/>
      <c r="R1271" s="67"/>
      <c r="S1271" s="6"/>
      <c r="T1271" s="6"/>
      <c r="U1271" s="6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  <c r="AG1271" s="6"/>
      <c r="AH1271" s="6"/>
      <c r="AI1271" s="6"/>
      <c r="AJ1271" s="6"/>
      <c r="AK1271" s="6"/>
      <c r="AL1271" s="6"/>
      <c r="AM1271" s="6"/>
      <c r="AN1271" s="6"/>
      <c r="AO1271" s="6"/>
      <c r="AP1271" s="6"/>
      <c r="AQ1271" s="6"/>
      <c r="AR1271" s="6"/>
      <c r="AS1271" s="6"/>
      <c r="AT1271" s="6"/>
      <c r="AU1271" s="6"/>
      <c r="AV1271" s="6"/>
      <c r="AW1271" s="6"/>
      <c r="AX1271" s="6"/>
      <c r="AY1271" s="6"/>
      <c r="AZ1271" s="6"/>
      <c r="BA1271" s="6"/>
      <c r="BB1271" s="6"/>
      <c r="BC1271" s="6"/>
      <c r="BD1271" s="6"/>
      <c r="BE1271" s="6"/>
      <c r="BF1271" s="6"/>
      <c r="BG1271" s="6"/>
      <c r="BH1271" s="6"/>
      <c r="BI1271" s="6"/>
      <c r="BJ1271" s="6"/>
      <c r="BK1271" s="6"/>
      <c r="BL1271" s="6"/>
      <c r="BM1271" s="6"/>
      <c r="BN1271" s="6"/>
      <c r="BO1271" s="6"/>
      <c r="BP1271" s="6"/>
      <c r="BQ1271" s="6"/>
      <c r="BR1271" s="6"/>
      <c r="BS1271" s="6"/>
      <c r="BT1271" s="6"/>
      <c r="BU1271" s="6"/>
      <c r="BV1271" s="6"/>
      <c r="BW1271" s="6"/>
      <c r="BX1271" s="6"/>
      <c r="BY1271" s="6"/>
      <c r="BZ1271" s="6"/>
      <c r="CA1271" s="6"/>
      <c r="CB1271" s="6"/>
      <c r="CC1271" s="6"/>
    </row>
    <row r="1272" spans="2:81" x14ac:dyDescent="0.2">
      <c r="B1272" s="68"/>
      <c r="C1272" s="69"/>
      <c r="D1272" s="70"/>
      <c r="F1272" s="68"/>
      <c r="G1272" s="69"/>
      <c r="H1272" s="70"/>
      <c r="J1272" s="71"/>
      <c r="K1272" s="71"/>
      <c r="L1272" s="67"/>
      <c r="N1272" s="71"/>
      <c r="O1272" s="71"/>
      <c r="P1272" s="67"/>
      <c r="R1272" s="67"/>
      <c r="S1272" s="6"/>
      <c r="T1272" s="6"/>
      <c r="U1272" s="6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  <c r="AG1272" s="6"/>
      <c r="AH1272" s="6"/>
      <c r="AI1272" s="6"/>
      <c r="AJ1272" s="6"/>
      <c r="AK1272" s="6"/>
      <c r="AL1272" s="6"/>
      <c r="AM1272" s="6"/>
      <c r="AN1272" s="6"/>
      <c r="AO1272" s="6"/>
      <c r="AP1272" s="6"/>
      <c r="AQ1272" s="6"/>
      <c r="AR1272" s="6"/>
      <c r="AS1272" s="6"/>
      <c r="AT1272" s="6"/>
      <c r="AU1272" s="6"/>
      <c r="AV1272" s="6"/>
      <c r="AW1272" s="6"/>
      <c r="AX1272" s="6"/>
      <c r="AY1272" s="6"/>
      <c r="AZ1272" s="6"/>
      <c r="BA1272" s="6"/>
      <c r="BB1272" s="6"/>
      <c r="BC1272" s="6"/>
      <c r="BD1272" s="6"/>
      <c r="BE1272" s="6"/>
      <c r="BF1272" s="6"/>
      <c r="BG1272" s="6"/>
      <c r="BH1272" s="6"/>
      <c r="BI1272" s="6"/>
      <c r="BJ1272" s="6"/>
      <c r="BK1272" s="6"/>
      <c r="BL1272" s="6"/>
      <c r="BM1272" s="6"/>
      <c r="BN1272" s="6"/>
      <c r="BO1272" s="6"/>
      <c r="BP1272" s="6"/>
      <c r="BQ1272" s="6"/>
      <c r="BR1272" s="6"/>
      <c r="BS1272" s="6"/>
      <c r="BT1272" s="6"/>
      <c r="BU1272" s="6"/>
      <c r="BV1272" s="6"/>
      <c r="BW1272" s="6"/>
      <c r="BX1272" s="6"/>
      <c r="BY1272" s="6"/>
      <c r="BZ1272" s="6"/>
      <c r="CA1272" s="6"/>
      <c r="CB1272" s="6"/>
      <c r="CC1272" s="6"/>
    </row>
    <row r="1273" spans="2:81" x14ac:dyDescent="0.2">
      <c r="B1273" s="68"/>
      <c r="C1273" s="69"/>
      <c r="D1273" s="70"/>
      <c r="F1273" s="68"/>
      <c r="G1273" s="69"/>
      <c r="H1273" s="70"/>
      <c r="J1273" s="71"/>
      <c r="K1273" s="71"/>
      <c r="L1273" s="67"/>
      <c r="N1273" s="71"/>
      <c r="O1273" s="71"/>
      <c r="P1273" s="67"/>
      <c r="R1273" s="67"/>
      <c r="S1273" s="6"/>
      <c r="T1273" s="6"/>
      <c r="U1273" s="6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  <c r="AG1273" s="6"/>
      <c r="AH1273" s="6"/>
      <c r="AI1273" s="6"/>
      <c r="AJ1273" s="6"/>
      <c r="AK1273" s="6"/>
      <c r="AL1273" s="6"/>
      <c r="AM1273" s="6"/>
      <c r="AN1273" s="6"/>
      <c r="AO1273" s="6"/>
      <c r="AP1273" s="6"/>
      <c r="AQ1273" s="6"/>
      <c r="AR1273" s="6"/>
      <c r="AS1273" s="6"/>
      <c r="AT1273" s="6"/>
      <c r="AU1273" s="6"/>
      <c r="AV1273" s="6"/>
      <c r="AW1273" s="6"/>
      <c r="AX1273" s="6"/>
      <c r="AY1273" s="6"/>
      <c r="AZ1273" s="6"/>
      <c r="BA1273" s="6"/>
      <c r="BB1273" s="6"/>
      <c r="BC1273" s="6"/>
      <c r="BD1273" s="6"/>
      <c r="BE1273" s="6"/>
      <c r="BF1273" s="6"/>
      <c r="BG1273" s="6"/>
      <c r="BH1273" s="6"/>
      <c r="BI1273" s="6"/>
      <c r="BJ1273" s="6"/>
      <c r="BK1273" s="6"/>
      <c r="BL1273" s="6"/>
      <c r="BM1273" s="6"/>
      <c r="BN1273" s="6"/>
      <c r="BO1273" s="6"/>
      <c r="BP1273" s="6"/>
      <c r="BQ1273" s="6"/>
      <c r="BR1273" s="6"/>
      <c r="BS1273" s="6"/>
      <c r="BT1273" s="6"/>
      <c r="BU1273" s="6"/>
      <c r="BV1273" s="6"/>
      <c r="BW1273" s="6"/>
      <c r="BX1273" s="6"/>
      <c r="BY1273" s="6"/>
      <c r="BZ1273" s="6"/>
      <c r="CA1273" s="6"/>
      <c r="CB1273" s="6"/>
      <c r="CC1273" s="6"/>
    </row>
    <row r="1274" spans="2:81" x14ac:dyDescent="0.2">
      <c r="B1274" s="68"/>
      <c r="C1274" s="69"/>
      <c r="D1274" s="70"/>
      <c r="F1274" s="68"/>
      <c r="G1274" s="69"/>
      <c r="H1274" s="70"/>
      <c r="J1274" s="71"/>
      <c r="K1274" s="71"/>
      <c r="L1274" s="67"/>
      <c r="N1274" s="71"/>
      <c r="O1274" s="71"/>
      <c r="P1274" s="67"/>
      <c r="R1274" s="67"/>
      <c r="S1274" s="6"/>
      <c r="T1274" s="6"/>
      <c r="U1274" s="6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  <c r="AG1274" s="6"/>
      <c r="AH1274" s="6"/>
      <c r="AI1274" s="6"/>
      <c r="AJ1274" s="6"/>
      <c r="AK1274" s="6"/>
      <c r="AL1274" s="6"/>
      <c r="AM1274" s="6"/>
      <c r="AN1274" s="6"/>
      <c r="AO1274" s="6"/>
      <c r="AP1274" s="6"/>
      <c r="AQ1274" s="6"/>
      <c r="AR1274" s="6"/>
      <c r="AS1274" s="6"/>
      <c r="AT1274" s="6"/>
      <c r="AU1274" s="6"/>
      <c r="AV1274" s="6"/>
      <c r="AW1274" s="6"/>
      <c r="AX1274" s="6"/>
      <c r="AY1274" s="6"/>
      <c r="AZ1274" s="6"/>
      <c r="BA1274" s="6"/>
      <c r="BB1274" s="6"/>
      <c r="BC1274" s="6"/>
      <c r="BD1274" s="6"/>
      <c r="BE1274" s="6"/>
      <c r="BF1274" s="6"/>
      <c r="BG1274" s="6"/>
      <c r="BH1274" s="6"/>
      <c r="BI1274" s="6"/>
      <c r="BJ1274" s="6"/>
      <c r="BK1274" s="6"/>
      <c r="BL1274" s="6"/>
      <c r="BM1274" s="6"/>
      <c r="BN1274" s="6"/>
      <c r="BO1274" s="6"/>
      <c r="BP1274" s="6"/>
      <c r="BQ1274" s="6"/>
      <c r="BR1274" s="6"/>
      <c r="BS1274" s="6"/>
      <c r="BT1274" s="6"/>
      <c r="BU1274" s="6"/>
      <c r="BV1274" s="6"/>
      <c r="BW1274" s="6"/>
      <c r="BX1274" s="6"/>
      <c r="BY1274" s="6"/>
      <c r="BZ1274" s="6"/>
      <c r="CA1274" s="6"/>
      <c r="CB1274" s="6"/>
      <c r="CC1274" s="6"/>
    </row>
    <row r="1275" spans="2:81" x14ac:dyDescent="0.2">
      <c r="B1275" s="68"/>
      <c r="C1275" s="69"/>
      <c r="D1275" s="70"/>
      <c r="F1275" s="68"/>
      <c r="G1275" s="69"/>
      <c r="H1275" s="70"/>
      <c r="J1275" s="71"/>
      <c r="K1275" s="71"/>
      <c r="L1275" s="67"/>
      <c r="N1275" s="71"/>
      <c r="O1275" s="71"/>
      <c r="P1275" s="67"/>
      <c r="R1275" s="67"/>
      <c r="S1275" s="6"/>
      <c r="T1275" s="6"/>
      <c r="U1275" s="6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  <c r="AG1275" s="6"/>
      <c r="AH1275" s="6"/>
      <c r="AI1275" s="6"/>
      <c r="AJ1275" s="6"/>
      <c r="AK1275" s="6"/>
      <c r="AL1275" s="6"/>
      <c r="AM1275" s="6"/>
      <c r="AN1275" s="6"/>
      <c r="AO1275" s="6"/>
      <c r="AP1275" s="6"/>
      <c r="AQ1275" s="6"/>
      <c r="AR1275" s="6"/>
      <c r="AS1275" s="6"/>
      <c r="AT1275" s="6"/>
      <c r="AU1275" s="6"/>
      <c r="AV1275" s="6"/>
      <c r="AW1275" s="6"/>
      <c r="AX1275" s="6"/>
      <c r="AY1275" s="6"/>
      <c r="AZ1275" s="6"/>
      <c r="BA1275" s="6"/>
      <c r="BB1275" s="6"/>
      <c r="BC1275" s="6"/>
      <c r="BD1275" s="6"/>
      <c r="BE1275" s="6"/>
      <c r="BF1275" s="6"/>
      <c r="BG1275" s="6"/>
      <c r="BH1275" s="6"/>
      <c r="BI1275" s="6"/>
      <c r="BJ1275" s="6"/>
      <c r="BK1275" s="6"/>
      <c r="BL1275" s="6"/>
      <c r="BM1275" s="6"/>
      <c r="BN1275" s="6"/>
      <c r="BO1275" s="6"/>
      <c r="BP1275" s="6"/>
      <c r="BQ1275" s="6"/>
      <c r="BR1275" s="6"/>
      <c r="BS1275" s="6"/>
      <c r="BT1275" s="6"/>
      <c r="BU1275" s="6"/>
      <c r="BV1275" s="6"/>
      <c r="BW1275" s="6"/>
      <c r="BX1275" s="6"/>
      <c r="BY1275" s="6"/>
      <c r="BZ1275" s="6"/>
      <c r="CA1275" s="6"/>
      <c r="CB1275" s="6"/>
      <c r="CC1275" s="6"/>
    </row>
    <row r="1276" spans="2:81" x14ac:dyDescent="0.2">
      <c r="B1276" s="68"/>
      <c r="C1276" s="69"/>
      <c r="D1276" s="70"/>
      <c r="F1276" s="68"/>
      <c r="G1276" s="69"/>
      <c r="H1276" s="70"/>
      <c r="J1276" s="71"/>
      <c r="K1276" s="71"/>
      <c r="L1276" s="67"/>
      <c r="N1276" s="71"/>
      <c r="O1276" s="71"/>
      <c r="P1276" s="67"/>
      <c r="R1276" s="67"/>
      <c r="S1276" s="6"/>
      <c r="T1276" s="6"/>
      <c r="U1276" s="6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  <c r="AG1276" s="6"/>
      <c r="AH1276" s="6"/>
      <c r="AI1276" s="6"/>
      <c r="AJ1276" s="6"/>
      <c r="AK1276" s="6"/>
      <c r="AL1276" s="6"/>
      <c r="AM1276" s="6"/>
      <c r="AN1276" s="6"/>
      <c r="AO1276" s="6"/>
      <c r="AP1276" s="6"/>
      <c r="AQ1276" s="6"/>
      <c r="AR1276" s="6"/>
      <c r="AS1276" s="6"/>
      <c r="AT1276" s="6"/>
      <c r="AU1276" s="6"/>
      <c r="AV1276" s="6"/>
      <c r="AW1276" s="6"/>
      <c r="AX1276" s="6"/>
      <c r="AY1276" s="6"/>
      <c r="AZ1276" s="6"/>
      <c r="BA1276" s="6"/>
      <c r="BB1276" s="6"/>
      <c r="BC1276" s="6"/>
      <c r="BD1276" s="6"/>
      <c r="BE1276" s="6"/>
      <c r="BF1276" s="6"/>
      <c r="BG1276" s="6"/>
      <c r="BH1276" s="6"/>
      <c r="BI1276" s="6"/>
      <c r="BJ1276" s="6"/>
      <c r="BK1276" s="6"/>
      <c r="BL1276" s="6"/>
      <c r="BM1276" s="6"/>
      <c r="BN1276" s="6"/>
      <c r="BO1276" s="6"/>
      <c r="BP1276" s="6"/>
      <c r="BQ1276" s="6"/>
      <c r="BR1276" s="6"/>
      <c r="BS1276" s="6"/>
      <c r="BT1276" s="6"/>
      <c r="BU1276" s="6"/>
      <c r="BV1276" s="6"/>
      <c r="BW1276" s="6"/>
      <c r="BX1276" s="6"/>
      <c r="BY1276" s="6"/>
      <c r="BZ1276" s="6"/>
      <c r="CA1276" s="6"/>
      <c r="CB1276" s="6"/>
      <c r="CC1276" s="6"/>
    </row>
    <row r="1277" spans="2:81" x14ac:dyDescent="0.2">
      <c r="B1277" s="68"/>
      <c r="C1277" s="69"/>
      <c r="D1277" s="70"/>
      <c r="F1277" s="68"/>
      <c r="G1277" s="69"/>
      <c r="H1277" s="70"/>
      <c r="J1277" s="71"/>
      <c r="K1277" s="71"/>
      <c r="L1277" s="67"/>
      <c r="N1277" s="71"/>
      <c r="O1277" s="71"/>
      <c r="P1277" s="67"/>
      <c r="R1277" s="67"/>
      <c r="S1277" s="6"/>
      <c r="T1277" s="6"/>
      <c r="U1277" s="6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  <c r="AG1277" s="6"/>
      <c r="AH1277" s="6"/>
      <c r="AI1277" s="6"/>
      <c r="AJ1277" s="6"/>
      <c r="AK1277" s="6"/>
      <c r="AL1277" s="6"/>
      <c r="AM1277" s="6"/>
      <c r="AN1277" s="6"/>
      <c r="AO1277" s="6"/>
      <c r="AP1277" s="6"/>
      <c r="AQ1277" s="6"/>
      <c r="AR1277" s="6"/>
      <c r="AS1277" s="6"/>
      <c r="AT1277" s="6"/>
      <c r="AU1277" s="6"/>
      <c r="AV1277" s="6"/>
      <c r="AW1277" s="6"/>
      <c r="AX1277" s="6"/>
      <c r="AY1277" s="6"/>
      <c r="AZ1277" s="6"/>
      <c r="BA1277" s="6"/>
      <c r="BB1277" s="6"/>
      <c r="BC1277" s="6"/>
      <c r="BD1277" s="6"/>
      <c r="BE1277" s="6"/>
      <c r="BF1277" s="6"/>
      <c r="BG1277" s="6"/>
      <c r="BH1277" s="6"/>
      <c r="BI1277" s="6"/>
      <c r="BJ1277" s="6"/>
      <c r="BK1277" s="6"/>
      <c r="BL1277" s="6"/>
      <c r="BM1277" s="6"/>
      <c r="BN1277" s="6"/>
      <c r="BO1277" s="6"/>
      <c r="BP1277" s="6"/>
      <c r="BQ1277" s="6"/>
      <c r="BR1277" s="6"/>
      <c r="BS1277" s="6"/>
      <c r="BT1277" s="6"/>
      <c r="BU1277" s="6"/>
      <c r="BV1277" s="6"/>
      <c r="BW1277" s="6"/>
      <c r="BX1277" s="6"/>
      <c r="BY1277" s="6"/>
      <c r="BZ1277" s="6"/>
      <c r="CA1277" s="6"/>
      <c r="CB1277" s="6"/>
      <c r="CC1277" s="6"/>
    </row>
    <row r="1278" spans="2:81" x14ac:dyDescent="0.2">
      <c r="B1278" s="68"/>
      <c r="C1278" s="69"/>
      <c r="D1278" s="70"/>
      <c r="F1278" s="68"/>
      <c r="G1278" s="69"/>
      <c r="H1278" s="70"/>
      <c r="J1278" s="71"/>
      <c r="K1278" s="71"/>
      <c r="L1278" s="67"/>
      <c r="N1278" s="71"/>
      <c r="O1278" s="71"/>
      <c r="P1278" s="67"/>
      <c r="R1278" s="67"/>
      <c r="S1278" s="6"/>
      <c r="T1278" s="6"/>
      <c r="U1278" s="6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  <c r="AG1278" s="6"/>
      <c r="AH1278" s="6"/>
      <c r="AI1278" s="6"/>
      <c r="AJ1278" s="6"/>
      <c r="AK1278" s="6"/>
      <c r="AL1278" s="6"/>
      <c r="AM1278" s="6"/>
      <c r="AN1278" s="6"/>
      <c r="AO1278" s="6"/>
      <c r="AP1278" s="6"/>
      <c r="AQ1278" s="6"/>
      <c r="AR1278" s="6"/>
      <c r="AS1278" s="6"/>
      <c r="AT1278" s="6"/>
      <c r="AU1278" s="6"/>
      <c r="AV1278" s="6"/>
      <c r="AW1278" s="6"/>
      <c r="AX1278" s="6"/>
      <c r="AY1278" s="6"/>
      <c r="AZ1278" s="6"/>
      <c r="BA1278" s="6"/>
      <c r="BB1278" s="6"/>
      <c r="BC1278" s="6"/>
      <c r="BD1278" s="6"/>
      <c r="BE1278" s="6"/>
      <c r="BF1278" s="6"/>
      <c r="BG1278" s="6"/>
      <c r="BH1278" s="6"/>
      <c r="BI1278" s="6"/>
      <c r="BJ1278" s="6"/>
      <c r="BK1278" s="6"/>
      <c r="BL1278" s="6"/>
      <c r="BM1278" s="6"/>
      <c r="BN1278" s="6"/>
      <c r="BO1278" s="6"/>
      <c r="BP1278" s="6"/>
      <c r="BQ1278" s="6"/>
      <c r="BR1278" s="6"/>
      <c r="BS1278" s="6"/>
      <c r="BT1278" s="6"/>
      <c r="BU1278" s="6"/>
      <c r="BV1278" s="6"/>
      <c r="BW1278" s="6"/>
      <c r="BX1278" s="6"/>
      <c r="BY1278" s="6"/>
      <c r="BZ1278" s="6"/>
      <c r="CA1278" s="6"/>
      <c r="CB1278" s="6"/>
      <c r="CC1278" s="6"/>
    </row>
    <row r="1279" spans="2:81" x14ac:dyDescent="0.2">
      <c r="B1279" s="68"/>
      <c r="C1279" s="69"/>
      <c r="D1279" s="70"/>
      <c r="F1279" s="68"/>
      <c r="G1279" s="69"/>
      <c r="H1279" s="70"/>
      <c r="J1279" s="71"/>
      <c r="K1279" s="71"/>
      <c r="L1279" s="67"/>
      <c r="N1279" s="71"/>
      <c r="O1279" s="71"/>
      <c r="P1279" s="67"/>
      <c r="R1279" s="67"/>
      <c r="S1279" s="6"/>
      <c r="T1279" s="6"/>
      <c r="U1279" s="6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  <c r="AG1279" s="6"/>
      <c r="AH1279" s="6"/>
      <c r="AI1279" s="6"/>
      <c r="AJ1279" s="6"/>
      <c r="AK1279" s="6"/>
      <c r="AL1279" s="6"/>
      <c r="AM1279" s="6"/>
      <c r="AN1279" s="6"/>
      <c r="AO1279" s="6"/>
      <c r="AP1279" s="6"/>
      <c r="AQ1279" s="6"/>
      <c r="AR1279" s="6"/>
      <c r="AS1279" s="6"/>
      <c r="AT1279" s="6"/>
      <c r="AU1279" s="6"/>
      <c r="AV1279" s="6"/>
      <c r="AW1279" s="6"/>
      <c r="AX1279" s="6"/>
      <c r="AY1279" s="6"/>
      <c r="AZ1279" s="6"/>
      <c r="BA1279" s="6"/>
      <c r="BB1279" s="6"/>
      <c r="BC1279" s="6"/>
      <c r="BD1279" s="6"/>
      <c r="BE1279" s="6"/>
      <c r="BF1279" s="6"/>
      <c r="BG1279" s="6"/>
      <c r="BH1279" s="6"/>
      <c r="BI1279" s="6"/>
      <c r="BJ1279" s="6"/>
      <c r="BK1279" s="6"/>
      <c r="BL1279" s="6"/>
      <c r="BM1279" s="6"/>
      <c r="BN1279" s="6"/>
      <c r="BO1279" s="6"/>
      <c r="BP1279" s="6"/>
      <c r="BQ1279" s="6"/>
      <c r="BR1279" s="6"/>
      <c r="BS1279" s="6"/>
      <c r="BT1279" s="6"/>
      <c r="BU1279" s="6"/>
      <c r="BV1279" s="6"/>
      <c r="BW1279" s="6"/>
      <c r="BX1279" s="6"/>
      <c r="BY1279" s="6"/>
      <c r="BZ1279" s="6"/>
      <c r="CA1279" s="6"/>
      <c r="CB1279" s="6"/>
      <c r="CC1279" s="6"/>
    </row>
    <row r="1280" spans="2:81" x14ac:dyDescent="0.2">
      <c r="B1280" s="68"/>
      <c r="C1280" s="69"/>
      <c r="D1280" s="70"/>
      <c r="F1280" s="68"/>
      <c r="G1280" s="69"/>
      <c r="H1280" s="70"/>
      <c r="J1280" s="71"/>
      <c r="K1280" s="71"/>
      <c r="L1280" s="67"/>
      <c r="N1280" s="71"/>
      <c r="O1280" s="71"/>
      <c r="P1280" s="67"/>
      <c r="R1280" s="67"/>
      <c r="S1280" s="6"/>
      <c r="T1280" s="6"/>
      <c r="U1280" s="6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  <c r="AG1280" s="6"/>
      <c r="AH1280" s="6"/>
      <c r="AI1280" s="6"/>
      <c r="AJ1280" s="6"/>
      <c r="AK1280" s="6"/>
      <c r="AL1280" s="6"/>
      <c r="AM1280" s="6"/>
      <c r="AN1280" s="6"/>
      <c r="AO1280" s="6"/>
      <c r="AP1280" s="6"/>
      <c r="AQ1280" s="6"/>
      <c r="AR1280" s="6"/>
      <c r="AS1280" s="6"/>
      <c r="AT1280" s="6"/>
      <c r="AU1280" s="6"/>
      <c r="AV1280" s="6"/>
      <c r="AW1280" s="6"/>
      <c r="AX1280" s="6"/>
      <c r="AY1280" s="6"/>
      <c r="AZ1280" s="6"/>
      <c r="BA1280" s="6"/>
      <c r="BB1280" s="6"/>
      <c r="BC1280" s="6"/>
      <c r="BD1280" s="6"/>
      <c r="BE1280" s="6"/>
      <c r="BF1280" s="6"/>
      <c r="BG1280" s="6"/>
      <c r="BH1280" s="6"/>
      <c r="BI1280" s="6"/>
      <c r="BJ1280" s="6"/>
      <c r="BK1280" s="6"/>
      <c r="BL1280" s="6"/>
      <c r="BM1280" s="6"/>
      <c r="BN1280" s="6"/>
      <c r="BO1280" s="6"/>
      <c r="BP1280" s="6"/>
      <c r="BQ1280" s="6"/>
      <c r="BR1280" s="6"/>
      <c r="BS1280" s="6"/>
      <c r="BT1280" s="6"/>
      <c r="BU1280" s="6"/>
      <c r="BV1280" s="6"/>
      <c r="BW1280" s="6"/>
      <c r="BX1280" s="6"/>
      <c r="BY1280" s="6"/>
      <c r="BZ1280" s="6"/>
      <c r="CA1280" s="6"/>
      <c r="CB1280" s="6"/>
      <c r="CC1280" s="6"/>
    </row>
    <row r="1281" spans="2:81" x14ac:dyDescent="0.2">
      <c r="B1281" s="68"/>
      <c r="C1281" s="69"/>
      <c r="D1281" s="70"/>
      <c r="F1281" s="68"/>
      <c r="G1281" s="69"/>
      <c r="H1281" s="70"/>
      <c r="J1281" s="71"/>
      <c r="K1281" s="71"/>
      <c r="L1281" s="67"/>
      <c r="N1281" s="71"/>
      <c r="O1281" s="71"/>
      <c r="P1281" s="67"/>
      <c r="R1281" s="67"/>
      <c r="S1281" s="6"/>
      <c r="T1281" s="6"/>
      <c r="U1281" s="6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  <c r="AG1281" s="6"/>
      <c r="AH1281" s="6"/>
      <c r="AI1281" s="6"/>
      <c r="AJ1281" s="6"/>
      <c r="AK1281" s="6"/>
      <c r="AL1281" s="6"/>
      <c r="AM1281" s="6"/>
      <c r="AN1281" s="6"/>
      <c r="AO1281" s="6"/>
      <c r="AP1281" s="6"/>
      <c r="AQ1281" s="6"/>
      <c r="AR1281" s="6"/>
      <c r="AS1281" s="6"/>
      <c r="AT1281" s="6"/>
      <c r="AU1281" s="6"/>
      <c r="AV1281" s="6"/>
      <c r="AW1281" s="6"/>
      <c r="AX1281" s="6"/>
      <c r="AY1281" s="6"/>
      <c r="AZ1281" s="6"/>
      <c r="BA1281" s="6"/>
      <c r="BB1281" s="6"/>
      <c r="BC1281" s="6"/>
      <c r="BD1281" s="6"/>
      <c r="BE1281" s="6"/>
      <c r="BF1281" s="6"/>
      <c r="BG1281" s="6"/>
      <c r="BH1281" s="6"/>
      <c r="BI1281" s="6"/>
      <c r="BJ1281" s="6"/>
      <c r="BK1281" s="6"/>
      <c r="BL1281" s="6"/>
      <c r="BM1281" s="6"/>
      <c r="BN1281" s="6"/>
      <c r="BO1281" s="6"/>
      <c r="BP1281" s="6"/>
      <c r="BQ1281" s="6"/>
      <c r="BR1281" s="6"/>
      <c r="BS1281" s="6"/>
      <c r="BT1281" s="6"/>
      <c r="BU1281" s="6"/>
      <c r="BV1281" s="6"/>
      <c r="BW1281" s="6"/>
      <c r="BX1281" s="6"/>
      <c r="BY1281" s="6"/>
      <c r="BZ1281" s="6"/>
      <c r="CA1281" s="6"/>
      <c r="CB1281" s="6"/>
      <c r="CC1281" s="6"/>
    </row>
    <row r="1282" spans="2:81" x14ac:dyDescent="0.2">
      <c r="B1282" s="68"/>
      <c r="C1282" s="69"/>
      <c r="D1282" s="70"/>
      <c r="F1282" s="68"/>
      <c r="G1282" s="69"/>
      <c r="H1282" s="70"/>
      <c r="J1282" s="71"/>
      <c r="K1282" s="71"/>
      <c r="L1282" s="67"/>
      <c r="N1282" s="71"/>
      <c r="O1282" s="71"/>
      <c r="P1282" s="67"/>
      <c r="R1282" s="67"/>
      <c r="S1282" s="6"/>
      <c r="T1282" s="6"/>
      <c r="U1282" s="6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  <c r="AG1282" s="6"/>
      <c r="AH1282" s="6"/>
      <c r="AI1282" s="6"/>
      <c r="AJ1282" s="6"/>
      <c r="AK1282" s="6"/>
      <c r="AL1282" s="6"/>
      <c r="AM1282" s="6"/>
      <c r="AN1282" s="6"/>
      <c r="AO1282" s="6"/>
      <c r="AP1282" s="6"/>
      <c r="AQ1282" s="6"/>
      <c r="AR1282" s="6"/>
      <c r="AS1282" s="6"/>
      <c r="AT1282" s="6"/>
      <c r="AU1282" s="6"/>
      <c r="AV1282" s="6"/>
      <c r="AW1282" s="6"/>
      <c r="AX1282" s="6"/>
      <c r="AY1282" s="6"/>
      <c r="AZ1282" s="6"/>
      <c r="BA1282" s="6"/>
      <c r="BB1282" s="6"/>
      <c r="BC1282" s="6"/>
      <c r="BD1282" s="6"/>
      <c r="BE1282" s="6"/>
      <c r="BF1282" s="6"/>
      <c r="BG1282" s="6"/>
      <c r="BH1282" s="6"/>
      <c r="BI1282" s="6"/>
      <c r="BJ1282" s="6"/>
      <c r="BK1282" s="6"/>
      <c r="BL1282" s="6"/>
      <c r="BM1282" s="6"/>
      <c r="BN1282" s="6"/>
      <c r="BO1282" s="6"/>
      <c r="BP1282" s="6"/>
      <c r="BQ1282" s="6"/>
      <c r="BR1282" s="6"/>
      <c r="BS1282" s="6"/>
      <c r="BT1282" s="6"/>
      <c r="BU1282" s="6"/>
      <c r="BV1282" s="6"/>
      <c r="BW1282" s="6"/>
      <c r="BX1282" s="6"/>
      <c r="BY1282" s="6"/>
      <c r="BZ1282" s="6"/>
      <c r="CA1282" s="6"/>
      <c r="CB1282" s="6"/>
      <c r="CC1282" s="6"/>
    </row>
    <row r="1283" spans="2:81" x14ac:dyDescent="0.2">
      <c r="B1283" s="68"/>
      <c r="C1283" s="69"/>
      <c r="D1283" s="70"/>
      <c r="F1283" s="68"/>
      <c r="G1283" s="69"/>
      <c r="H1283" s="70"/>
      <c r="J1283" s="71"/>
      <c r="K1283" s="71"/>
      <c r="L1283" s="67"/>
      <c r="N1283" s="71"/>
      <c r="O1283" s="71"/>
      <c r="P1283" s="67"/>
      <c r="R1283" s="67"/>
      <c r="S1283" s="6"/>
      <c r="T1283" s="6"/>
      <c r="U1283" s="6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  <c r="AG1283" s="6"/>
      <c r="AH1283" s="6"/>
      <c r="AI1283" s="6"/>
      <c r="AJ1283" s="6"/>
      <c r="AK1283" s="6"/>
      <c r="AL1283" s="6"/>
      <c r="AM1283" s="6"/>
      <c r="AN1283" s="6"/>
      <c r="AO1283" s="6"/>
      <c r="AP1283" s="6"/>
      <c r="AQ1283" s="6"/>
      <c r="AR1283" s="6"/>
      <c r="AS1283" s="6"/>
      <c r="AT1283" s="6"/>
      <c r="AU1283" s="6"/>
      <c r="AV1283" s="6"/>
      <c r="AW1283" s="6"/>
      <c r="AX1283" s="6"/>
      <c r="AY1283" s="6"/>
      <c r="AZ1283" s="6"/>
      <c r="BA1283" s="6"/>
      <c r="BB1283" s="6"/>
      <c r="BC1283" s="6"/>
      <c r="BD1283" s="6"/>
      <c r="BE1283" s="6"/>
      <c r="BF1283" s="6"/>
      <c r="BG1283" s="6"/>
      <c r="BH1283" s="6"/>
      <c r="BI1283" s="6"/>
      <c r="BJ1283" s="6"/>
      <c r="BK1283" s="6"/>
      <c r="BL1283" s="6"/>
      <c r="BM1283" s="6"/>
      <c r="BN1283" s="6"/>
      <c r="BO1283" s="6"/>
      <c r="BP1283" s="6"/>
      <c r="BQ1283" s="6"/>
      <c r="BR1283" s="6"/>
      <c r="BS1283" s="6"/>
      <c r="BT1283" s="6"/>
      <c r="BU1283" s="6"/>
      <c r="BV1283" s="6"/>
      <c r="BW1283" s="6"/>
      <c r="BX1283" s="6"/>
      <c r="BY1283" s="6"/>
      <c r="BZ1283" s="6"/>
      <c r="CA1283" s="6"/>
      <c r="CB1283" s="6"/>
      <c r="CC1283" s="6"/>
    </row>
    <row r="1284" spans="2:81" x14ac:dyDescent="0.2">
      <c r="B1284" s="68"/>
      <c r="C1284" s="69"/>
      <c r="D1284" s="70"/>
      <c r="F1284" s="68"/>
      <c r="G1284" s="69"/>
      <c r="H1284" s="70"/>
      <c r="J1284" s="71"/>
      <c r="K1284" s="71"/>
      <c r="L1284" s="67"/>
      <c r="N1284" s="71"/>
      <c r="O1284" s="71"/>
      <c r="P1284" s="67"/>
      <c r="R1284" s="67"/>
      <c r="S1284" s="6"/>
      <c r="T1284" s="6"/>
      <c r="U1284" s="6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  <c r="AG1284" s="6"/>
      <c r="AH1284" s="6"/>
      <c r="AI1284" s="6"/>
      <c r="AJ1284" s="6"/>
      <c r="AK1284" s="6"/>
      <c r="AL1284" s="6"/>
      <c r="AM1284" s="6"/>
      <c r="AN1284" s="6"/>
      <c r="AO1284" s="6"/>
      <c r="AP1284" s="6"/>
      <c r="AQ1284" s="6"/>
      <c r="AR1284" s="6"/>
      <c r="AS1284" s="6"/>
      <c r="AT1284" s="6"/>
      <c r="AU1284" s="6"/>
      <c r="AV1284" s="6"/>
      <c r="AW1284" s="6"/>
      <c r="AX1284" s="6"/>
      <c r="AY1284" s="6"/>
      <c r="AZ1284" s="6"/>
      <c r="BA1284" s="6"/>
      <c r="BB1284" s="6"/>
      <c r="BC1284" s="6"/>
      <c r="BD1284" s="6"/>
      <c r="BE1284" s="6"/>
      <c r="BF1284" s="6"/>
      <c r="BG1284" s="6"/>
      <c r="BH1284" s="6"/>
      <c r="BI1284" s="6"/>
      <c r="BJ1284" s="6"/>
      <c r="BK1284" s="6"/>
      <c r="BL1284" s="6"/>
      <c r="BM1284" s="6"/>
      <c r="BN1284" s="6"/>
      <c r="BO1284" s="6"/>
      <c r="BP1284" s="6"/>
      <c r="BQ1284" s="6"/>
      <c r="BR1284" s="6"/>
      <c r="BS1284" s="6"/>
      <c r="BT1284" s="6"/>
      <c r="BU1284" s="6"/>
      <c r="BV1284" s="6"/>
      <c r="BW1284" s="6"/>
      <c r="BX1284" s="6"/>
      <c r="BY1284" s="6"/>
      <c r="BZ1284" s="6"/>
      <c r="CA1284" s="6"/>
      <c r="CB1284" s="6"/>
      <c r="CC1284" s="6"/>
    </row>
    <row r="1285" spans="2:81" x14ac:dyDescent="0.2">
      <c r="B1285" s="68"/>
      <c r="C1285" s="69"/>
      <c r="D1285" s="70"/>
      <c r="F1285" s="68"/>
      <c r="G1285" s="69"/>
      <c r="H1285" s="70"/>
      <c r="J1285" s="71"/>
      <c r="K1285" s="71"/>
      <c r="L1285" s="67"/>
      <c r="N1285" s="71"/>
      <c r="O1285" s="71"/>
      <c r="P1285" s="67"/>
      <c r="R1285" s="67"/>
      <c r="S1285" s="6"/>
      <c r="T1285" s="6"/>
      <c r="U1285" s="6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  <c r="AG1285" s="6"/>
      <c r="AH1285" s="6"/>
      <c r="AI1285" s="6"/>
      <c r="AJ1285" s="6"/>
      <c r="AK1285" s="6"/>
      <c r="AL1285" s="6"/>
      <c r="AM1285" s="6"/>
      <c r="AN1285" s="6"/>
      <c r="AO1285" s="6"/>
      <c r="AP1285" s="6"/>
      <c r="AQ1285" s="6"/>
      <c r="AR1285" s="6"/>
      <c r="AS1285" s="6"/>
      <c r="AT1285" s="6"/>
      <c r="AU1285" s="6"/>
      <c r="AV1285" s="6"/>
      <c r="AW1285" s="6"/>
      <c r="AX1285" s="6"/>
      <c r="AY1285" s="6"/>
      <c r="AZ1285" s="6"/>
      <c r="BA1285" s="6"/>
      <c r="BB1285" s="6"/>
      <c r="BC1285" s="6"/>
      <c r="BD1285" s="6"/>
      <c r="BE1285" s="6"/>
      <c r="BF1285" s="6"/>
      <c r="BG1285" s="6"/>
      <c r="BH1285" s="6"/>
      <c r="BI1285" s="6"/>
      <c r="BJ1285" s="6"/>
      <c r="BK1285" s="6"/>
      <c r="BL1285" s="6"/>
      <c r="BM1285" s="6"/>
      <c r="BN1285" s="6"/>
      <c r="BO1285" s="6"/>
      <c r="BP1285" s="6"/>
      <c r="BQ1285" s="6"/>
      <c r="BR1285" s="6"/>
      <c r="BS1285" s="6"/>
      <c r="BT1285" s="6"/>
      <c r="BU1285" s="6"/>
      <c r="BV1285" s="6"/>
      <c r="BW1285" s="6"/>
      <c r="BX1285" s="6"/>
      <c r="BY1285" s="6"/>
      <c r="BZ1285" s="6"/>
      <c r="CA1285" s="6"/>
      <c r="CB1285" s="6"/>
      <c r="CC1285" s="6"/>
    </row>
    <row r="1286" spans="2:81" x14ac:dyDescent="0.2">
      <c r="B1286" s="68"/>
      <c r="C1286" s="69"/>
      <c r="D1286" s="70"/>
      <c r="F1286" s="68"/>
      <c r="G1286" s="69"/>
      <c r="H1286" s="70"/>
      <c r="J1286" s="71"/>
      <c r="K1286" s="71"/>
      <c r="L1286" s="67"/>
      <c r="N1286" s="71"/>
      <c r="O1286" s="71"/>
      <c r="P1286" s="67"/>
      <c r="R1286" s="67"/>
      <c r="S1286" s="6"/>
      <c r="T1286" s="6"/>
      <c r="U1286" s="6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  <c r="AG1286" s="6"/>
      <c r="AH1286" s="6"/>
      <c r="AI1286" s="6"/>
      <c r="AJ1286" s="6"/>
      <c r="AK1286" s="6"/>
      <c r="AL1286" s="6"/>
      <c r="AM1286" s="6"/>
      <c r="AN1286" s="6"/>
      <c r="AO1286" s="6"/>
      <c r="AP1286" s="6"/>
      <c r="AQ1286" s="6"/>
      <c r="AR1286" s="6"/>
      <c r="AS1286" s="6"/>
      <c r="AT1286" s="6"/>
      <c r="AU1286" s="6"/>
      <c r="AV1286" s="6"/>
      <c r="AW1286" s="6"/>
      <c r="AX1286" s="6"/>
      <c r="AY1286" s="6"/>
      <c r="AZ1286" s="6"/>
      <c r="BA1286" s="6"/>
      <c r="BB1286" s="6"/>
      <c r="BC1286" s="6"/>
      <c r="BD1286" s="6"/>
      <c r="BE1286" s="6"/>
      <c r="BF1286" s="6"/>
      <c r="BG1286" s="6"/>
      <c r="BH1286" s="6"/>
      <c r="BI1286" s="6"/>
      <c r="BJ1286" s="6"/>
      <c r="BK1286" s="6"/>
      <c r="BL1286" s="6"/>
      <c r="BM1286" s="6"/>
      <c r="BN1286" s="6"/>
      <c r="BO1286" s="6"/>
      <c r="BP1286" s="6"/>
      <c r="BQ1286" s="6"/>
      <c r="BR1286" s="6"/>
      <c r="BS1286" s="6"/>
      <c r="BT1286" s="6"/>
      <c r="BU1286" s="6"/>
      <c r="BV1286" s="6"/>
      <c r="BW1286" s="6"/>
      <c r="BX1286" s="6"/>
      <c r="BY1286" s="6"/>
      <c r="BZ1286" s="6"/>
      <c r="CA1286" s="6"/>
      <c r="CB1286" s="6"/>
      <c r="CC1286" s="6"/>
    </row>
    <row r="1287" spans="2:81" x14ac:dyDescent="0.2">
      <c r="B1287" s="68"/>
      <c r="C1287" s="69"/>
      <c r="D1287" s="70"/>
      <c r="F1287" s="68"/>
      <c r="G1287" s="69"/>
      <c r="H1287" s="70"/>
      <c r="J1287" s="71"/>
      <c r="K1287" s="71"/>
      <c r="L1287" s="67"/>
      <c r="N1287" s="71"/>
      <c r="O1287" s="71"/>
      <c r="P1287" s="67"/>
      <c r="R1287" s="67"/>
      <c r="S1287" s="6"/>
      <c r="T1287" s="6"/>
      <c r="U1287" s="6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  <c r="AG1287" s="6"/>
      <c r="AH1287" s="6"/>
      <c r="AI1287" s="6"/>
      <c r="AJ1287" s="6"/>
      <c r="AK1287" s="6"/>
      <c r="AL1287" s="6"/>
      <c r="AM1287" s="6"/>
      <c r="AN1287" s="6"/>
      <c r="AO1287" s="6"/>
      <c r="AP1287" s="6"/>
      <c r="AQ1287" s="6"/>
      <c r="AR1287" s="6"/>
      <c r="AS1287" s="6"/>
      <c r="AT1287" s="6"/>
      <c r="AU1287" s="6"/>
      <c r="AV1287" s="6"/>
      <c r="AW1287" s="6"/>
      <c r="AX1287" s="6"/>
      <c r="AY1287" s="6"/>
      <c r="AZ1287" s="6"/>
      <c r="BA1287" s="6"/>
      <c r="BB1287" s="6"/>
      <c r="BC1287" s="6"/>
      <c r="BD1287" s="6"/>
      <c r="BE1287" s="6"/>
      <c r="BF1287" s="6"/>
      <c r="BG1287" s="6"/>
      <c r="BH1287" s="6"/>
      <c r="BI1287" s="6"/>
      <c r="BJ1287" s="6"/>
      <c r="BK1287" s="6"/>
      <c r="BL1287" s="6"/>
      <c r="BM1287" s="6"/>
      <c r="BN1287" s="6"/>
      <c r="BO1287" s="6"/>
      <c r="BP1287" s="6"/>
      <c r="BQ1287" s="6"/>
      <c r="BR1287" s="6"/>
      <c r="BS1287" s="6"/>
      <c r="BT1287" s="6"/>
      <c r="BU1287" s="6"/>
      <c r="BV1287" s="6"/>
      <c r="BW1287" s="6"/>
      <c r="BX1287" s="6"/>
      <c r="BY1287" s="6"/>
      <c r="BZ1287" s="6"/>
      <c r="CA1287" s="6"/>
      <c r="CB1287" s="6"/>
      <c r="CC1287" s="6"/>
    </row>
    <row r="1288" spans="2:81" x14ac:dyDescent="0.2">
      <c r="B1288" s="68"/>
      <c r="C1288" s="69"/>
      <c r="D1288" s="70"/>
      <c r="F1288" s="68"/>
      <c r="G1288" s="69"/>
      <c r="H1288" s="70"/>
      <c r="J1288" s="71"/>
      <c r="K1288" s="71"/>
      <c r="L1288" s="67"/>
      <c r="N1288" s="71"/>
      <c r="O1288" s="71"/>
      <c r="P1288" s="67"/>
      <c r="R1288" s="67"/>
      <c r="S1288" s="6"/>
      <c r="T1288" s="6"/>
      <c r="U1288" s="6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  <c r="AG1288" s="6"/>
      <c r="AH1288" s="6"/>
      <c r="AI1288" s="6"/>
      <c r="AJ1288" s="6"/>
      <c r="AK1288" s="6"/>
      <c r="AL1288" s="6"/>
      <c r="AM1288" s="6"/>
      <c r="AN1288" s="6"/>
      <c r="AO1288" s="6"/>
      <c r="AP1288" s="6"/>
      <c r="AQ1288" s="6"/>
      <c r="AR1288" s="6"/>
      <c r="AS1288" s="6"/>
      <c r="AT1288" s="6"/>
      <c r="AU1288" s="6"/>
      <c r="AV1288" s="6"/>
      <c r="AW1288" s="6"/>
      <c r="AX1288" s="6"/>
      <c r="AY1288" s="6"/>
      <c r="AZ1288" s="6"/>
      <c r="BA1288" s="6"/>
      <c r="BB1288" s="6"/>
      <c r="BC1288" s="6"/>
      <c r="BD1288" s="6"/>
      <c r="BE1288" s="6"/>
      <c r="BF1288" s="6"/>
      <c r="BG1288" s="6"/>
      <c r="BH1288" s="6"/>
      <c r="BI1288" s="6"/>
      <c r="BJ1288" s="6"/>
      <c r="BK1288" s="6"/>
      <c r="BL1288" s="6"/>
      <c r="BM1288" s="6"/>
      <c r="BN1288" s="6"/>
      <c r="BO1288" s="6"/>
      <c r="BP1288" s="6"/>
      <c r="BQ1288" s="6"/>
      <c r="BR1288" s="6"/>
      <c r="BS1288" s="6"/>
      <c r="BT1288" s="6"/>
      <c r="BU1288" s="6"/>
      <c r="BV1288" s="6"/>
      <c r="BW1288" s="6"/>
      <c r="BX1288" s="6"/>
      <c r="BY1288" s="6"/>
      <c r="BZ1288" s="6"/>
      <c r="CA1288" s="6"/>
      <c r="CB1288" s="6"/>
      <c r="CC1288" s="6"/>
    </row>
    <row r="1289" spans="2:81" x14ac:dyDescent="0.2">
      <c r="B1289" s="68"/>
      <c r="C1289" s="69"/>
      <c r="D1289" s="70"/>
      <c r="F1289" s="68"/>
      <c r="G1289" s="69"/>
      <c r="H1289" s="70"/>
      <c r="J1289" s="71"/>
      <c r="K1289" s="71"/>
      <c r="L1289" s="67"/>
      <c r="N1289" s="71"/>
      <c r="O1289" s="71"/>
      <c r="P1289" s="67"/>
      <c r="R1289" s="67"/>
      <c r="S1289" s="6"/>
      <c r="T1289" s="6"/>
      <c r="U1289" s="6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  <c r="AG1289" s="6"/>
      <c r="AH1289" s="6"/>
      <c r="AI1289" s="6"/>
      <c r="AJ1289" s="6"/>
      <c r="AK1289" s="6"/>
      <c r="AL1289" s="6"/>
      <c r="AM1289" s="6"/>
      <c r="AN1289" s="6"/>
      <c r="AO1289" s="6"/>
      <c r="AP1289" s="6"/>
      <c r="AQ1289" s="6"/>
      <c r="AR1289" s="6"/>
      <c r="AS1289" s="6"/>
      <c r="AT1289" s="6"/>
      <c r="AU1289" s="6"/>
      <c r="AV1289" s="6"/>
      <c r="AW1289" s="6"/>
      <c r="AX1289" s="6"/>
      <c r="AY1289" s="6"/>
      <c r="AZ1289" s="6"/>
      <c r="BA1289" s="6"/>
      <c r="BB1289" s="6"/>
      <c r="BC1289" s="6"/>
      <c r="BD1289" s="6"/>
      <c r="BE1289" s="6"/>
      <c r="BF1289" s="6"/>
      <c r="BG1289" s="6"/>
      <c r="BH1289" s="6"/>
      <c r="BI1289" s="6"/>
      <c r="BJ1289" s="6"/>
      <c r="BK1289" s="6"/>
      <c r="BL1289" s="6"/>
      <c r="BM1289" s="6"/>
      <c r="BN1289" s="6"/>
      <c r="BO1289" s="6"/>
      <c r="BP1289" s="6"/>
      <c r="BQ1289" s="6"/>
      <c r="BR1289" s="6"/>
      <c r="BS1289" s="6"/>
      <c r="BT1289" s="6"/>
      <c r="BU1289" s="6"/>
      <c r="BV1289" s="6"/>
      <c r="BW1289" s="6"/>
      <c r="BX1289" s="6"/>
      <c r="BY1289" s="6"/>
      <c r="BZ1289" s="6"/>
      <c r="CA1289" s="6"/>
      <c r="CB1289" s="6"/>
      <c r="CC1289" s="6"/>
    </row>
    <row r="1290" spans="2:81" x14ac:dyDescent="0.2">
      <c r="B1290" s="68"/>
      <c r="C1290" s="69"/>
      <c r="D1290" s="70"/>
      <c r="F1290" s="68"/>
      <c r="G1290" s="69"/>
      <c r="H1290" s="70"/>
      <c r="J1290" s="71"/>
      <c r="K1290" s="71"/>
      <c r="L1290" s="67"/>
      <c r="N1290" s="71"/>
      <c r="O1290" s="71"/>
      <c r="P1290" s="67"/>
      <c r="R1290" s="67"/>
      <c r="S1290" s="6"/>
      <c r="T1290" s="6"/>
      <c r="U1290" s="6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  <c r="AG1290" s="6"/>
      <c r="AH1290" s="6"/>
      <c r="AI1290" s="6"/>
      <c r="AJ1290" s="6"/>
      <c r="AK1290" s="6"/>
      <c r="AL1290" s="6"/>
      <c r="AM1290" s="6"/>
      <c r="AN1290" s="6"/>
      <c r="AO1290" s="6"/>
      <c r="AP1290" s="6"/>
      <c r="AQ1290" s="6"/>
      <c r="AR1290" s="6"/>
      <c r="AS1290" s="6"/>
      <c r="AT1290" s="6"/>
      <c r="AU1290" s="6"/>
      <c r="AV1290" s="6"/>
      <c r="AW1290" s="6"/>
      <c r="AX1290" s="6"/>
      <c r="AY1290" s="6"/>
      <c r="AZ1290" s="6"/>
      <c r="BA1290" s="6"/>
      <c r="BB1290" s="6"/>
      <c r="BC1290" s="6"/>
      <c r="BD1290" s="6"/>
      <c r="BE1290" s="6"/>
      <c r="BF1290" s="6"/>
      <c r="BG1290" s="6"/>
      <c r="BH1290" s="6"/>
      <c r="BI1290" s="6"/>
      <c r="BJ1290" s="6"/>
      <c r="BK1290" s="6"/>
      <c r="BL1290" s="6"/>
      <c r="BM1290" s="6"/>
      <c r="BN1290" s="6"/>
      <c r="BO1290" s="6"/>
      <c r="BP1290" s="6"/>
      <c r="BQ1290" s="6"/>
      <c r="BR1290" s="6"/>
      <c r="BS1290" s="6"/>
      <c r="BT1290" s="6"/>
      <c r="BU1290" s="6"/>
      <c r="BV1290" s="6"/>
      <c r="BW1290" s="6"/>
      <c r="BX1290" s="6"/>
      <c r="BY1290" s="6"/>
      <c r="BZ1290" s="6"/>
      <c r="CA1290" s="6"/>
      <c r="CB1290" s="6"/>
      <c r="CC1290" s="6"/>
    </row>
    <row r="1291" spans="2:81" x14ac:dyDescent="0.2">
      <c r="B1291" s="68"/>
      <c r="C1291" s="69"/>
      <c r="D1291" s="70"/>
      <c r="F1291" s="68"/>
      <c r="G1291" s="69"/>
      <c r="H1291" s="70"/>
      <c r="J1291" s="71"/>
      <c r="K1291" s="71"/>
      <c r="L1291" s="67"/>
      <c r="N1291" s="71"/>
      <c r="O1291" s="71"/>
      <c r="P1291" s="67"/>
      <c r="R1291" s="67"/>
      <c r="S1291" s="6"/>
      <c r="T1291" s="6"/>
      <c r="U1291" s="6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  <c r="AG1291" s="6"/>
      <c r="AH1291" s="6"/>
      <c r="AI1291" s="6"/>
      <c r="AJ1291" s="6"/>
      <c r="AK1291" s="6"/>
      <c r="AL1291" s="6"/>
      <c r="AM1291" s="6"/>
      <c r="AN1291" s="6"/>
      <c r="AO1291" s="6"/>
      <c r="AP1291" s="6"/>
      <c r="AQ1291" s="6"/>
      <c r="AR1291" s="6"/>
      <c r="AS1291" s="6"/>
      <c r="AT1291" s="6"/>
      <c r="AU1291" s="6"/>
      <c r="AV1291" s="6"/>
      <c r="AW1291" s="6"/>
      <c r="AX1291" s="6"/>
      <c r="AY1291" s="6"/>
      <c r="AZ1291" s="6"/>
      <c r="BA1291" s="6"/>
      <c r="BB1291" s="6"/>
      <c r="BC1291" s="6"/>
      <c r="BD1291" s="6"/>
      <c r="BE1291" s="6"/>
      <c r="BF1291" s="6"/>
      <c r="BG1291" s="6"/>
      <c r="BH1291" s="6"/>
      <c r="BI1291" s="6"/>
      <c r="BJ1291" s="6"/>
      <c r="BK1291" s="6"/>
      <c r="BL1291" s="6"/>
      <c r="BM1291" s="6"/>
      <c r="BN1291" s="6"/>
      <c r="BO1291" s="6"/>
      <c r="BP1291" s="6"/>
      <c r="BQ1291" s="6"/>
      <c r="BR1291" s="6"/>
      <c r="BS1291" s="6"/>
      <c r="BT1291" s="6"/>
      <c r="BU1291" s="6"/>
      <c r="BV1291" s="6"/>
      <c r="BW1291" s="6"/>
      <c r="BX1291" s="6"/>
      <c r="BY1291" s="6"/>
      <c r="BZ1291" s="6"/>
      <c r="CA1291" s="6"/>
      <c r="CB1291" s="6"/>
      <c r="CC1291" s="6"/>
    </row>
    <row r="1292" spans="2:81" x14ac:dyDescent="0.2">
      <c r="B1292" s="68"/>
      <c r="C1292" s="69"/>
      <c r="D1292" s="70"/>
      <c r="F1292" s="68"/>
      <c r="G1292" s="69"/>
      <c r="H1292" s="70"/>
      <c r="J1292" s="71"/>
      <c r="K1292" s="71"/>
      <c r="L1292" s="67"/>
      <c r="N1292" s="71"/>
      <c r="O1292" s="71"/>
      <c r="P1292" s="67"/>
      <c r="R1292" s="67"/>
      <c r="S1292" s="6"/>
      <c r="T1292" s="6"/>
      <c r="U1292" s="6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  <c r="AG1292" s="6"/>
      <c r="AH1292" s="6"/>
      <c r="AI1292" s="6"/>
      <c r="AJ1292" s="6"/>
      <c r="AK1292" s="6"/>
      <c r="AL1292" s="6"/>
      <c r="AM1292" s="6"/>
      <c r="AN1292" s="6"/>
      <c r="AO1292" s="6"/>
      <c r="AP1292" s="6"/>
      <c r="AQ1292" s="6"/>
      <c r="AR1292" s="6"/>
      <c r="AS1292" s="6"/>
      <c r="AT1292" s="6"/>
      <c r="AU1292" s="6"/>
      <c r="AV1292" s="6"/>
      <c r="AW1292" s="6"/>
      <c r="AX1292" s="6"/>
      <c r="AY1292" s="6"/>
      <c r="AZ1292" s="6"/>
      <c r="BA1292" s="6"/>
      <c r="BB1292" s="6"/>
      <c r="BC1292" s="6"/>
      <c r="BD1292" s="6"/>
      <c r="BE1292" s="6"/>
      <c r="BF1292" s="6"/>
      <c r="BG1292" s="6"/>
      <c r="BH1292" s="6"/>
      <c r="BI1292" s="6"/>
      <c r="BJ1292" s="6"/>
      <c r="BK1292" s="6"/>
      <c r="BL1292" s="6"/>
      <c r="BM1292" s="6"/>
      <c r="BN1292" s="6"/>
      <c r="BO1292" s="6"/>
      <c r="BP1292" s="6"/>
      <c r="BQ1292" s="6"/>
      <c r="BR1292" s="6"/>
      <c r="BS1292" s="6"/>
      <c r="BT1292" s="6"/>
      <c r="BU1292" s="6"/>
      <c r="BV1292" s="6"/>
      <c r="BW1292" s="6"/>
      <c r="BX1292" s="6"/>
      <c r="BY1292" s="6"/>
      <c r="BZ1292" s="6"/>
      <c r="CA1292" s="6"/>
      <c r="CB1292" s="6"/>
      <c r="CC1292" s="6"/>
    </row>
    <row r="1293" spans="2:81" x14ac:dyDescent="0.2">
      <c r="B1293" s="68"/>
      <c r="C1293" s="69"/>
      <c r="D1293" s="70"/>
      <c r="F1293" s="68"/>
      <c r="G1293" s="69"/>
      <c r="H1293" s="70"/>
      <c r="J1293" s="71"/>
      <c r="K1293" s="71"/>
      <c r="L1293" s="67"/>
      <c r="N1293" s="71"/>
      <c r="O1293" s="71"/>
      <c r="P1293" s="67"/>
      <c r="R1293" s="67"/>
      <c r="S1293" s="6"/>
      <c r="T1293" s="6"/>
      <c r="U1293" s="6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  <c r="AG1293" s="6"/>
      <c r="AH1293" s="6"/>
      <c r="AI1293" s="6"/>
      <c r="AJ1293" s="6"/>
      <c r="AK1293" s="6"/>
      <c r="AL1293" s="6"/>
      <c r="AM1293" s="6"/>
      <c r="AN1293" s="6"/>
      <c r="AO1293" s="6"/>
      <c r="AP1293" s="6"/>
      <c r="AQ1293" s="6"/>
      <c r="AR1293" s="6"/>
      <c r="AS1293" s="6"/>
      <c r="AT1293" s="6"/>
      <c r="AU1293" s="6"/>
      <c r="AV1293" s="6"/>
      <c r="AW1293" s="6"/>
      <c r="AX1293" s="6"/>
      <c r="AY1293" s="6"/>
      <c r="AZ1293" s="6"/>
      <c r="BA1293" s="6"/>
      <c r="BB1293" s="6"/>
      <c r="BC1293" s="6"/>
      <c r="BD1293" s="6"/>
      <c r="BE1293" s="6"/>
      <c r="BF1293" s="6"/>
      <c r="BG1293" s="6"/>
      <c r="BH1293" s="6"/>
      <c r="BI1293" s="6"/>
      <c r="BJ1293" s="6"/>
      <c r="BK1293" s="6"/>
      <c r="BL1293" s="6"/>
      <c r="BM1293" s="6"/>
      <c r="BN1293" s="6"/>
      <c r="BO1293" s="6"/>
      <c r="BP1293" s="6"/>
      <c r="BQ1293" s="6"/>
      <c r="BR1293" s="6"/>
      <c r="BS1293" s="6"/>
      <c r="BT1293" s="6"/>
      <c r="BU1293" s="6"/>
      <c r="BV1293" s="6"/>
      <c r="BW1293" s="6"/>
      <c r="BX1293" s="6"/>
      <c r="BY1293" s="6"/>
      <c r="BZ1293" s="6"/>
      <c r="CA1293" s="6"/>
      <c r="CB1293" s="6"/>
      <c r="CC1293" s="6"/>
    </row>
    <row r="1294" spans="2:81" x14ac:dyDescent="0.2">
      <c r="B1294" s="68"/>
      <c r="C1294" s="69"/>
      <c r="D1294" s="70"/>
      <c r="F1294" s="68"/>
      <c r="G1294" s="69"/>
      <c r="H1294" s="70"/>
      <c r="J1294" s="71"/>
      <c r="K1294" s="71"/>
      <c r="L1294" s="67"/>
      <c r="N1294" s="71"/>
      <c r="O1294" s="71"/>
      <c r="P1294" s="67"/>
      <c r="R1294" s="67"/>
      <c r="S1294" s="6"/>
      <c r="T1294" s="6"/>
      <c r="U1294" s="6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  <c r="AG1294" s="6"/>
      <c r="AH1294" s="6"/>
      <c r="AI1294" s="6"/>
      <c r="AJ1294" s="6"/>
      <c r="AK1294" s="6"/>
      <c r="AL1294" s="6"/>
      <c r="AM1294" s="6"/>
      <c r="AN1294" s="6"/>
      <c r="AO1294" s="6"/>
      <c r="AP1294" s="6"/>
      <c r="AQ1294" s="6"/>
      <c r="AR1294" s="6"/>
      <c r="AS1294" s="6"/>
      <c r="AT1294" s="6"/>
      <c r="AU1294" s="6"/>
      <c r="AV1294" s="6"/>
      <c r="AW1294" s="6"/>
      <c r="AX1294" s="6"/>
      <c r="AY1294" s="6"/>
      <c r="AZ1294" s="6"/>
      <c r="BA1294" s="6"/>
      <c r="BB1294" s="6"/>
      <c r="BC1294" s="6"/>
      <c r="BD1294" s="6"/>
      <c r="BE1294" s="6"/>
      <c r="BF1294" s="6"/>
      <c r="BG1294" s="6"/>
      <c r="BH1294" s="6"/>
      <c r="BI1294" s="6"/>
      <c r="BJ1294" s="6"/>
      <c r="BK1294" s="6"/>
      <c r="BL1294" s="6"/>
      <c r="BM1294" s="6"/>
      <c r="BN1294" s="6"/>
      <c r="BO1294" s="6"/>
      <c r="BP1294" s="6"/>
      <c r="BQ1294" s="6"/>
      <c r="BR1294" s="6"/>
      <c r="BS1294" s="6"/>
      <c r="BT1294" s="6"/>
      <c r="BU1294" s="6"/>
      <c r="BV1294" s="6"/>
      <c r="BW1294" s="6"/>
      <c r="BX1294" s="6"/>
      <c r="BY1294" s="6"/>
      <c r="BZ1294" s="6"/>
      <c r="CA1294" s="6"/>
      <c r="CB1294" s="6"/>
      <c r="CC1294" s="6"/>
    </row>
    <row r="1295" spans="2:81" x14ac:dyDescent="0.2">
      <c r="B1295" s="68"/>
      <c r="C1295" s="69"/>
      <c r="D1295" s="70"/>
      <c r="F1295" s="68"/>
      <c r="G1295" s="69"/>
      <c r="H1295" s="70"/>
      <c r="J1295" s="71"/>
      <c r="K1295" s="71"/>
      <c r="L1295" s="67"/>
      <c r="N1295" s="71"/>
      <c r="O1295" s="71"/>
      <c r="P1295" s="67"/>
      <c r="R1295" s="67"/>
      <c r="S1295" s="6"/>
      <c r="T1295" s="6"/>
      <c r="U1295" s="6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  <c r="AG1295" s="6"/>
      <c r="AH1295" s="6"/>
      <c r="AI1295" s="6"/>
      <c r="AJ1295" s="6"/>
      <c r="AK1295" s="6"/>
      <c r="AL1295" s="6"/>
      <c r="AM1295" s="6"/>
      <c r="AN1295" s="6"/>
      <c r="AO1295" s="6"/>
      <c r="AP1295" s="6"/>
      <c r="AQ1295" s="6"/>
      <c r="AR1295" s="6"/>
      <c r="AS1295" s="6"/>
      <c r="AT1295" s="6"/>
      <c r="AU1295" s="6"/>
      <c r="AV1295" s="6"/>
      <c r="AW1295" s="6"/>
      <c r="AX1295" s="6"/>
      <c r="AY1295" s="6"/>
      <c r="AZ1295" s="6"/>
      <c r="BA1295" s="6"/>
      <c r="BB1295" s="6"/>
      <c r="BC1295" s="6"/>
      <c r="BD1295" s="6"/>
      <c r="BE1295" s="6"/>
      <c r="BF1295" s="6"/>
      <c r="BG1295" s="6"/>
      <c r="BH1295" s="6"/>
      <c r="BI1295" s="6"/>
      <c r="BJ1295" s="6"/>
      <c r="BK1295" s="6"/>
      <c r="BL1295" s="6"/>
      <c r="BM1295" s="6"/>
      <c r="BN1295" s="6"/>
      <c r="BO1295" s="6"/>
      <c r="BP1295" s="6"/>
      <c r="BQ1295" s="6"/>
      <c r="BR1295" s="6"/>
      <c r="BS1295" s="6"/>
      <c r="BT1295" s="6"/>
      <c r="BU1295" s="6"/>
      <c r="BV1295" s="6"/>
      <c r="BW1295" s="6"/>
      <c r="BX1295" s="6"/>
      <c r="BY1295" s="6"/>
      <c r="BZ1295" s="6"/>
      <c r="CA1295" s="6"/>
      <c r="CB1295" s="6"/>
      <c r="CC1295" s="6"/>
    </row>
    <row r="1296" spans="2:81" x14ac:dyDescent="0.2">
      <c r="B1296" s="68"/>
      <c r="C1296" s="69"/>
      <c r="D1296" s="70"/>
      <c r="F1296" s="68"/>
      <c r="G1296" s="69"/>
      <c r="H1296" s="70"/>
      <c r="J1296" s="71"/>
      <c r="K1296" s="71"/>
      <c r="L1296" s="67"/>
      <c r="N1296" s="71"/>
      <c r="O1296" s="71"/>
      <c r="P1296" s="67"/>
      <c r="R1296" s="67"/>
      <c r="S1296" s="6"/>
      <c r="T1296" s="6"/>
      <c r="U1296" s="6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  <c r="AG1296" s="6"/>
      <c r="AH1296" s="6"/>
      <c r="AI1296" s="6"/>
      <c r="AJ1296" s="6"/>
      <c r="AK1296" s="6"/>
      <c r="AL1296" s="6"/>
      <c r="AM1296" s="6"/>
      <c r="AN1296" s="6"/>
      <c r="AO1296" s="6"/>
      <c r="AP1296" s="6"/>
      <c r="AQ1296" s="6"/>
      <c r="AR1296" s="6"/>
      <c r="AS1296" s="6"/>
      <c r="AT1296" s="6"/>
      <c r="AU1296" s="6"/>
      <c r="AV1296" s="6"/>
      <c r="AW1296" s="6"/>
      <c r="AX1296" s="6"/>
      <c r="AY1296" s="6"/>
      <c r="AZ1296" s="6"/>
      <c r="BA1296" s="6"/>
      <c r="BB1296" s="6"/>
      <c r="BC1296" s="6"/>
      <c r="BD1296" s="6"/>
      <c r="BE1296" s="6"/>
      <c r="BF1296" s="6"/>
      <c r="BG1296" s="6"/>
      <c r="BH1296" s="6"/>
      <c r="BI1296" s="6"/>
      <c r="BJ1296" s="6"/>
      <c r="BK1296" s="6"/>
      <c r="BL1296" s="6"/>
      <c r="BM1296" s="6"/>
      <c r="BN1296" s="6"/>
      <c r="BO1296" s="6"/>
      <c r="BP1296" s="6"/>
      <c r="BQ1296" s="6"/>
      <c r="BR1296" s="6"/>
      <c r="BS1296" s="6"/>
      <c r="BT1296" s="6"/>
      <c r="BU1296" s="6"/>
      <c r="BV1296" s="6"/>
      <c r="BW1296" s="6"/>
      <c r="BX1296" s="6"/>
      <c r="BY1296" s="6"/>
      <c r="BZ1296" s="6"/>
      <c r="CA1296" s="6"/>
      <c r="CB1296" s="6"/>
      <c r="CC1296" s="6"/>
    </row>
    <row r="1297" spans="2:81" x14ac:dyDescent="0.2">
      <c r="B1297" s="68"/>
      <c r="C1297" s="69"/>
      <c r="D1297" s="70"/>
      <c r="F1297" s="68"/>
      <c r="G1297" s="69"/>
      <c r="H1297" s="70"/>
      <c r="J1297" s="71"/>
      <c r="K1297" s="71"/>
      <c r="L1297" s="67"/>
      <c r="N1297" s="71"/>
      <c r="O1297" s="71"/>
      <c r="P1297" s="67"/>
      <c r="R1297" s="67"/>
      <c r="S1297" s="6"/>
      <c r="T1297" s="6"/>
      <c r="U1297" s="6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  <c r="AG1297" s="6"/>
      <c r="AH1297" s="6"/>
      <c r="AI1297" s="6"/>
      <c r="AJ1297" s="6"/>
      <c r="AK1297" s="6"/>
      <c r="AL1297" s="6"/>
      <c r="AM1297" s="6"/>
      <c r="AN1297" s="6"/>
      <c r="AO1297" s="6"/>
      <c r="AP1297" s="6"/>
      <c r="AQ1297" s="6"/>
      <c r="AR1297" s="6"/>
      <c r="AS1297" s="6"/>
      <c r="AT1297" s="6"/>
      <c r="AU1297" s="6"/>
      <c r="AV1297" s="6"/>
      <c r="AW1297" s="6"/>
      <c r="AX1297" s="6"/>
      <c r="AY1297" s="6"/>
      <c r="AZ1297" s="6"/>
      <c r="BA1297" s="6"/>
      <c r="BB1297" s="6"/>
      <c r="BC1297" s="6"/>
      <c r="BD1297" s="6"/>
      <c r="BE1297" s="6"/>
      <c r="BF1297" s="6"/>
      <c r="BG1297" s="6"/>
      <c r="BH1297" s="6"/>
      <c r="BI1297" s="6"/>
      <c r="BJ1297" s="6"/>
      <c r="BK1297" s="6"/>
      <c r="BL1297" s="6"/>
      <c r="BM1297" s="6"/>
      <c r="BN1297" s="6"/>
      <c r="BO1297" s="6"/>
      <c r="BP1297" s="6"/>
      <c r="BQ1297" s="6"/>
      <c r="BR1297" s="6"/>
      <c r="BS1297" s="6"/>
      <c r="BT1297" s="6"/>
      <c r="BU1297" s="6"/>
      <c r="BV1297" s="6"/>
      <c r="BW1297" s="6"/>
      <c r="BX1297" s="6"/>
      <c r="BY1297" s="6"/>
      <c r="BZ1297" s="6"/>
      <c r="CA1297" s="6"/>
      <c r="CB1297" s="6"/>
      <c r="CC1297" s="6"/>
    </row>
    <row r="1298" spans="2:81" x14ac:dyDescent="0.2">
      <c r="B1298" s="68"/>
      <c r="C1298" s="69"/>
      <c r="D1298" s="70"/>
      <c r="F1298" s="68"/>
      <c r="G1298" s="69"/>
      <c r="H1298" s="70"/>
      <c r="J1298" s="71"/>
      <c r="K1298" s="71"/>
      <c r="L1298" s="67"/>
      <c r="N1298" s="71"/>
      <c r="O1298" s="71"/>
      <c r="P1298" s="67"/>
      <c r="R1298" s="67"/>
      <c r="S1298" s="6"/>
      <c r="T1298" s="6"/>
      <c r="U1298" s="6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  <c r="AG1298" s="6"/>
      <c r="AH1298" s="6"/>
      <c r="AI1298" s="6"/>
      <c r="AJ1298" s="6"/>
      <c r="AK1298" s="6"/>
      <c r="AL1298" s="6"/>
      <c r="AM1298" s="6"/>
      <c r="AN1298" s="6"/>
      <c r="AO1298" s="6"/>
      <c r="AP1298" s="6"/>
      <c r="AQ1298" s="6"/>
      <c r="AR1298" s="6"/>
      <c r="AS1298" s="6"/>
      <c r="AT1298" s="6"/>
      <c r="AU1298" s="6"/>
      <c r="AV1298" s="6"/>
      <c r="AW1298" s="6"/>
      <c r="AX1298" s="6"/>
      <c r="AY1298" s="6"/>
      <c r="AZ1298" s="6"/>
      <c r="BA1298" s="6"/>
      <c r="BB1298" s="6"/>
      <c r="BC1298" s="6"/>
      <c r="BD1298" s="6"/>
      <c r="BE1298" s="6"/>
      <c r="BF1298" s="6"/>
      <c r="BG1298" s="6"/>
      <c r="BH1298" s="6"/>
      <c r="BI1298" s="6"/>
      <c r="BJ1298" s="6"/>
      <c r="BK1298" s="6"/>
      <c r="BL1298" s="6"/>
      <c r="BM1298" s="6"/>
      <c r="BN1298" s="6"/>
      <c r="BO1298" s="6"/>
      <c r="BP1298" s="6"/>
      <c r="BQ1298" s="6"/>
      <c r="BR1298" s="6"/>
      <c r="BS1298" s="6"/>
      <c r="BT1298" s="6"/>
      <c r="BU1298" s="6"/>
      <c r="BV1298" s="6"/>
      <c r="BW1298" s="6"/>
      <c r="BX1298" s="6"/>
      <c r="BY1298" s="6"/>
      <c r="BZ1298" s="6"/>
      <c r="CA1298" s="6"/>
      <c r="CB1298" s="6"/>
      <c r="CC1298" s="6"/>
    </row>
    <row r="1299" spans="2:81" x14ac:dyDescent="0.2">
      <c r="B1299" s="68"/>
      <c r="C1299" s="69"/>
      <c r="D1299" s="70"/>
      <c r="F1299" s="68"/>
      <c r="G1299" s="69"/>
      <c r="H1299" s="70"/>
      <c r="J1299" s="71"/>
      <c r="K1299" s="71"/>
      <c r="L1299" s="67"/>
      <c r="N1299" s="71"/>
      <c r="O1299" s="71"/>
      <c r="P1299" s="67"/>
      <c r="R1299" s="67"/>
      <c r="S1299" s="6"/>
      <c r="T1299" s="6"/>
      <c r="U1299" s="6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  <c r="AG1299" s="6"/>
      <c r="AH1299" s="6"/>
      <c r="AI1299" s="6"/>
      <c r="AJ1299" s="6"/>
      <c r="AK1299" s="6"/>
      <c r="AL1299" s="6"/>
      <c r="AM1299" s="6"/>
      <c r="AN1299" s="6"/>
      <c r="AO1299" s="6"/>
      <c r="AP1299" s="6"/>
      <c r="AQ1299" s="6"/>
      <c r="AR1299" s="6"/>
      <c r="AS1299" s="6"/>
      <c r="AT1299" s="6"/>
      <c r="AU1299" s="6"/>
      <c r="AV1299" s="6"/>
      <c r="AW1299" s="6"/>
      <c r="AX1299" s="6"/>
      <c r="AY1299" s="6"/>
      <c r="AZ1299" s="6"/>
      <c r="BA1299" s="6"/>
      <c r="BB1299" s="6"/>
      <c r="BC1299" s="6"/>
      <c r="BD1299" s="6"/>
      <c r="BE1299" s="6"/>
      <c r="BF1299" s="6"/>
      <c r="BG1299" s="6"/>
      <c r="BH1299" s="6"/>
      <c r="BI1299" s="6"/>
      <c r="BJ1299" s="6"/>
      <c r="BK1299" s="6"/>
      <c r="BL1299" s="6"/>
      <c r="BM1299" s="6"/>
      <c r="BN1299" s="6"/>
      <c r="BO1299" s="6"/>
      <c r="BP1299" s="6"/>
      <c r="BQ1299" s="6"/>
      <c r="BR1299" s="6"/>
      <c r="BS1299" s="6"/>
      <c r="BT1299" s="6"/>
      <c r="BU1299" s="6"/>
      <c r="BV1299" s="6"/>
      <c r="BW1299" s="6"/>
      <c r="BX1299" s="6"/>
      <c r="BY1299" s="6"/>
      <c r="BZ1299" s="6"/>
      <c r="CA1299" s="6"/>
      <c r="CB1299" s="6"/>
      <c r="CC1299" s="6"/>
    </row>
    <row r="1300" spans="2:81" x14ac:dyDescent="0.2">
      <c r="B1300" s="68"/>
      <c r="C1300" s="69"/>
      <c r="D1300" s="70"/>
      <c r="F1300" s="68"/>
      <c r="G1300" s="69"/>
      <c r="H1300" s="70"/>
      <c r="J1300" s="71"/>
      <c r="K1300" s="71"/>
      <c r="L1300" s="67"/>
      <c r="N1300" s="71"/>
      <c r="O1300" s="71"/>
      <c r="P1300" s="67"/>
      <c r="R1300" s="67"/>
      <c r="S1300" s="6"/>
      <c r="T1300" s="6"/>
      <c r="U1300" s="6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  <c r="AG1300" s="6"/>
      <c r="AH1300" s="6"/>
      <c r="AI1300" s="6"/>
      <c r="AJ1300" s="6"/>
      <c r="AK1300" s="6"/>
      <c r="AL1300" s="6"/>
      <c r="AM1300" s="6"/>
      <c r="AN1300" s="6"/>
      <c r="AO1300" s="6"/>
      <c r="AP1300" s="6"/>
      <c r="AQ1300" s="6"/>
      <c r="AR1300" s="6"/>
      <c r="AS1300" s="6"/>
      <c r="AT1300" s="6"/>
      <c r="AU1300" s="6"/>
      <c r="AV1300" s="6"/>
      <c r="AW1300" s="6"/>
      <c r="AX1300" s="6"/>
      <c r="AY1300" s="6"/>
      <c r="AZ1300" s="6"/>
      <c r="BA1300" s="6"/>
      <c r="BB1300" s="6"/>
      <c r="BC1300" s="6"/>
      <c r="BD1300" s="6"/>
      <c r="BE1300" s="6"/>
      <c r="BF1300" s="6"/>
      <c r="BG1300" s="6"/>
      <c r="BH1300" s="6"/>
      <c r="BI1300" s="6"/>
      <c r="BJ1300" s="6"/>
      <c r="BK1300" s="6"/>
      <c r="BL1300" s="6"/>
      <c r="BM1300" s="6"/>
      <c r="BN1300" s="6"/>
      <c r="BO1300" s="6"/>
      <c r="BP1300" s="6"/>
      <c r="BQ1300" s="6"/>
      <c r="BR1300" s="6"/>
      <c r="BS1300" s="6"/>
      <c r="BT1300" s="6"/>
      <c r="BU1300" s="6"/>
      <c r="BV1300" s="6"/>
      <c r="BW1300" s="6"/>
      <c r="BX1300" s="6"/>
      <c r="BY1300" s="6"/>
      <c r="BZ1300" s="6"/>
      <c r="CA1300" s="6"/>
      <c r="CB1300" s="6"/>
      <c r="CC1300" s="6"/>
    </row>
    <row r="1301" spans="2:81" x14ac:dyDescent="0.2">
      <c r="B1301" s="68"/>
      <c r="C1301" s="69"/>
      <c r="D1301" s="70"/>
      <c r="F1301" s="68"/>
      <c r="G1301" s="69"/>
      <c r="H1301" s="70"/>
      <c r="J1301" s="71"/>
      <c r="K1301" s="71"/>
      <c r="L1301" s="67"/>
      <c r="N1301" s="71"/>
      <c r="O1301" s="71"/>
      <c r="P1301" s="67"/>
      <c r="R1301" s="67"/>
      <c r="S1301" s="6"/>
      <c r="T1301" s="6"/>
      <c r="U1301" s="6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  <c r="AG1301" s="6"/>
      <c r="AH1301" s="6"/>
      <c r="AI1301" s="6"/>
      <c r="AJ1301" s="6"/>
      <c r="AK1301" s="6"/>
      <c r="AL1301" s="6"/>
      <c r="AM1301" s="6"/>
      <c r="AN1301" s="6"/>
      <c r="AO1301" s="6"/>
      <c r="AP1301" s="6"/>
      <c r="AQ1301" s="6"/>
      <c r="AR1301" s="6"/>
      <c r="AS1301" s="6"/>
      <c r="AT1301" s="6"/>
      <c r="AU1301" s="6"/>
      <c r="AV1301" s="6"/>
      <c r="AW1301" s="6"/>
      <c r="AX1301" s="6"/>
      <c r="AY1301" s="6"/>
      <c r="AZ1301" s="6"/>
      <c r="BA1301" s="6"/>
      <c r="BB1301" s="6"/>
      <c r="BC1301" s="6"/>
      <c r="BD1301" s="6"/>
      <c r="BE1301" s="6"/>
      <c r="BF1301" s="6"/>
      <c r="BG1301" s="6"/>
      <c r="BH1301" s="6"/>
      <c r="BI1301" s="6"/>
      <c r="BJ1301" s="6"/>
      <c r="BK1301" s="6"/>
      <c r="BL1301" s="6"/>
      <c r="BM1301" s="6"/>
      <c r="BN1301" s="6"/>
      <c r="BO1301" s="6"/>
      <c r="BP1301" s="6"/>
      <c r="BQ1301" s="6"/>
      <c r="BR1301" s="6"/>
      <c r="BS1301" s="6"/>
      <c r="BT1301" s="6"/>
      <c r="BU1301" s="6"/>
      <c r="BV1301" s="6"/>
      <c r="BW1301" s="6"/>
      <c r="BX1301" s="6"/>
      <c r="BY1301" s="6"/>
      <c r="BZ1301" s="6"/>
      <c r="CA1301" s="6"/>
      <c r="CB1301" s="6"/>
      <c r="CC1301" s="6"/>
    </row>
    <row r="1302" spans="2:81" x14ac:dyDescent="0.2">
      <c r="B1302" s="68"/>
      <c r="C1302" s="69"/>
      <c r="D1302" s="70"/>
      <c r="F1302" s="68"/>
      <c r="G1302" s="69"/>
      <c r="H1302" s="70"/>
      <c r="J1302" s="71"/>
      <c r="K1302" s="71"/>
      <c r="L1302" s="67"/>
      <c r="N1302" s="71"/>
      <c r="O1302" s="71"/>
      <c r="P1302" s="67"/>
      <c r="R1302" s="67"/>
      <c r="S1302" s="6"/>
      <c r="T1302" s="6"/>
      <c r="U1302" s="6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  <c r="AG1302" s="6"/>
      <c r="AH1302" s="6"/>
      <c r="AI1302" s="6"/>
      <c r="AJ1302" s="6"/>
      <c r="AK1302" s="6"/>
      <c r="AL1302" s="6"/>
      <c r="AM1302" s="6"/>
      <c r="AN1302" s="6"/>
      <c r="AO1302" s="6"/>
      <c r="AP1302" s="6"/>
      <c r="AQ1302" s="6"/>
      <c r="AR1302" s="6"/>
      <c r="AS1302" s="6"/>
      <c r="AT1302" s="6"/>
      <c r="AU1302" s="6"/>
      <c r="AV1302" s="6"/>
      <c r="AW1302" s="6"/>
      <c r="AX1302" s="6"/>
      <c r="AY1302" s="6"/>
      <c r="AZ1302" s="6"/>
      <c r="BA1302" s="6"/>
      <c r="BB1302" s="6"/>
      <c r="BC1302" s="6"/>
      <c r="BD1302" s="6"/>
      <c r="BE1302" s="6"/>
      <c r="BF1302" s="6"/>
      <c r="BG1302" s="6"/>
      <c r="BH1302" s="6"/>
      <c r="BI1302" s="6"/>
      <c r="BJ1302" s="6"/>
      <c r="BK1302" s="6"/>
      <c r="BL1302" s="6"/>
      <c r="BM1302" s="6"/>
      <c r="BN1302" s="6"/>
      <c r="BO1302" s="6"/>
      <c r="BP1302" s="6"/>
      <c r="BQ1302" s="6"/>
      <c r="BR1302" s="6"/>
      <c r="BS1302" s="6"/>
      <c r="BT1302" s="6"/>
      <c r="BU1302" s="6"/>
      <c r="BV1302" s="6"/>
      <c r="BW1302" s="6"/>
      <c r="BX1302" s="6"/>
      <c r="BY1302" s="6"/>
      <c r="BZ1302" s="6"/>
      <c r="CA1302" s="6"/>
      <c r="CB1302" s="6"/>
      <c r="CC1302" s="6"/>
    </row>
    <row r="1303" spans="2:81" x14ac:dyDescent="0.2">
      <c r="B1303" s="68"/>
      <c r="C1303" s="69"/>
      <c r="D1303" s="70"/>
      <c r="F1303" s="68"/>
      <c r="G1303" s="69"/>
      <c r="H1303" s="70"/>
      <c r="J1303" s="71"/>
      <c r="K1303" s="71"/>
      <c r="L1303" s="67"/>
      <c r="N1303" s="71"/>
      <c r="O1303" s="71"/>
      <c r="P1303" s="67"/>
      <c r="R1303" s="67"/>
      <c r="S1303" s="6"/>
      <c r="T1303" s="6"/>
      <c r="U1303" s="6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  <c r="AG1303" s="6"/>
      <c r="AH1303" s="6"/>
      <c r="AI1303" s="6"/>
      <c r="AJ1303" s="6"/>
      <c r="AK1303" s="6"/>
      <c r="AL1303" s="6"/>
      <c r="AM1303" s="6"/>
      <c r="AN1303" s="6"/>
      <c r="AO1303" s="6"/>
      <c r="AP1303" s="6"/>
      <c r="AQ1303" s="6"/>
      <c r="AR1303" s="6"/>
      <c r="AS1303" s="6"/>
      <c r="AT1303" s="6"/>
      <c r="AU1303" s="6"/>
      <c r="AV1303" s="6"/>
      <c r="AW1303" s="6"/>
      <c r="AX1303" s="6"/>
      <c r="AY1303" s="6"/>
      <c r="AZ1303" s="6"/>
      <c r="BA1303" s="6"/>
      <c r="BB1303" s="6"/>
      <c r="BC1303" s="6"/>
      <c r="BD1303" s="6"/>
      <c r="BE1303" s="6"/>
      <c r="BF1303" s="6"/>
      <c r="BG1303" s="6"/>
      <c r="BH1303" s="6"/>
      <c r="BI1303" s="6"/>
      <c r="BJ1303" s="6"/>
      <c r="BK1303" s="6"/>
      <c r="BL1303" s="6"/>
      <c r="BM1303" s="6"/>
      <c r="BN1303" s="6"/>
      <c r="BO1303" s="6"/>
      <c r="BP1303" s="6"/>
      <c r="BQ1303" s="6"/>
      <c r="BR1303" s="6"/>
      <c r="BS1303" s="6"/>
      <c r="BT1303" s="6"/>
      <c r="BU1303" s="6"/>
      <c r="BV1303" s="6"/>
      <c r="BW1303" s="6"/>
      <c r="BX1303" s="6"/>
      <c r="BY1303" s="6"/>
      <c r="BZ1303" s="6"/>
      <c r="CA1303" s="6"/>
      <c r="CB1303" s="6"/>
      <c r="CC1303" s="6"/>
    </row>
    <row r="1304" spans="2:81" x14ac:dyDescent="0.2">
      <c r="B1304" s="68"/>
      <c r="C1304" s="69"/>
      <c r="D1304" s="70"/>
      <c r="F1304" s="68"/>
      <c r="G1304" s="69"/>
      <c r="H1304" s="70"/>
      <c r="J1304" s="71"/>
      <c r="K1304" s="71"/>
      <c r="L1304" s="67"/>
      <c r="N1304" s="71"/>
      <c r="O1304" s="71"/>
      <c r="P1304" s="67"/>
      <c r="R1304" s="67"/>
      <c r="S1304" s="6"/>
      <c r="T1304" s="6"/>
      <c r="U1304" s="6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  <c r="AG1304" s="6"/>
      <c r="AH1304" s="6"/>
      <c r="AI1304" s="6"/>
      <c r="AJ1304" s="6"/>
      <c r="AK1304" s="6"/>
      <c r="AL1304" s="6"/>
      <c r="AM1304" s="6"/>
      <c r="AN1304" s="6"/>
      <c r="AO1304" s="6"/>
      <c r="AP1304" s="6"/>
      <c r="AQ1304" s="6"/>
      <c r="AR1304" s="6"/>
      <c r="AS1304" s="6"/>
      <c r="AT1304" s="6"/>
      <c r="AU1304" s="6"/>
      <c r="AV1304" s="6"/>
      <c r="AW1304" s="6"/>
      <c r="AX1304" s="6"/>
      <c r="AY1304" s="6"/>
      <c r="AZ1304" s="6"/>
      <c r="BA1304" s="6"/>
      <c r="BB1304" s="6"/>
      <c r="BC1304" s="6"/>
      <c r="BD1304" s="6"/>
      <c r="BE1304" s="6"/>
      <c r="BF1304" s="6"/>
      <c r="BG1304" s="6"/>
      <c r="BH1304" s="6"/>
      <c r="BI1304" s="6"/>
      <c r="BJ1304" s="6"/>
      <c r="BK1304" s="6"/>
      <c r="BL1304" s="6"/>
      <c r="BM1304" s="6"/>
      <c r="BN1304" s="6"/>
      <c r="BO1304" s="6"/>
      <c r="BP1304" s="6"/>
      <c r="BQ1304" s="6"/>
      <c r="BR1304" s="6"/>
      <c r="BS1304" s="6"/>
      <c r="BT1304" s="6"/>
      <c r="BU1304" s="6"/>
      <c r="BV1304" s="6"/>
      <c r="BW1304" s="6"/>
      <c r="BX1304" s="6"/>
      <c r="BY1304" s="6"/>
      <c r="BZ1304" s="6"/>
      <c r="CA1304" s="6"/>
      <c r="CB1304" s="6"/>
      <c r="CC1304" s="6"/>
    </row>
    <row r="1305" spans="2:81" x14ac:dyDescent="0.2">
      <c r="B1305" s="68"/>
      <c r="C1305" s="69"/>
      <c r="D1305" s="70"/>
      <c r="F1305" s="68"/>
      <c r="G1305" s="69"/>
      <c r="H1305" s="70"/>
      <c r="J1305" s="71"/>
      <c r="K1305" s="71"/>
      <c r="L1305" s="67"/>
      <c r="N1305" s="71"/>
      <c r="O1305" s="71"/>
      <c r="P1305" s="67"/>
      <c r="R1305" s="67"/>
      <c r="S1305" s="6"/>
      <c r="T1305" s="6"/>
      <c r="U1305" s="6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  <c r="AG1305" s="6"/>
      <c r="AH1305" s="6"/>
      <c r="AI1305" s="6"/>
      <c r="AJ1305" s="6"/>
      <c r="AK1305" s="6"/>
      <c r="AL1305" s="6"/>
      <c r="AM1305" s="6"/>
      <c r="AN1305" s="6"/>
      <c r="AO1305" s="6"/>
      <c r="AP1305" s="6"/>
      <c r="AQ1305" s="6"/>
      <c r="AR1305" s="6"/>
      <c r="AS1305" s="6"/>
      <c r="AT1305" s="6"/>
      <c r="AU1305" s="6"/>
      <c r="AV1305" s="6"/>
      <c r="AW1305" s="6"/>
      <c r="AX1305" s="6"/>
      <c r="AY1305" s="6"/>
      <c r="AZ1305" s="6"/>
      <c r="BA1305" s="6"/>
      <c r="BB1305" s="6"/>
      <c r="BC1305" s="6"/>
      <c r="BD1305" s="6"/>
      <c r="BE1305" s="6"/>
      <c r="BF1305" s="6"/>
      <c r="BG1305" s="6"/>
      <c r="BH1305" s="6"/>
      <c r="BI1305" s="6"/>
      <c r="BJ1305" s="6"/>
      <c r="BK1305" s="6"/>
      <c r="BL1305" s="6"/>
      <c r="BM1305" s="6"/>
      <c r="BN1305" s="6"/>
      <c r="BO1305" s="6"/>
      <c r="BP1305" s="6"/>
      <c r="BQ1305" s="6"/>
      <c r="BR1305" s="6"/>
      <c r="BS1305" s="6"/>
      <c r="BT1305" s="6"/>
      <c r="BU1305" s="6"/>
      <c r="BV1305" s="6"/>
      <c r="BW1305" s="6"/>
      <c r="BX1305" s="6"/>
      <c r="BY1305" s="6"/>
      <c r="BZ1305" s="6"/>
      <c r="CA1305" s="6"/>
      <c r="CB1305" s="6"/>
      <c r="CC1305" s="6"/>
    </row>
    <row r="1306" spans="2:81" x14ac:dyDescent="0.2">
      <c r="B1306" s="68"/>
      <c r="C1306" s="69"/>
      <c r="D1306" s="70"/>
      <c r="F1306" s="68"/>
      <c r="G1306" s="69"/>
      <c r="H1306" s="70"/>
      <c r="J1306" s="71"/>
      <c r="K1306" s="71"/>
      <c r="L1306" s="67"/>
      <c r="N1306" s="71"/>
      <c r="O1306" s="71"/>
      <c r="P1306" s="67"/>
      <c r="R1306" s="67"/>
      <c r="S1306" s="6"/>
      <c r="T1306" s="6"/>
      <c r="U1306" s="6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  <c r="AG1306" s="6"/>
      <c r="AH1306" s="6"/>
      <c r="AI1306" s="6"/>
      <c r="AJ1306" s="6"/>
      <c r="AK1306" s="6"/>
      <c r="AL1306" s="6"/>
      <c r="AM1306" s="6"/>
      <c r="AN1306" s="6"/>
      <c r="AO1306" s="6"/>
      <c r="AP1306" s="6"/>
      <c r="AQ1306" s="6"/>
      <c r="AR1306" s="6"/>
      <c r="AS1306" s="6"/>
      <c r="AT1306" s="6"/>
      <c r="AU1306" s="6"/>
      <c r="AV1306" s="6"/>
      <c r="AW1306" s="6"/>
      <c r="AX1306" s="6"/>
      <c r="AY1306" s="6"/>
      <c r="AZ1306" s="6"/>
      <c r="BA1306" s="6"/>
      <c r="BB1306" s="6"/>
      <c r="BC1306" s="6"/>
      <c r="BD1306" s="6"/>
      <c r="BE1306" s="6"/>
      <c r="BF1306" s="6"/>
      <c r="BG1306" s="6"/>
      <c r="BH1306" s="6"/>
      <c r="BI1306" s="6"/>
      <c r="BJ1306" s="6"/>
      <c r="BK1306" s="6"/>
      <c r="BL1306" s="6"/>
      <c r="BM1306" s="6"/>
      <c r="BN1306" s="6"/>
      <c r="BO1306" s="6"/>
      <c r="BP1306" s="6"/>
      <c r="BQ1306" s="6"/>
      <c r="BR1306" s="6"/>
      <c r="BS1306" s="6"/>
      <c r="BT1306" s="6"/>
      <c r="BU1306" s="6"/>
      <c r="BV1306" s="6"/>
      <c r="BW1306" s="6"/>
      <c r="BX1306" s="6"/>
      <c r="BY1306" s="6"/>
      <c r="BZ1306" s="6"/>
      <c r="CA1306" s="6"/>
      <c r="CB1306" s="6"/>
      <c r="CC1306" s="6"/>
    </row>
    <row r="1307" spans="2:81" x14ac:dyDescent="0.2">
      <c r="B1307" s="68"/>
      <c r="C1307" s="69"/>
      <c r="D1307" s="70"/>
      <c r="F1307" s="68"/>
      <c r="G1307" s="69"/>
      <c r="H1307" s="70"/>
      <c r="J1307" s="71"/>
      <c r="K1307" s="71"/>
      <c r="L1307" s="67"/>
      <c r="N1307" s="71"/>
      <c r="O1307" s="71"/>
      <c r="P1307" s="67"/>
      <c r="R1307" s="67"/>
      <c r="S1307" s="6"/>
      <c r="T1307" s="6"/>
      <c r="U1307" s="6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  <c r="AG1307" s="6"/>
      <c r="AH1307" s="6"/>
      <c r="AI1307" s="6"/>
      <c r="AJ1307" s="6"/>
      <c r="AK1307" s="6"/>
      <c r="AL1307" s="6"/>
      <c r="AM1307" s="6"/>
      <c r="AN1307" s="6"/>
      <c r="AO1307" s="6"/>
      <c r="AP1307" s="6"/>
      <c r="AQ1307" s="6"/>
      <c r="AR1307" s="6"/>
      <c r="AS1307" s="6"/>
      <c r="AT1307" s="6"/>
      <c r="AU1307" s="6"/>
      <c r="AV1307" s="6"/>
      <c r="AW1307" s="6"/>
      <c r="AX1307" s="6"/>
      <c r="AY1307" s="6"/>
      <c r="AZ1307" s="6"/>
      <c r="BA1307" s="6"/>
      <c r="BB1307" s="6"/>
      <c r="BC1307" s="6"/>
      <c r="BD1307" s="6"/>
      <c r="BE1307" s="6"/>
      <c r="BF1307" s="6"/>
      <c r="BG1307" s="6"/>
      <c r="BH1307" s="6"/>
      <c r="BI1307" s="6"/>
      <c r="BJ1307" s="6"/>
      <c r="BK1307" s="6"/>
      <c r="BL1307" s="6"/>
      <c r="BM1307" s="6"/>
      <c r="BN1307" s="6"/>
      <c r="BO1307" s="6"/>
      <c r="BP1307" s="6"/>
      <c r="BQ1307" s="6"/>
      <c r="BR1307" s="6"/>
      <c r="BS1307" s="6"/>
      <c r="BT1307" s="6"/>
      <c r="BU1307" s="6"/>
      <c r="BV1307" s="6"/>
      <c r="BW1307" s="6"/>
      <c r="BX1307" s="6"/>
      <c r="BY1307" s="6"/>
      <c r="BZ1307" s="6"/>
      <c r="CA1307" s="6"/>
      <c r="CB1307" s="6"/>
      <c r="CC1307" s="6"/>
    </row>
    <row r="1308" spans="2:81" x14ac:dyDescent="0.2">
      <c r="B1308" s="68"/>
      <c r="C1308" s="69"/>
      <c r="D1308" s="70"/>
      <c r="F1308" s="68"/>
      <c r="G1308" s="69"/>
      <c r="H1308" s="70"/>
      <c r="J1308" s="71"/>
      <c r="K1308" s="71"/>
      <c r="L1308" s="67"/>
      <c r="N1308" s="71"/>
      <c r="O1308" s="71"/>
      <c r="P1308" s="67"/>
      <c r="R1308" s="67"/>
      <c r="S1308" s="6"/>
      <c r="T1308" s="6"/>
      <c r="U1308" s="6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  <c r="AG1308" s="6"/>
      <c r="AH1308" s="6"/>
      <c r="AI1308" s="6"/>
      <c r="AJ1308" s="6"/>
      <c r="AK1308" s="6"/>
      <c r="AL1308" s="6"/>
      <c r="AM1308" s="6"/>
      <c r="AN1308" s="6"/>
      <c r="AO1308" s="6"/>
      <c r="AP1308" s="6"/>
      <c r="AQ1308" s="6"/>
      <c r="AR1308" s="6"/>
      <c r="AS1308" s="6"/>
      <c r="AT1308" s="6"/>
      <c r="AU1308" s="6"/>
      <c r="AV1308" s="6"/>
      <c r="AW1308" s="6"/>
      <c r="AX1308" s="6"/>
      <c r="AY1308" s="6"/>
      <c r="AZ1308" s="6"/>
      <c r="BA1308" s="6"/>
      <c r="BB1308" s="6"/>
      <c r="BC1308" s="6"/>
      <c r="BD1308" s="6"/>
      <c r="BE1308" s="6"/>
      <c r="BF1308" s="6"/>
      <c r="BG1308" s="6"/>
      <c r="BH1308" s="6"/>
      <c r="BI1308" s="6"/>
      <c r="BJ1308" s="6"/>
      <c r="BK1308" s="6"/>
      <c r="BL1308" s="6"/>
      <c r="BM1308" s="6"/>
      <c r="BN1308" s="6"/>
      <c r="BO1308" s="6"/>
      <c r="BP1308" s="6"/>
      <c r="BQ1308" s="6"/>
      <c r="BR1308" s="6"/>
      <c r="BS1308" s="6"/>
      <c r="BT1308" s="6"/>
      <c r="BU1308" s="6"/>
      <c r="BV1308" s="6"/>
      <c r="BW1308" s="6"/>
      <c r="BX1308" s="6"/>
      <c r="BY1308" s="6"/>
      <c r="BZ1308" s="6"/>
      <c r="CA1308" s="6"/>
      <c r="CB1308" s="6"/>
      <c r="CC1308" s="6"/>
    </row>
    <row r="1309" spans="2:81" x14ac:dyDescent="0.2">
      <c r="B1309" s="68"/>
      <c r="C1309" s="69"/>
      <c r="D1309" s="70"/>
      <c r="F1309" s="68"/>
      <c r="G1309" s="69"/>
      <c r="H1309" s="70"/>
      <c r="J1309" s="71"/>
      <c r="K1309" s="71"/>
      <c r="L1309" s="67"/>
      <c r="N1309" s="71"/>
      <c r="O1309" s="71"/>
      <c r="P1309" s="67"/>
      <c r="R1309" s="67"/>
      <c r="S1309" s="6"/>
      <c r="T1309" s="6"/>
      <c r="U1309" s="6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  <c r="AG1309" s="6"/>
      <c r="AH1309" s="6"/>
      <c r="AI1309" s="6"/>
      <c r="AJ1309" s="6"/>
      <c r="AK1309" s="6"/>
      <c r="AL1309" s="6"/>
      <c r="AM1309" s="6"/>
      <c r="AN1309" s="6"/>
      <c r="AO1309" s="6"/>
      <c r="AP1309" s="6"/>
      <c r="AQ1309" s="6"/>
      <c r="AR1309" s="6"/>
      <c r="AS1309" s="6"/>
      <c r="AT1309" s="6"/>
      <c r="AU1309" s="6"/>
      <c r="AV1309" s="6"/>
      <c r="AW1309" s="6"/>
      <c r="AX1309" s="6"/>
      <c r="AY1309" s="6"/>
      <c r="AZ1309" s="6"/>
      <c r="BA1309" s="6"/>
      <c r="BB1309" s="6"/>
      <c r="BC1309" s="6"/>
      <c r="BD1309" s="6"/>
      <c r="BE1309" s="6"/>
      <c r="BF1309" s="6"/>
      <c r="BG1309" s="6"/>
      <c r="BH1309" s="6"/>
      <c r="BI1309" s="6"/>
      <c r="BJ1309" s="6"/>
      <c r="BK1309" s="6"/>
      <c r="BL1309" s="6"/>
      <c r="BM1309" s="6"/>
      <c r="BN1309" s="6"/>
      <c r="BO1309" s="6"/>
      <c r="BP1309" s="6"/>
      <c r="BQ1309" s="6"/>
      <c r="BR1309" s="6"/>
      <c r="BS1309" s="6"/>
      <c r="BT1309" s="6"/>
      <c r="BU1309" s="6"/>
      <c r="BV1309" s="6"/>
      <c r="BW1309" s="6"/>
      <c r="BX1309" s="6"/>
      <c r="BY1309" s="6"/>
      <c r="BZ1309" s="6"/>
      <c r="CA1309" s="6"/>
      <c r="CB1309" s="6"/>
      <c r="CC1309" s="6"/>
    </row>
    <row r="1310" spans="2:81" x14ac:dyDescent="0.2">
      <c r="B1310" s="68"/>
      <c r="C1310" s="69"/>
      <c r="D1310" s="70"/>
      <c r="F1310" s="68"/>
      <c r="G1310" s="69"/>
      <c r="H1310" s="70"/>
      <c r="J1310" s="71"/>
      <c r="K1310" s="71"/>
      <c r="L1310" s="67"/>
      <c r="N1310" s="71"/>
      <c r="O1310" s="71"/>
      <c r="P1310" s="67"/>
      <c r="R1310" s="67"/>
      <c r="S1310" s="6"/>
      <c r="T1310" s="6"/>
      <c r="U1310" s="6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  <c r="AG1310" s="6"/>
      <c r="AH1310" s="6"/>
      <c r="AI1310" s="6"/>
      <c r="AJ1310" s="6"/>
      <c r="AK1310" s="6"/>
      <c r="AL1310" s="6"/>
      <c r="AM1310" s="6"/>
      <c r="AN1310" s="6"/>
      <c r="AO1310" s="6"/>
      <c r="AP1310" s="6"/>
      <c r="AQ1310" s="6"/>
      <c r="AR1310" s="6"/>
      <c r="AS1310" s="6"/>
      <c r="AT1310" s="6"/>
      <c r="AU1310" s="6"/>
      <c r="AV1310" s="6"/>
      <c r="AW1310" s="6"/>
      <c r="AX1310" s="6"/>
      <c r="AY1310" s="6"/>
      <c r="AZ1310" s="6"/>
      <c r="BA1310" s="6"/>
      <c r="BB1310" s="6"/>
      <c r="BC1310" s="6"/>
      <c r="BD1310" s="6"/>
      <c r="BE1310" s="6"/>
      <c r="BF1310" s="6"/>
      <c r="BG1310" s="6"/>
      <c r="BH1310" s="6"/>
      <c r="BI1310" s="6"/>
      <c r="BJ1310" s="6"/>
      <c r="BK1310" s="6"/>
      <c r="BL1310" s="6"/>
      <c r="BM1310" s="6"/>
      <c r="BN1310" s="6"/>
      <c r="BO1310" s="6"/>
      <c r="BP1310" s="6"/>
      <c r="BQ1310" s="6"/>
      <c r="BR1310" s="6"/>
      <c r="BS1310" s="6"/>
      <c r="BT1310" s="6"/>
      <c r="BU1310" s="6"/>
      <c r="BV1310" s="6"/>
      <c r="BW1310" s="6"/>
      <c r="BX1310" s="6"/>
      <c r="BY1310" s="6"/>
      <c r="BZ1310" s="6"/>
      <c r="CA1310" s="6"/>
      <c r="CB1310" s="6"/>
      <c r="CC1310" s="6"/>
    </row>
    <row r="1311" spans="2:81" x14ac:dyDescent="0.2">
      <c r="B1311" s="68"/>
      <c r="C1311" s="69"/>
      <c r="D1311" s="70"/>
      <c r="F1311" s="68"/>
      <c r="G1311" s="69"/>
      <c r="H1311" s="70"/>
      <c r="J1311" s="71"/>
      <c r="K1311" s="71"/>
      <c r="L1311" s="67"/>
      <c r="N1311" s="71"/>
      <c r="O1311" s="71"/>
      <c r="P1311" s="67"/>
      <c r="R1311" s="67"/>
      <c r="S1311" s="6"/>
      <c r="T1311" s="6"/>
      <c r="U1311" s="6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  <c r="AG1311" s="6"/>
      <c r="AH1311" s="6"/>
      <c r="AI1311" s="6"/>
      <c r="AJ1311" s="6"/>
      <c r="AK1311" s="6"/>
      <c r="AL1311" s="6"/>
      <c r="AM1311" s="6"/>
      <c r="AN1311" s="6"/>
      <c r="AO1311" s="6"/>
      <c r="AP1311" s="6"/>
      <c r="AQ1311" s="6"/>
      <c r="AR1311" s="6"/>
      <c r="AS1311" s="6"/>
      <c r="AT1311" s="6"/>
      <c r="AU1311" s="6"/>
      <c r="AV1311" s="6"/>
      <c r="AW1311" s="6"/>
      <c r="AX1311" s="6"/>
      <c r="AY1311" s="6"/>
      <c r="AZ1311" s="6"/>
      <c r="BA1311" s="6"/>
      <c r="BB1311" s="6"/>
      <c r="BC1311" s="6"/>
      <c r="BD1311" s="6"/>
      <c r="BE1311" s="6"/>
      <c r="BF1311" s="6"/>
      <c r="BG1311" s="6"/>
      <c r="BH1311" s="6"/>
      <c r="BI1311" s="6"/>
      <c r="BJ1311" s="6"/>
      <c r="BK1311" s="6"/>
      <c r="BL1311" s="6"/>
      <c r="BM1311" s="6"/>
      <c r="BN1311" s="6"/>
      <c r="BO1311" s="6"/>
      <c r="BP1311" s="6"/>
      <c r="BQ1311" s="6"/>
      <c r="BR1311" s="6"/>
      <c r="BS1311" s="6"/>
      <c r="BT1311" s="6"/>
      <c r="BU1311" s="6"/>
      <c r="BV1311" s="6"/>
      <c r="BW1311" s="6"/>
      <c r="BX1311" s="6"/>
      <c r="BY1311" s="6"/>
      <c r="BZ1311" s="6"/>
      <c r="CA1311" s="6"/>
      <c r="CB1311" s="6"/>
      <c r="CC1311" s="6"/>
    </row>
    <row r="1312" spans="2:81" x14ac:dyDescent="0.2">
      <c r="B1312" s="68"/>
      <c r="C1312" s="69"/>
      <c r="D1312" s="70"/>
      <c r="F1312" s="68"/>
      <c r="G1312" s="69"/>
      <c r="H1312" s="70"/>
      <c r="J1312" s="71"/>
      <c r="K1312" s="71"/>
      <c r="L1312" s="67"/>
      <c r="N1312" s="71"/>
      <c r="O1312" s="71"/>
      <c r="P1312" s="67"/>
      <c r="R1312" s="67"/>
      <c r="S1312" s="6"/>
      <c r="T1312" s="6"/>
      <c r="U1312" s="6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  <c r="AG1312" s="6"/>
      <c r="AH1312" s="6"/>
      <c r="AI1312" s="6"/>
      <c r="AJ1312" s="6"/>
      <c r="AK1312" s="6"/>
      <c r="AL1312" s="6"/>
      <c r="AM1312" s="6"/>
      <c r="AN1312" s="6"/>
      <c r="AO1312" s="6"/>
      <c r="AP1312" s="6"/>
      <c r="AQ1312" s="6"/>
      <c r="AR1312" s="6"/>
      <c r="AS1312" s="6"/>
      <c r="AT1312" s="6"/>
      <c r="AU1312" s="6"/>
      <c r="AV1312" s="6"/>
      <c r="AW1312" s="6"/>
      <c r="AX1312" s="6"/>
      <c r="AY1312" s="6"/>
      <c r="AZ1312" s="6"/>
      <c r="BA1312" s="6"/>
      <c r="BB1312" s="6"/>
      <c r="BC1312" s="6"/>
      <c r="BD1312" s="6"/>
      <c r="BE1312" s="6"/>
      <c r="BF1312" s="6"/>
      <c r="BG1312" s="6"/>
      <c r="BH1312" s="6"/>
      <c r="BI1312" s="6"/>
      <c r="BJ1312" s="6"/>
      <c r="BK1312" s="6"/>
      <c r="BL1312" s="6"/>
      <c r="BM1312" s="6"/>
      <c r="BN1312" s="6"/>
      <c r="BO1312" s="6"/>
      <c r="BP1312" s="6"/>
      <c r="BQ1312" s="6"/>
      <c r="BR1312" s="6"/>
      <c r="BS1312" s="6"/>
      <c r="BT1312" s="6"/>
      <c r="BU1312" s="6"/>
      <c r="BV1312" s="6"/>
      <c r="BW1312" s="6"/>
      <c r="BX1312" s="6"/>
      <c r="BY1312" s="6"/>
      <c r="BZ1312" s="6"/>
      <c r="CA1312" s="6"/>
      <c r="CB1312" s="6"/>
      <c r="CC1312" s="6"/>
    </row>
    <row r="1313" spans="2:81" x14ac:dyDescent="0.2">
      <c r="B1313" s="68"/>
      <c r="C1313" s="69"/>
      <c r="D1313" s="70"/>
      <c r="F1313" s="68"/>
      <c r="G1313" s="69"/>
      <c r="H1313" s="70"/>
      <c r="J1313" s="71"/>
      <c r="K1313" s="71"/>
      <c r="L1313" s="67"/>
      <c r="N1313" s="71"/>
      <c r="O1313" s="71"/>
      <c r="P1313" s="67"/>
      <c r="R1313" s="67"/>
      <c r="S1313" s="6"/>
      <c r="T1313" s="6"/>
      <c r="U1313" s="6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  <c r="AG1313" s="6"/>
      <c r="AH1313" s="6"/>
      <c r="AI1313" s="6"/>
      <c r="AJ1313" s="6"/>
      <c r="AK1313" s="6"/>
      <c r="AL1313" s="6"/>
      <c r="AM1313" s="6"/>
      <c r="AN1313" s="6"/>
      <c r="AO1313" s="6"/>
      <c r="AP1313" s="6"/>
      <c r="AQ1313" s="6"/>
      <c r="AR1313" s="6"/>
      <c r="AS1313" s="6"/>
      <c r="AT1313" s="6"/>
      <c r="AU1313" s="6"/>
      <c r="AV1313" s="6"/>
      <c r="AW1313" s="6"/>
      <c r="AX1313" s="6"/>
      <c r="AY1313" s="6"/>
      <c r="AZ1313" s="6"/>
      <c r="BA1313" s="6"/>
      <c r="BB1313" s="6"/>
      <c r="BC1313" s="6"/>
      <c r="BD1313" s="6"/>
      <c r="BE1313" s="6"/>
      <c r="BF1313" s="6"/>
      <c r="BG1313" s="6"/>
      <c r="BH1313" s="6"/>
      <c r="BI1313" s="6"/>
      <c r="BJ1313" s="6"/>
      <c r="BK1313" s="6"/>
      <c r="BL1313" s="6"/>
      <c r="BM1313" s="6"/>
      <c r="BN1313" s="6"/>
      <c r="BO1313" s="6"/>
      <c r="BP1313" s="6"/>
      <c r="BQ1313" s="6"/>
      <c r="BR1313" s="6"/>
      <c r="BS1313" s="6"/>
      <c r="BT1313" s="6"/>
      <c r="BU1313" s="6"/>
      <c r="BV1313" s="6"/>
      <c r="BW1313" s="6"/>
      <c r="BX1313" s="6"/>
      <c r="BY1313" s="6"/>
      <c r="BZ1313" s="6"/>
      <c r="CA1313" s="6"/>
      <c r="CB1313" s="6"/>
      <c r="CC1313" s="6"/>
    </row>
    <row r="1314" spans="2:81" x14ac:dyDescent="0.2">
      <c r="B1314" s="68"/>
      <c r="C1314" s="69"/>
      <c r="D1314" s="70"/>
      <c r="F1314" s="68"/>
      <c r="G1314" s="69"/>
      <c r="H1314" s="70"/>
      <c r="J1314" s="71"/>
      <c r="K1314" s="71"/>
      <c r="L1314" s="67"/>
      <c r="N1314" s="71"/>
      <c r="O1314" s="71"/>
      <c r="P1314" s="67"/>
      <c r="R1314" s="67"/>
      <c r="S1314" s="6"/>
      <c r="T1314" s="6"/>
      <c r="U1314" s="6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  <c r="AG1314" s="6"/>
      <c r="AH1314" s="6"/>
      <c r="AI1314" s="6"/>
      <c r="AJ1314" s="6"/>
      <c r="AK1314" s="6"/>
      <c r="AL1314" s="6"/>
      <c r="AM1314" s="6"/>
      <c r="AN1314" s="6"/>
      <c r="AO1314" s="6"/>
      <c r="AP1314" s="6"/>
      <c r="AQ1314" s="6"/>
      <c r="AR1314" s="6"/>
      <c r="AS1314" s="6"/>
      <c r="AT1314" s="6"/>
      <c r="AU1314" s="6"/>
      <c r="AV1314" s="6"/>
      <c r="AW1314" s="6"/>
      <c r="AX1314" s="6"/>
      <c r="AY1314" s="6"/>
      <c r="AZ1314" s="6"/>
      <c r="BA1314" s="6"/>
      <c r="BB1314" s="6"/>
      <c r="BC1314" s="6"/>
      <c r="BD1314" s="6"/>
      <c r="BE1314" s="6"/>
      <c r="BF1314" s="6"/>
      <c r="BG1314" s="6"/>
      <c r="BH1314" s="6"/>
      <c r="BI1314" s="6"/>
      <c r="BJ1314" s="6"/>
      <c r="BK1314" s="6"/>
      <c r="BL1314" s="6"/>
      <c r="BM1314" s="6"/>
      <c r="BN1314" s="6"/>
      <c r="BO1314" s="6"/>
      <c r="BP1314" s="6"/>
      <c r="BQ1314" s="6"/>
      <c r="BR1314" s="6"/>
      <c r="BS1314" s="6"/>
      <c r="BT1314" s="6"/>
      <c r="BU1314" s="6"/>
      <c r="BV1314" s="6"/>
      <c r="BW1314" s="6"/>
      <c r="BX1314" s="6"/>
      <c r="BY1314" s="6"/>
      <c r="BZ1314" s="6"/>
      <c r="CA1314" s="6"/>
      <c r="CB1314" s="6"/>
      <c r="CC1314" s="6"/>
    </row>
    <row r="1315" spans="2:81" x14ac:dyDescent="0.2">
      <c r="B1315" s="68"/>
      <c r="C1315" s="69"/>
      <c r="D1315" s="70"/>
      <c r="F1315" s="68"/>
      <c r="G1315" s="69"/>
      <c r="H1315" s="70"/>
      <c r="J1315" s="71"/>
      <c r="K1315" s="71"/>
      <c r="L1315" s="67"/>
      <c r="N1315" s="71"/>
      <c r="O1315" s="71"/>
      <c r="P1315" s="67"/>
      <c r="R1315" s="67"/>
      <c r="S1315" s="6"/>
      <c r="T1315" s="6"/>
      <c r="U1315" s="6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  <c r="AG1315" s="6"/>
      <c r="AH1315" s="6"/>
      <c r="AI1315" s="6"/>
      <c r="AJ1315" s="6"/>
      <c r="AK1315" s="6"/>
      <c r="AL1315" s="6"/>
      <c r="AM1315" s="6"/>
      <c r="AN1315" s="6"/>
      <c r="AO1315" s="6"/>
      <c r="AP1315" s="6"/>
      <c r="AQ1315" s="6"/>
      <c r="AR1315" s="6"/>
      <c r="AS1315" s="6"/>
      <c r="AT1315" s="6"/>
      <c r="AU1315" s="6"/>
      <c r="AV1315" s="6"/>
      <c r="AW1315" s="6"/>
      <c r="AX1315" s="6"/>
      <c r="AY1315" s="6"/>
      <c r="AZ1315" s="6"/>
      <c r="BA1315" s="6"/>
      <c r="BB1315" s="6"/>
      <c r="BC1315" s="6"/>
      <c r="BD1315" s="6"/>
      <c r="BE1315" s="6"/>
      <c r="BF1315" s="6"/>
      <c r="BG1315" s="6"/>
      <c r="BH1315" s="6"/>
      <c r="BI1315" s="6"/>
      <c r="BJ1315" s="6"/>
      <c r="BK1315" s="6"/>
      <c r="BL1315" s="6"/>
      <c r="BM1315" s="6"/>
      <c r="BN1315" s="6"/>
      <c r="BO1315" s="6"/>
      <c r="BP1315" s="6"/>
      <c r="BQ1315" s="6"/>
      <c r="BR1315" s="6"/>
      <c r="BS1315" s="6"/>
      <c r="BT1315" s="6"/>
      <c r="BU1315" s="6"/>
      <c r="BV1315" s="6"/>
      <c r="BW1315" s="6"/>
      <c r="BX1315" s="6"/>
      <c r="BY1315" s="6"/>
      <c r="BZ1315" s="6"/>
      <c r="CA1315" s="6"/>
      <c r="CB1315" s="6"/>
      <c r="CC1315" s="6"/>
    </row>
    <row r="1316" spans="2:81" x14ac:dyDescent="0.2">
      <c r="B1316" s="68"/>
      <c r="C1316" s="69"/>
      <c r="D1316" s="70"/>
      <c r="F1316" s="68"/>
      <c r="G1316" s="69"/>
      <c r="H1316" s="70"/>
      <c r="J1316" s="71"/>
      <c r="K1316" s="71"/>
      <c r="L1316" s="67"/>
      <c r="N1316" s="71"/>
      <c r="O1316" s="71"/>
      <c r="P1316" s="67"/>
      <c r="R1316" s="67"/>
      <c r="S1316" s="6"/>
      <c r="T1316" s="6"/>
      <c r="U1316" s="6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  <c r="AG1316" s="6"/>
      <c r="AH1316" s="6"/>
      <c r="AI1316" s="6"/>
      <c r="AJ1316" s="6"/>
      <c r="AK1316" s="6"/>
      <c r="AL1316" s="6"/>
      <c r="AM1316" s="6"/>
      <c r="AN1316" s="6"/>
      <c r="AO1316" s="6"/>
      <c r="AP1316" s="6"/>
      <c r="AQ1316" s="6"/>
      <c r="AR1316" s="6"/>
      <c r="AS1316" s="6"/>
      <c r="AT1316" s="6"/>
      <c r="AU1316" s="6"/>
      <c r="AV1316" s="6"/>
      <c r="AW1316" s="6"/>
      <c r="AX1316" s="6"/>
      <c r="AY1316" s="6"/>
      <c r="AZ1316" s="6"/>
      <c r="BA1316" s="6"/>
      <c r="BB1316" s="6"/>
      <c r="BC1316" s="6"/>
      <c r="BD1316" s="6"/>
      <c r="BE1316" s="6"/>
      <c r="BF1316" s="6"/>
      <c r="BG1316" s="6"/>
      <c r="BH1316" s="6"/>
      <c r="BI1316" s="6"/>
      <c r="BJ1316" s="6"/>
      <c r="BK1316" s="6"/>
      <c r="BL1316" s="6"/>
      <c r="BM1316" s="6"/>
      <c r="BN1316" s="6"/>
      <c r="BO1316" s="6"/>
      <c r="BP1316" s="6"/>
      <c r="BQ1316" s="6"/>
      <c r="BR1316" s="6"/>
      <c r="BS1316" s="6"/>
      <c r="BT1316" s="6"/>
      <c r="BU1316" s="6"/>
      <c r="BV1316" s="6"/>
      <c r="BW1316" s="6"/>
      <c r="BX1316" s="6"/>
      <c r="BY1316" s="6"/>
      <c r="BZ1316" s="6"/>
      <c r="CA1316" s="6"/>
      <c r="CB1316" s="6"/>
      <c r="CC1316" s="6"/>
    </row>
    <row r="1317" spans="2:81" x14ac:dyDescent="0.2">
      <c r="B1317" s="68"/>
      <c r="C1317" s="69"/>
      <c r="D1317" s="70"/>
      <c r="F1317" s="68"/>
      <c r="G1317" s="69"/>
      <c r="H1317" s="70"/>
      <c r="J1317" s="71"/>
      <c r="K1317" s="71"/>
      <c r="L1317" s="67"/>
      <c r="N1317" s="71"/>
      <c r="O1317" s="71"/>
      <c r="P1317" s="67"/>
      <c r="R1317" s="67"/>
      <c r="S1317" s="6"/>
      <c r="T1317" s="6"/>
      <c r="U1317" s="6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  <c r="AG1317" s="6"/>
      <c r="AH1317" s="6"/>
      <c r="AI1317" s="6"/>
      <c r="AJ1317" s="6"/>
      <c r="AK1317" s="6"/>
      <c r="AL1317" s="6"/>
      <c r="AM1317" s="6"/>
      <c r="AN1317" s="6"/>
      <c r="AO1317" s="6"/>
      <c r="AP1317" s="6"/>
      <c r="AQ1317" s="6"/>
      <c r="AR1317" s="6"/>
      <c r="AS1317" s="6"/>
      <c r="AT1317" s="6"/>
      <c r="AU1317" s="6"/>
      <c r="AV1317" s="6"/>
      <c r="AW1317" s="6"/>
      <c r="AX1317" s="6"/>
      <c r="AY1317" s="6"/>
      <c r="AZ1317" s="6"/>
      <c r="BA1317" s="6"/>
      <c r="BB1317" s="6"/>
      <c r="BC1317" s="6"/>
      <c r="BD1317" s="6"/>
      <c r="BE1317" s="6"/>
      <c r="BF1317" s="6"/>
      <c r="BG1317" s="6"/>
      <c r="BH1317" s="6"/>
      <c r="BI1317" s="6"/>
      <c r="BJ1317" s="6"/>
      <c r="BK1317" s="6"/>
      <c r="BL1317" s="6"/>
      <c r="BM1317" s="6"/>
      <c r="BN1317" s="6"/>
      <c r="BO1317" s="6"/>
      <c r="BP1317" s="6"/>
      <c r="BQ1317" s="6"/>
      <c r="BR1317" s="6"/>
      <c r="BS1317" s="6"/>
      <c r="BT1317" s="6"/>
      <c r="BU1317" s="6"/>
      <c r="BV1317" s="6"/>
      <c r="BW1317" s="6"/>
      <c r="BX1317" s="6"/>
      <c r="BY1317" s="6"/>
      <c r="BZ1317" s="6"/>
      <c r="CA1317" s="6"/>
      <c r="CB1317" s="6"/>
      <c r="CC1317" s="6"/>
    </row>
    <row r="1318" spans="2:81" x14ac:dyDescent="0.2">
      <c r="B1318" s="68"/>
      <c r="C1318" s="69"/>
      <c r="D1318" s="70"/>
      <c r="F1318" s="68"/>
      <c r="G1318" s="69"/>
      <c r="H1318" s="70"/>
      <c r="J1318" s="71"/>
      <c r="K1318" s="71"/>
      <c r="L1318" s="67"/>
      <c r="N1318" s="71"/>
      <c r="O1318" s="71"/>
      <c r="P1318" s="67"/>
      <c r="R1318" s="67"/>
      <c r="S1318" s="6"/>
      <c r="T1318" s="6"/>
      <c r="U1318" s="6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  <c r="AG1318" s="6"/>
      <c r="AH1318" s="6"/>
      <c r="AI1318" s="6"/>
      <c r="AJ1318" s="6"/>
      <c r="AK1318" s="6"/>
      <c r="AL1318" s="6"/>
      <c r="AM1318" s="6"/>
      <c r="AN1318" s="6"/>
      <c r="AO1318" s="6"/>
      <c r="AP1318" s="6"/>
      <c r="AQ1318" s="6"/>
      <c r="AR1318" s="6"/>
      <c r="AS1318" s="6"/>
      <c r="AT1318" s="6"/>
      <c r="AU1318" s="6"/>
      <c r="AV1318" s="6"/>
      <c r="AW1318" s="6"/>
      <c r="AX1318" s="6"/>
      <c r="AY1318" s="6"/>
      <c r="AZ1318" s="6"/>
      <c r="BA1318" s="6"/>
      <c r="BB1318" s="6"/>
      <c r="BC1318" s="6"/>
      <c r="BD1318" s="6"/>
      <c r="BE1318" s="6"/>
      <c r="BF1318" s="6"/>
      <c r="BG1318" s="6"/>
      <c r="BH1318" s="6"/>
      <c r="BI1318" s="6"/>
      <c r="BJ1318" s="6"/>
      <c r="BK1318" s="6"/>
      <c r="BL1318" s="6"/>
      <c r="BM1318" s="6"/>
      <c r="BN1318" s="6"/>
      <c r="BO1318" s="6"/>
      <c r="BP1318" s="6"/>
      <c r="BQ1318" s="6"/>
      <c r="BR1318" s="6"/>
      <c r="BS1318" s="6"/>
      <c r="BT1318" s="6"/>
      <c r="BU1318" s="6"/>
      <c r="BV1318" s="6"/>
      <c r="BW1318" s="6"/>
      <c r="BX1318" s="6"/>
      <c r="BY1318" s="6"/>
      <c r="BZ1318" s="6"/>
      <c r="CA1318" s="6"/>
      <c r="CB1318" s="6"/>
      <c r="CC1318" s="6"/>
    </row>
    <row r="1319" spans="2:81" x14ac:dyDescent="0.2">
      <c r="B1319" s="68"/>
      <c r="C1319" s="69"/>
      <c r="D1319" s="70"/>
      <c r="F1319" s="68"/>
      <c r="G1319" s="69"/>
      <c r="H1319" s="70"/>
      <c r="J1319" s="71"/>
      <c r="K1319" s="71"/>
      <c r="L1319" s="67"/>
      <c r="N1319" s="71"/>
      <c r="O1319" s="71"/>
      <c r="P1319" s="67"/>
      <c r="R1319" s="67"/>
      <c r="S1319" s="6"/>
      <c r="T1319" s="6"/>
      <c r="U1319" s="6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  <c r="AG1319" s="6"/>
      <c r="AH1319" s="6"/>
      <c r="AI1319" s="6"/>
      <c r="AJ1319" s="6"/>
      <c r="AK1319" s="6"/>
      <c r="AL1319" s="6"/>
      <c r="AM1319" s="6"/>
      <c r="AN1319" s="6"/>
      <c r="AO1319" s="6"/>
      <c r="AP1319" s="6"/>
      <c r="AQ1319" s="6"/>
      <c r="AR1319" s="6"/>
      <c r="AS1319" s="6"/>
      <c r="AT1319" s="6"/>
      <c r="AU1319" s="6"/>
      <c r="AV1319" s="6"/>
      <c r="AW1319" s="6"/>
      <c r="AX1319" s="6"/>
      <c r="AY1319" s="6"/>
      <c r="AZ1319" s="6"/>
      <c r="BA1319" s="6"/>
      <c r="BB1319" s="6"/>
      <c r="BC1319" s="6"/>
      <c r="BD1319" s="6"/>
      <c r="BE1319" s="6"/>
      <c r="BF1319" s="6"/>
      <c r="BG1319" s="6"/>
      <c r="BH1319" s="6"/>
      <c r="BI1319" s="6"/>
      <c r="BJ1319" s="6"/>
      <c r="BK1319" s="6"/>
      <c r="BL1319" s="6"/>
      <c r="BM1319" s="6"/>
      <c r="BN1319" s="6"/>
      <c r="BO1319" s="6"/>
      <c r="BP1319" s="6"/>
      <c r="BQ1319" s="6"/>
      <c r="BR1319" s="6"/>
      <c r="BS1319" s="6"/>
      <c r="BT1319" s="6"/>
      <c r="BU1319" s="6"/>
      <c r="BV1319" s="6"/>
      <c r="BW1319" s="6"/>
      <c r="BX1319" s="6"/>
      <c r="BY1319" s="6"/>
      <c r="BZ1319" s="6"/>
      <c r="CA1319" s="6"/>
      <c r="CB1319" s="6"/>
      <c r="CC1319" s="6"/>
    </row>
    <row r="1320" spans="2:81" x14ac:dyDescent="0.2">
      <c r="B1320" s="68"/>
      <c r="C1320" s="69"/>
      <c r="D1320" s="70"/>
      <c r="F1320" s="68"/>
      <c r="G1320" s="69"/>
      <c r="H1320" s="70"/>
      <c r="J1320" s="71"/>
      <c r="K1320" s="71"/>
      <c r="L1320" s="67"/>
      <c r="N1320" s="71"/>
      <c r="O1320" s="71"/>
      <c r="P1320" s="67"/>
      <c r="R1320" s="67"/>
      <c r="S1320" s="6"/>
      <c r="T1320" s="6"/>
      <c r="U1320" s="6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  <c r="AG1320" s="6"/>
      <c r="AH1320" s="6"/>
      <c r="AI1320" s="6"/>
      <c r="AJ1320" s="6"/>
      <c r="AK1320" s="6"/>
      <c r="AL1320" s="6"/>
      <c r="AM1320" s="6"/>
      <c r="AN1320" s="6"/>
      <c r="AO1320" s="6"/>
      <c r="AP1320" s="6"/>
      <c r="AQ1320" s="6"/>
      <c r="AR1320" s="6"/>
      <c r="AS1320" s="6"/>
      <c r="AT1320" s="6"/>
      <c r="AU1320" s="6"/>
      <c r="AV1320" s="6"/>
      <c r="AW1320" s="6"/>
      <c r="AX1320" s="6"/>
      <c r="AY1320" s="6"/>
      <c r="AZ1320" s="6"/>
      <c r="BA1320" s="6"/>
      <c r="BB1320" s="6"/>
      <c r="BC1320" s="6"/>
      <c r="BD1320" s="6"/>
      <c r="BE1320" s="6"/>
      <c r="BF1320" s="6"/>
      <c r="BG1320" s="6"/>
      <c r="BH1320" s="6"/>
      <c r="BI1320" s="6"/>
      <c r="BJ1320" s="6"/>
      <c r="BK1320" s="6"/>
      <c r="BL1320" s="6"/>
      <c r="BM1320" s="6"/>
      <c r="BN1320" s="6"/>
      <c r="BO1320" s="6"/>
      <c r="BP1320" s="6"/>
      <c r="BQ1320" s="6"/>
      <c r="BR1320" s="6"/>
      <c r="BS1320" s="6"/>
      <c r="BT1320" s="6"/>
      <c r="BU1320" s="6"/>
      <c r="BV1320" s="6"/>
      <c r="BW1320" s="6"/>
      <c r="BX1320" s="6"/>
      <c r="BY1320" s="6"/>
      <c r="BZ1320" s="6"/>
      <c r="CA1320" s="6"/>
      <c r="CB1320" s="6"/>
      <c r="CC1320" s="6"/>
    </row>
    <row r="1321" spans="2:81" x14ac:dyDescent="0.2">
      <c r="B1321" s="68"/>
      <c r="C1321" s="69"/>
      <c r="D1321" s="70"/>
      <c r="F1321" s="68"/>
      <c r="G1321" s="69"/>
      <c r="H1321" s="70"/>
      <c r="J1321" s="71"/>
      <c r="K1321" s="71"/>
      <c r="L1321" s="67"/>
      <c r="N1321" s="71"/>
      <c r="O1321" s="71"/>
      <c r="P1321" s="67"/>
      <c r="R1321" s="67"/>
      <c r="S1321" s="6"/>
      <c r="T1321" s="6"/>
      <c r="U1321" s="6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  <c r="AG1321" s="6"/>
      <c r="AH1321" s="6"/>
      <c r="AI1321" s="6"/>
      <c r="AJ1321" s="6"/>
      <c r="AK1321" s="6"/>
      <c r="AL1321" s="6"/>
      <c r="AM1321" s="6"/>
      <c r="AN1321" s="6"/>
      <c r="AO1321" s="6"/>
      <c r="AP1321" s="6"/>
      <c r="AQ1321" s="6"/>
      <c r="AR1321" s="6"/>
      <c r="AS1321" s="6"/>
      <c r="AT1321" s="6"/>
      <c r="AU1321" s="6"/>
      <c r="AV1321" s="6"/>
      <c r="AW1321" s="6"/>
      <c r="AX1321" s="6"/>
      <c r="AY1321" s="6"/>
      <c r="AZ1321" s="6"/>
      <c r="BA1321" s="6"/>
      <c r="BB1321" s="6"/>
      <c r="BC1321" s="6"/>
      <c r="BD1321" s="6"/>
      <c r="BE1321" s="6"/>
      <c r="BF1321" s="6"/>
      <c r="BG1321" s="6"/>
      <c r="BH1321" s="6"/>
      <c r="BI1321" s="6"/>
      <c r="BJ1321" s="6"/>
      <c r="BK1321" s="6"/>
      <c r="BL1321" s="6"/>
      <c r="BM1321" s="6"/>
      <c r="BN1321" s="6"/>
      <c r="BO1321" s="6"/>
      <c r="BP1321" s="6"/>
      <c r="BQ1321" s="6"/>
      <c r="BR1321" s="6"/>
      <c r="BS1321" s="6"/>
      <c r="BT1321" s="6"/>
      <c r="BU1321" s="6"/>
      <c r="BV1321" s="6"/>
      <c r="BW1321" s="6"/>
      <c r="BX1321" s="6"/>
      <c r="BY1321" s="6"/>
      <c r="BZ1321" s="6"/>
      <c r="CA1321" s="6"/>
      <c r="CB1321" s="6"/>
      <c r="CC1321" s="6"/>
    </row>
    <row r="1322" spans="2:81" x14ac:dyDescent="0.2">
      <c r="B1322" s="68"/>
      <c r="C1322" s="69"/>
      <c r="D1322" s="70"/>
      <c r="F1322" s="68"/>
      <c r="G1322" s="69"/>
      <c r="H1322" s="70"/>
      <c r="J1322" s="71"/>
      <c r="K1322" s="71"/>
      <c r="L1322" s="67"/>
      <c r="N1322" s="71"/>
      <c r="O1322" s="71"/>
      <c r="P1322" s="67"/>
      <c r="R1322" s="67"/>
      <c r="S1322" s="6"/>
      <c r="T1322" s="6"/>
      <c r="U1322" s="6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  <c r="AG1322" s="6"/>
      <c r="AH1322" s="6"/>
      <c r="AI1322" s="6"/>
      <c r="AJ1322" s="6"/>
      <c r="AK1322" s="6"/>
      <c r="AL1322" s="6"/>
      <c r="AM1322" s="6"/>
      <c r="AN1322" s="6"/>
      <c r="AO1322" s="6"/>
      <c r="AP1322" s="6"/>
      <c r="AQ1322" s="6"/>
      <c r="AR1322" s="6"/>
      <c r="AS1322" s="6"/>
      <c r="AT1322" s="6"/>
      <c r="AU1322" s="6"/>
      <c r="AV1322" s="6"/>
      <c r="AW1322" s="6"/>
      <c r="AX1322" s="6"/>
      <c r="AY1322" s="6"/>
      <c r="AZ1322" s="6"/>
      <c r="BA1322" s="6"/>
      <c r="BB1322" s="6"/>
      <c r="BC1322" s="6"/>
      <c r="BD1322" s="6"/>
      <c r="BE1322" s="6"/>
      <c r="BF1322" s="6"/>
      <c r="BG1322" s="6"/>
      <c r="BH1322" s="6"/>
      <c r="BI1322" s="6"/>
      <c r="BJ1322" s="6"/>
      <c r="BK1322" s="6"/>
      <c r="BL1322" s="6"/>
      <c r="BM1322" s="6"/>
      <c r="BN1322" s="6"/>
      <c r="BO1322" s="6"/>
      <c r="BP1322" s="6"/>
      <c r="BQ1322" s="6"/>
      <c r="BR1322" s="6"/>
      <c r="BS1322" s="6"/>
      <c r="BT1322" s="6"/>
      <c r="BU1322" s="6"/>
      <c r="BV1322" s="6"/>
      <c r="BW1322" s="6"/>
      <c r="BX1322" s="6"/>
      <c r="BY1322" s="6"/>
      <c r="BZ1322" s="6"/>
      <c r="CA1322" s="6"/>
      <c r="CB1322" s="6"/>
      <c r="CC1322" s="6"/>
    </row>
    <row r="1323" spans="2:81" x14ac:dyDescent="0.2">
      <c r="B1323" s="68"/>
      <c r="C1323" s="69"/>
      <c r="D1323" s="70"/>
      <c r="F1323" s="68"/>
      <c r="G1323" s="69"/>
      <c r="H1323" s="70"/>
      <c r="J1323" s="71"/>
      <c r="K1323" s="71"/>
      <c r="L1323" s="67"/>
      <c r="N1323" s="71"/>
      <c r="O1323" s="71"/>
      <c r="P1323" s="67"/>
      <c r="R1323" s="67"/>
      <c r="S1323" s="6"/>
      <c r="T1323" s="6"/>
      <c r="U1323" s="6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  <c r="AG1323" s="6"/>
      <c r="AH1323" s="6"/>
      <c r="AI1323" s="6"/>
      <c r="AJ1323" s="6"/>
      <c r="AK1323" s="6"/>
      <c r="AL1323" s="6"/>
      <c r="AM1323" s="6"/>
      <c r="AN1323" s="6"/>
      <c r="AO1323" s="6"/>
      <c r="AP1323" s="6"/>
      <c r="AQ1323" s="6"/>
      <c r="AR1323" s="6"/>
      <c r="AS1323" s="6"/>
      <c r="AT1323" s="6"/>
      <c r="AU1323" s="6"/>
      <c r="AV1323" s="6"/>
      <c r="AW1323" s="6"/>
      <c r="AX1323" s="6"/>
      <c r="AY1323" s="6"/>
      <c r="AZ1323" s="6"/>
      <c r="BA1323" s="6"/>
      <c r="BB1323" s="6"/>
      <c r="BC1323" s="6"/>
      <c r="BD1323" s="6"/>
      <c r="BE1323" s="6"/>
      <c r="BF1323" s="6"/>
      <c r="BG1323" s="6"/>
      <c r="BH1323" s="6"/>
      <c r="BI1323" s="6"/>
      <c r="BJ1323" s="6"/>
      <c r="BK1323" s="6"/>
      <c r="BL1323" s="6"/>
      <c r="BM1323" s="6"/>
      <c r="BN1323" s="6"/>
      <c r="BO1323" s="6"/>
      <c r="BP1323" s="6"/>
      <c r="BQ1323" s="6"/>
      <c r="BR1323" s="6"/>
      <c r="BS1323" s="6"/>
      <c r="BT1323" s="6"/>
      <c r="BU1323" s="6"/>
      <c r="BV1323" s="6"/>
      <c r="BW1323" s="6"/>
      <c r="BX1323" s="6"/>
      <c r="BY1323" s="6"/>
      <c r="BZ1323" s="6"/>
      <c r="CA1323" s="6"/>
      <c r="CB1323" s="6"/>
      <c r="CC1323" s="6"/>
    </row>
    <row r="1324" spans="2:81" x14ac:dyDescent="0.2">
      <c r="B1324" s="68"/>
      <c r="C1324" s="69"/>
      <c r="D1324" s="70"/>
      <c r="F1324" s="68"/>
      <c r="G1324" s="69"/>
      <c r="H1324" s="70"/>
      <c r="J1324" s="71"/>
      <c r="K1324" s="71"/>
      <c r="L1324" s="67"/>
      <c r="N1324" s="71"/>
      <c r="O1324" s="71"/>
      <c r="P1324" s="67"/>
      <c r="R1324" s="67"/>
      <c r="S1324" s="6"/>
      <c r="T1324" s="6"/>
      <c r="U1324" s="6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  <c r="AG1324" s="6"/>
      <c r="AH1324" s="6"/>
      <c r="AI1324" s="6"/>
      <c r="AJ1324" s="6"/>
      <c r="AK1324" s="6"/>
      <c r="AL1324" s="6"/>
      <c r="AM1324" s="6"/>
      <c r="AN1324" s="6"/>
      <c r="AO1324" s="6"/>
      <c r="AP1324" s="6"/>
      <c r="AQ1324" s="6"/>
      <c r="AR1324" s="6"/>
      <c r="AS1324" s="6"/>
      <c r="AT1324" s="6"/>
      <c r="AU1324" s="6"/>
      <c r="AV1324" s="6"/>
      <c r="AW1324" s="6"/>
      <c r="AX1324" s="6"/>
      <c r="AY1324" s="6"/>
      <c r="AZ1324" s="6"/>
      <c r="BA1324" s="6"/>
      <c r="BB1324" s="6"/>
      <c r="BC1324" s="6"/>
      <c r="BD1324" s="6"/>
      <c r="BE1324" s="6"/>
      <c r="BF1324" s="6"/>
      <c r="BG1324" s="6"/>
      <c r="BH1324" s="6"/>
      <c r="BI1324" s="6"/>
      <c r="BJ1324" s="6"/>
      <c r="BK1324" s="6"/>
      <c r="BL1324" s="6"/>
      <c r="BM1324" s="6"/>
      <c r="BN1324" s="6"/>
      <c r="BO1324" s="6"/>
      <c r="BP1324" s="6"/>
      <c r="BQ1324" s="6"/>
      <c r="BR1324" s="6"/>
      <c r="BS1324" s="6"/>
      <c r="BT1324" s="6"/>
      <c r="BU1324" s="6"/>
      <c r="BV1324" s="6"/>
      <c r="BW1324" s="6"/>
      <c r="BX1324" s="6"/>
      <c r="BY1324" s="6"/>
      <c r="BZ1324" s="6"/>
      <c r="CA1324" s="6"/>
      <c r="CB1324" s="6"/>
      <c r="CC1324" s="6"/>
    </row>
    <row r="1325" spans="2:81" x14ac:dyDescent="0.2">
      <c r="B1325" s="68"/>
      <c r="C1325" s="69"/>
      <c r="D1325" s="70"/>
      <c r="F1325" s="68"/>
      <c r="G1325" s="69"/>
      <c r="H1325" s="70"/>
      <c r="J1325" s="71"/>
      <c r="K1325" s="71"/>
      <c r="L1325" s="67"/>
      <c r="N1325" s="71"/>
      <c r="O1325" s="71"/>
      <c r="P1325" s="67"/>
      <c r="R1325" s="67"/>
      <c r="S1325" s="6"/>
      <c r="T1325" s="6"/>
      <c r="U1325" s="6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  <c r="AG1325" s="6"/>
      <c r="AH1325" s="6"/>
      <c r="AI1325" s="6"/>
      <c r="AJ1325" s="6"/>
      <c r="AK1325" s="6"/>
      <c r="AL1325" s="6"/>
      <c r="AM1325" s="6"/>
      <c r="AN1325" s="6"/>
      <c r="AO1325" s="6"/>
      <c r="AP1325" s="6"/>
      <c r="AQ1325" s="6"/>
      <c r="AR1325" s="6"/>
      <c r="AS1325" s="6"/>
      <c r="AT1325" s="6"/>
      <c r="AU1325" s="6"/>
      <c r="AV1325" s="6"/>
      <c r="AW1325" s="6"/>
      <c r="AX1325" s="6"/>
      <c r="AY1325" s="6"/>
      <c r="AZ1325" s="6"/>
      <c r="BA1325" s="6"/>
      <c r="BB1325" s="6"/>
      <c r="BC1325" s="6"/>
      <c r="BD1325" s="6"/>
      <c r="BE1325" s="6"/>
      <c r="BF1325" s="6"/>
      <c r="BG1325" s="6"/>
      <c r="BH1325" s="6"/>
      <c r="BI1325" s="6"/>
      <c r="BJ1325" s="6"/>
      <c r="BK1325" s="6"/>
      <c r="BL1325" s="6"/>
      <c r="BM1325" s="6"/>
      <c r="BN1325" s="6"/>
      <c r="BO1325" s="6"/>
      <c r="BP1325" s="6"/>
      <c r="BQ1325" s="6"/>
      <c r="BR1325" s="6"/>
      <c r="BS1325" s="6"/>
      <c r="BT1325" s="6"/>
      <c r="BU1325" s="6"/>
      <c r="BV1325" s="6"/>
      <c r="BW1325" s="6"/>
      <c r="BX1325" s="6"/>
      <c r="BY1325" s="6"/>
      <c r="BZ1325" s="6"/>
      <c r="CA1325" s="6"/>
      <c r="CB1325" s="6"/>
      <c r="CC1325" s="6"/>
    </row>
    <row r="1326" spans="2:81" x14ac:dyDescent="0.2">
      <c r="B1326" s="68"/>
      <c r="C1326" s="69"/>
      <c r="D1326" s="70"/>
      <c r="F1326" s="68"/>
      <c r="G1326" s="69"/>
      <c r="H1326" s="70"/>
      <c r="J1326" s="71"/>
      <c r="K1326" s="71"/>
      <c r="L1326" s="67"/>
      <c r="N1326" s="71"/>
      <c r="O1326" s="71"/>
      <c r="P1326" s="67"/>
      <c r="R1326" s="67"/>
      <c r="S1326" s="6"/>
      <c r="T1326" s="6"/>
      <c r="U1326" s="6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  <c r="AG1326" s="6"/>
      <c r="AH1326" s="6"/>
      <c r="AI1326" s="6"/>
      <c r="AJ1326" s="6"/>
      <c r="AK1326" s="6"/>
      <c r="AL1326" s="6"/>
      <c r="AM1326" s="6"/>
      <c r="AN1326" s="6"/>
      <c r="AO1326" s="6"/>
      <c r="AP1326" s="6"/>
      <c r="AQ1326" s="6"/>
      <c r="AR1326" s="6"/>
      <c r="AS1326" s="6"/>
      <c r="AT1326" s="6"/>
      <c r="AU1326" s="6"/>
      <c r="AV1326" s="6"/>
      <c r="AW1326" s="6"/>
      <c r="AX1326" s="6"/>
      <c r="AY1326" s="6"/>
      <c r="AZ1326" s="6"/>
      <c r="BA1326" s="6"/>
      <c r="BB1326" s="6"/>
      <c r="BC1326" s="6"/>
      <c r="BD1326" s="6"/>
      <c r="BE1326" s="6"/>
      <c r="BF1326" s="6"/>
      <c r="BG1326" s="6"/>
      <c r="BH1326" s="6"/>
      <c r="BI1326" s="6"/>
      <c r="BJ1326" s="6"/>
      <c r="BK1326" s="6"/>
      <c r="BL1326" s="6"/>
      <c r="BM1326" s="6"/>
      <c r="BN1326" s="6"/>
      <c r="BO1326" s="6"/>
      <c r="BP1326" s="6"/>
      <c r="BQ1326" s="6"/>
      <c r="BR1326" s="6"/>
      <c r="BS1326" s="6"/>
      <c r="BT1326" s="6"/>
      <c r="BU1326" s="6"/>
      <c r="BV1326" s="6"/>
      <c r="BW1326" s="6"/>
      <c r="BX1326" s="6"/>
      <c r="BY1326" s="6"/>
      <c r="BZ1326" s="6"/>
      <c r="CA1326" s="6"/>
      <c r="CB1326" s="6"/>
      <c r="CC1326" s="6"/>
    </row>
    <row r="1327" spans="2:81" x14ac:dyDescent="0.2">
      <c r="B1327" s="68"/>
      <c r="C1327" s="69"/>
      <c r="D1327" s="70"/>
      <c r="F1327" s="68"/>
      <c r="G1327" s="69"/>
      <c r="H1327" s="70"/>
      <c r="J1327" s="71"/>
      <c r="K1327" s="71"/>
      <c r="L1327" s="67"/>
      <c r="N1327" s="71"/>
      <c r="O1327" s="71"/>
      <c r="P1327" s="67"/>
      <c r="R1327" s="67"/>
      <c r="S1327" s="6"/>
      <c r="T1327" s="6"/>
      <c r="U1327" s="6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  <c r="AG1327" s="6"/>
      <c r="AH1327" s="6"/>
      <c r="AI1327" s="6"/>
      <c r="AJ1327" s="6"/>
      <c r="AK1327" s="6"/>
      <c r="AL1327" s="6"/>
      <c r="AM1327" s="6"/>
      <c r="AN1327" s="6"/>
      <c r="AO1327" s="6"/>
      <c r="AP1327" s="6"/>
      <c r="AQ1327" s="6"/>
      <c r="AR1327" s="6"/>
      <c r="AS1327" s="6"/>
      <c r="AT1327" s="6"/>
      <c r="AU1327" s="6"/>
      <c r="AV1327" s="6"/>
      <c r="AW1327" s="6"/>
      <c r="AX1327" s="6"/>
      <c r="AY1327" s="6"/>
      <c r="AZ1327" s="6"/>
      <c r="BA1327" s="6"/>
      <c r="BB1327" s="6"/>
      <c r="BC1327" s="6"/>
      <c r="BD1327" s="6"/>
      <c r="BE1327" s="6"/>
      <c r="BF1327" s="6"/>
      <c r="BG1327" s="6"/>
      <c r="BH1327" s="6"/>
      <c r="BI1327" s="6"/>
      <c r="BJ1327" s="6"/>
      <c r="BK1327" s="6"/>
      <c r="BL1327" s="6"/>
      <c r="BM1327" s="6"/>
      <c r="BN1327" s="6"/>
      <c r="BO1327" s="6"/>
      <c r="BP1327" s="6"/>
      <c r="BQ1327" s="6"/>
      <c r="BR1327" s="6"/>
      <c r="BS1327" s="6"/>
      <c r="BT1327" s="6"/>
      <c r="BU1327" s="6"/>
      <c r="BV1327" s="6"/>
      <c r="BW1327" s="6"/>
      <c r="BX1327" s="6"/>
      <c r="BY1327" s="6"/>
      <c r="BZ1327" s="6"/>
      <c r="CA1327" s="6"/>
      <c r="CB1327" s="6"/>
      <c r="CC1327" s="6"/>
    </row>
    <row r="1328" spans="2:81" x14ac:dyDescent="0.2">
      <c r="B1328" s="68"/>
      <c r="C1328" s="69"/>
      <c r="D1328" s="70"/>
      <c r="F1328" s="68"/>
      <c r="G1328" s="69"/>
      <c r="H1328" s="70"/>
      <c r="J1328" s="71"/>
      <c r="K1328" s="71"/>
      <c r="L1328" s="67"/>
      <c r="N1328" s="71"/>
      <c r="O1328" s="71"/>
      <c r="P1328" s="67"/>
      <c r="R1328" s="67"/>
      <c r="S1328" s="6"/>
      <c r="T1328" s="6"/>
      <c r="U1328" s="6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  <c r="AG1328" s="6"/>
      <c r="AH1328" s="6"/>
      <c r="AI1328" s="6"/>
      <c r="AJ1328" s="6"/>
      <c r="AK1328" s="6"/>
      <c r="AL1328" s="6"/>
      <c r="AM1328" s="6"/>
      <c r="AN1328" s="6"/>
      <c r="AO1328" s="6"/>
      <c r="AP1328" s="6"/>
      <c r="AQ1328" s="6"/>
      <c r="AR1328" s="6"/>
      <c r="AS1328" s="6"/>
      <c r="AT1328" s="6"/>
      <c r="AU1328" s="6"/>
      <c r="AV1328" s="6"/>
      <c r="AW1328" s="6"/>
      <c r="AX1328" s="6"/>
      <c r="AY1328" s="6"/>
      <c r="AZ1328" s="6"/>
      <c r="BA1328" s="6"/>
      <c r="BB1328" s="6"/>
      <c r="BC1328" s="6"/>
      <c r="BD1328" s="6"/>
      <c r="BE1328" s="6"/>
      <c r="BF1328" s="6"/>
      <c r="BG1328" s="6"/>
      <c r="BH1328" s="6"/>
      <c r="BI1328" s="6"/>
      <c r="BJ1328" s="6"/>
      <c r="BK1328" s="6"/>
      <c r="BL1328" s="6"/>
      <c r="BM1328" s="6"/>
      <c r="BN1328" s="6"/>
      <c r="BO1328" s="6"/>
      <c r="BP1328" s="6"/>
      <c r="BQ1328" s="6"/>
      <c r="BR1328" s="6"/>
      <c r="BS1328" s="6"/>
      <c r="BT1328" s="6"/>
      <c r="BU1328" s="6"/>
      <c r="BV1328" s="6"/>
      <c r="BW1328" s="6"/>
      <c r="BX1328" s="6"/>
      <c r="BY1328" s="6"/>
      <c r="BZ1328" s="6"/>
      <c r="CA1328" s="6"/>
      <c r="CB1328" s="6"/>
      <c r="CC1328" s="6"/>
    </row>
    <row r="1329" spans="2:81" x14ac:dyDescent="0.2">
      <c r="B1329" s="68"/>
      <c r="C1329" s="69"/>
      <c r="D1329" s="70"/>
      <c r="F1329" s="68"/>
      <c r="G1329" s="69"/>
      <c r="H1329" s="70"/>
      <c r="J1329" s="71"/>
      <c r="K1329" s="71"/>
      <c r="L1329" s="67"/>
      <c r="N1329" s="71"/>
      <c r="O1329" s="71"/>
      <c r="P1329" s="67"/>
      <c r="R1329" s="67"/>
      <c r="S1329" s="6"/>
      <c r="T1329" s="6"/>
      <c r="U1329" s="6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  <c r="AG1329" s="6"/>
      <c r="AH1329" s="6"/>
      <c r="AI1329" s="6"/>
      <c r="AJ1329" s="6"/>
      <c r="AK1329" s="6"/>
      <c r="AL1329" s="6"/>
      <c r="AM1329" s="6"/>
      <c r="AN1329" s="6"/>
      <c r="AO1329" s="6"/>
      <c r="AP1329" s="6"/>
      <c r="AQ1329" s="6"/>
      <c r="AR1329" s="6"/>
      <c r="AS1329" s="6"/>
      <c r="AT1329" s="6"/>
      <c r="AU1329" s="6"/>
      <c r="AV1329" s="6"/>
      <c r="AW1329" s="6"/>
      <c r="AX1329" s="6"/>
      <c r="AY1329" s="6"/>
      <c r="AZ1329" s="6"/>
      <c r="BA1329" s="6"/>
      <c r="BB1329" s="6"/>
      <c r="BC1329" s="6"/>
      <c r="BD1329" s="6"/>
      <c r="BE1329" s="6"/>
      <c r="BF1329" s="6"/>
      <c r="BG1329" s="6"/>
      <c r="BH1329" s="6"/>
      <c r="BI1329" s="6"/>
      <c r="BJ1329" s="6"/>
      <c r="BK1329" s="6"/>
      <c r="BL1329" s="6"/>
      <c r="BM1329" s="6"/>
      <c r="BN1329" s="6"/>
      <c r="BO1329" s="6"/>
      <c r="BP1329" s="6"/>
      <c r="BQ1329" s="6"/>
      <c r="BR1329" s="6"/>
      <c r="BS1329" s="6"/>
      <c r="BT1329" s="6"/>
      <c r="BU1329" s="6"/>
      <c r="BV1329" s="6"/>
      <c r="BW1329" s="6"/>
      <c r="BX1329" s="6"/>
      <c r="BY1329" s="6"/>
      <c r="BZ1329" s="6"/>
      <c r="CA1329" s="6"/>
      <c r="CB1329" s="6"/>
      <c r="CC1329" s="6"/>
    </row>
    <row r="1330" spans="2:81" x14ac:dyDescent="0.2">
      <c r="B1330" s="68"/>
      <c r="C1330" s="69"/>
      <c r="D1330" s="70"/>
      <c r="F1330" s="68"/>
      <c r="G1330" s="69"/>
      <c r="H1330" s="70"/>
      <c r="J1330" s="71"/>
      <c r="K1330" s="71"/>
      <c r="L1330" s="67"/>
      <c r="N1330" s="71"/>
      <c r="O1330" s="71"/>
      <c r="P1330" s="67"/>
      <c r="R1330" s="67"/>
      <c r="S1330" s="6"/>
      <c r="T1330" s="6"/>
      <c r="U1330" s="6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  <c r="AG1330" s="6"/>
      <c r="AH1330" s="6"/>
      <c r="AI1330" s="6"/>
      <c r="AJ1330" s="6"/>
      <c r="AK1330" s="6"/>
      <c r="AL1330" s="6"/>
      <c r="AM1330" s="6"/>
      <c r="AN1330" s="6"/>
      <c r="AO1330" s="6"/>
      <c r="AP1330" s="6"/>
      <c r="AQ1330" s="6"/>
      <c r="AR1330" s="6"/>
      <c r="AS1330" s="6"/>
      <c r="AT1330" s="6"/>
      <c r="AU1330" s="6"/>
      <c r="AV1330" s="6"/>
      <c r="AW1330" s="6"/>
      <c r="AX1330" s="6"/>
      <c r="AY1330" s="6"/>
      <c r="AZ1330" s="6"/>
      <c r="BA1330" s="6"/>
      <c r="BB1330" s="6"/>
      <c r="BC1330" s="6"/>
      <c r="BD1330" s="6"/>
      <c r="BE1330" s="6"/>
      <c r="BF1330" s="6"/>
      <c r="BG1330" s="6"/>
      <c r="BH1330" s="6"/>
      <c r="BI1330" s="6"/>
      <c r="BJ1330" s="6"/>
      <c r="BK1330" s="6"/>
      <c r="BL1330" s="6"/>
      <c r="BM1330" s="6"/>
      <c r="BN1330" s="6"/>
      <c r="BO1330" s="6"/>
      <c r="BP1330" s="6"/>
      <c r="BQ1330" s="6"/>
      <c r="BR1330" s="6"/>
      <c r="BS1330" s="6"/>
      <c r="BT1330" s="6"/>
      <c r="BU1330" s="6"/>
      <c r="BV1330" s="6"/>
      <c r="BW1330" s="6"/>
      <c r="BX1330" s="6"/>
      <c r="BY1330" s="6"/>
      <c r="BZ1330" s="6"/>
      <c r="CA1330" s="6"/>
      <c r="CB1330" s="6"/>
      <c r="CC1330" s="6"/>
    </row>
    <row r="1331" spans="2:81" x14ac:dyDescent="0.2">
      <c r="B1331" s="68"/>
      <c r="C1331" s="69"/>
      <c r="D1331" s="70"/>
      <c r="F1331" s="68"/>
      <c r="G1331" s="69"/>
      <c r="H1331" s="70"/>
      <c r="J1331" s="71"/>
      <c r="K1331" s="71"/>
      <c r="L1331" s="67"/>
      <c r="N1331" s="71"/>
      <c r="O1331" s="71"/>
      <c r="P1331" s="67"/>
      <c r="R1331" s="67"/>
      <c r="S1331" s="6"/>
      <c r="T1331" s="6"/>
      <c r="U1331" s="6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  <c r="AG1331" s="6"/>
      <c r="AH1331" s="6"/>
      <c r="AI1331" s="6"/>
      <c r="AJ1331" s="6"/>
      <c r="AK1331" s="6"/>
      <c r="AL1331" s="6"/>
      <c r="AM1331" s="6"/>
      <c r="AN1331" s="6"/>
      <c r="AO1331" s="6"/>
      <c r="AP1331" s="6"/>
      <c r="AQ1331" s="6"/>
      <c r="AR1331" s="6"/>
      <c r="AS1331" s="6"/>
      <c r="AT1331" s="6"/>
      <c r="AU1331" s="6"/>
      <c r="AV1331" s="6"/>
      <c r="AW1331" s="6"/>
      <c r="AX1331" s="6"/>
      <c r="AY1331" s="6"/>
      <c r="AZ1331" s="6"/>
      <c r="BA1331" s="6"/>
      <c r="BB1331" s="6"/>
      <c r="BC1331" s="6"/>
      <c r="BD1331" s="6"/>
      <c r="BE1331" s="6"/>
      <c r="BF1331" s="6"/>
      <c r="BG1331" s="6"/>
      <c r="BH1331" s="6"/>
      <c r="BI1331" s="6"/>
      <c r="BJ1331" s="6"/>
      <c r="BK1331" s="6"/>
      <c r="BL1331" s="6"/>
      <c r="BM1331" s="6"/>
      <c r="BN1331" s="6"/>
      <c r="BO1331" s="6"/>
      <c r="BP1331" s="6"/>
      <c r="BQ1331" s="6"/>
      <c r="BR1331" s="6"/>
      <c r="BS1331" s="6"/>
      <c r="BT1331" s="6"/>
      <c r="BU1331" s="6"/>
      <c r="BV1331" s="6"/>
      <c r="BW1331" s="6"/>
      <c r="BX1331" s="6"/>
      <c r="BY1331" s="6"/>
      <c r="BZ1331" s="6"/>
      <c r="CA1331" s="6"/>
      <c r="CB1331" s="6"/>
      <c r="CC1331" s="6"/>
    </row>
    <row r="1332" spans="2:81" x14ac:dyDescent="0.2">
      <c r="B1332" s="68"/>
      <c r="C1332" s="69"/>
      <c r="D1332" s="70"/>
      <c r="F1332" s="68"/>
      <c r="G1332" s="69"/>
      <c r="H1332" s="70"/>
      <c r="J1332" s="71"/>
      <c r="K1332" s="71"/>
      <c r="L1332" s="67"/>
      <c r="N1332" s="71"/>
      <c r="O1332" s="71"/>
      <c r="P1332" s="67"/>
      <c r="R1332" s="67"/>
      <c r="S1332" s="6"/>
      <c r="T1332" s="6"/>
      <c r="U1332" s="6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  <c r="AG1332" s="6"/>
      <c r="AH1332" s="6"/>
      <c r="AI1332" s="6"/>
      <c r="AJ1332" s="6"/>
      <c r="AK1332" s="6"/>
      <c r="AL1332" s="6"/>
      <c r="AM1332" s="6"/>
      <c r="AN1332" s="6"/>
      <c r="AO1332" s="6"/>
      <c r="AP1332" s="6"/>
      <c r="AQ1332" s="6"/>
      <c r="AR1332" s="6"/>
      <c r="AS1332" s="6"/>
      <c r="AT1332" s="6"/>
      <c r="AU1332" s="6"/>
      <c r="AV1332" s="6"/>
      <c r="AW1332" s="6"/>
      <c r="AX1332" s="6"/>
      <c r="AY1332" s="6"/>
      <c r="AZ1332" s="6"/>
      <c r="BA1332" s="6"/>
      <c r="BB1332" s="6"/>
      <c r="BC1332" s="6"/>
      <c r="BD1332" s="6"/>
      <c r="BE1332" s="6"/>
      <c r="BF1332" s="6"/>
      <c r="BG1332" s="6"/>
      <c r="BH1332" s="6"/>
      <c r="BI1332" s="6"/>
      <c r="BJ1332" s="6"/>
      <c r="BK1332" s="6"/>
      <c r="BL1332" s="6"/>
      <c r="BM1332" s="6"/>
      <c r="BN1332" s="6"/>
      <c r="BO1332" s="6"/>
      <c r="BP1332" s="6"/>
      <c r="BQ1332" s="6"/>
      <c r="BR1332" s="6"/>
      <c r="BS1332" s="6"/>
      <c r="BT1332" s="6"/>
      <c r="BU1332" s="6"/>
      <c r="BV1332" s="6"/>
      <c r="BW1332" s="6"/>
      <c r="BX1332" s="6"/>
      <c r="BY1332" s="6"/>
      <c r="BZ1332" s="6"/>
      <c r="CA1332" s="6"/>
      <c r="CB1332" s="6"/>
      <c r="CC1332" s="6"/>
    </row>
    <row r="1333" spans="2:81" x14ac:dyDescent="0.2">
      <c r="B1333" s="68"/>
      <c r="C1333" s="69"/>
      <c r="D1333" s="70"/>
      <c r="F1333" s="68"/>
      <c r="G1333" s="69"/>
      <c r="H1333" s="70"/>
      <c r="J1333" s="71"/>
      <c r="K1333" s="71"/>
      <c r="L1333" s="67"/>
      <c r="N1333" s="71"/>
      <c r="O1333" s="71"/>
      <c r="P1333" s="67"/>
      <c r="R1333" s="67"/>
      <c r="S1333" s="6"/>
      <c r="T1333" s="6"/>
      <c r="U1333" s="6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  <c r="AG1333" s="6"/>
      <c r="AH1333" s="6"/>
      <c r="AI1333" s="6"/>
      <c r="AJ1333" s="6"/>
      <c r="AK1333" s="6"/>
      <c r="AL1333" s="6"/>
      <c r="AM1333" s="6"/>
      <c r="AN1333" s="6"/>
      <c r="AO1333" s="6"/>
      <c r="AP1333" s="6"/>
      <c r="AQ1333" s="6"/>
      <c r="AR1333" s="6"/>
      <c r="AS1333" s="6"/>
      <c r="AT1333" s="6"/>
      <c r="AU1333" s="6"/>
      <c r="AV1333" s="6"/>
      <c r="AW1333" s="6"/>
      <c r="AX1333" s="6"/>
      <c r="AY1333" s="6"/>
      <c r="AZ1333" s="6"/>
      <c r="BA1333" s="6"/>
      <c r="BB1333" s="6"/>
      <c r="BC1333" s="6"/>
      <c r="BD1333" s="6"/>
      <c r="BE1333" s="6"/>
      <c r="BF1333" s="6"/>
      <c r="BG1333" s="6"/>
      <c r="BH1333" s="6"/>
      <c r="BI1333" s="6"/>
      <c r="BJ1333" s="6"/>
      <c r="BK1333" s="6"/>
      <c r="BL1333" s="6"/>
      <c r="BM1333" s="6"/>
      <c r="BN1333" s="6"/>
      <c r="BO1333" s="6"/>
      <c r="BP1333" s="6"/>
      <c r="BQ1333" s="6"/>
      <c r="BR1333" s="6"/>
      <c r="BS1333" s="6"/>
      <c r="BT1333" s="6"/>
      <c r="BU1333" s="6"/>
      <c r="BV1333" s="6"/>
      <c r="BW1333" s="6"/>
      <c r="BX1333" s="6"/>
      <c r="BY1333" s="6"/>
      <c r="BZ1333" s="6"/>
      <c r="CA1333" s="6"/>
      <c r="CB1333" s="6"/>
      <c r="CC1333" s="6"/>
    </row>
    <row r="1334" spans="2:81" x14ac:dyDescent="0.2">
      <c r="B1334" s="68"/>
      <c r="C1334" s="69"/>
      <c r="D1334" s="70"/>
      <c r="F1334" s="68"/>
      <c r="G1334" s="69"/>
      <c r="H1334" s="70"/>
      <c r="J1334" s="71"/>
      <c r="K1334" s="71"/>
      <c r="L1334" s="67"/>
      <c r="N1334" s="71"/>
      <c r="O1334" s="71"/>
      <c r="P1334" s="67"/>
      <c r="R1334" s="67"/>
      <c r="S1334" s="6"/>
      <c r="T1334" s="6"/>
      <c r="U1334" s="6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  <c r="AG1334" s="6"/>
      <c r="AH1334" s="6"/>
      <c r="AI1334" s="6"/>
      <c r="AJ1334" s="6"/>
      <c r="AK1334" s="6"/>
      <c r="AL1334" s="6"/>
      <c r="AM1334" s="6"/>
      <c r="AN1334" s="6"/>
      <c r="AO1334" s="6"/>
      <c r="AP1334" s="6"/>
      <c r="AQ1334" s="6"/>
      <c r="AR1334" s="6"/>
      <c r="AS1334" s="6"/>
      <c r="AT1334" s="6"/>
      <c r="AU1334" s="6"/>
      <c r="AV1334" s="6"/>
      <c r="AW1334" s="6"/>
      <c r="AX1334" s="6"/>
      <c r="AY1334" s="6"/>
      <c r="AZ1334" s="6"/>
      <c r="BA1334" s="6"/>
      <c r="BB1334" s="6"/>
      <c r="BC1334" s="6"/>
      <c r="BD1334" s="6"/>
      <c r="BE1334" s="6"/>
      <c r="BF1334" s="6"/>
      <c r="BG1334" s="6"/>
      <c r="BH1334" s="6"/>
      <c r="BI1334" s="6"/>
      <c r="BJ1334" s="6"/>
      <c r="BK1334" s="6"/>
      <c r="BL1334" s="6"/>
      <c r="BM1334" s="6"/>
      <c r="BN1334" s="6"/>
      <c r="BO1334" s="6"/>
      <c r="BP1334" s="6"/>
      <c r="BQ1334" s="6"/>
      <c r="BR1334" s="6"/>
      <c r="BS1334" s="6"/>
      <c r="BT1334" s="6"/>
      <c r="BU1334" s="6"/>
      <c r="BV1334" s="6"/>
      <c r="BW1334" s="6"/>
      <c r="BX1334" s="6"/>
      <c r="BY1334" s="6"/>
      <c r="BZ1334" s="6"/>
      <c r="CA1334" s="6"/>
      <c r="CB1334" s="6"/>
      <c r="CC1334" s="6"/>
    </row>
    <row r="1335" spans="2:81" x14ac:dyDescent="0.2">
      <c r="B1335" s="68"/>
      <c r="C1335" s="69"/>
      <c r="D1335" s="70"/>
      <c r="F1335" s="68"/>
      <c r="G1335" s="69"/>
      <c r="H1335" s="70"/>
      <c r="J1335" s="71"/>
      <c r="K1335" s="71"/>
      <c r="L1335" s="67"/>
      <c r="N1335" s="71"/>
      <c r="O1335" s="71"/>
      <c r="P1335" s="67"/>
      <c r="R1335" s="67"/>
      <c r="S1335" s="6"/>
      <c r="T1335" s="6"/>
      <c r="U1335" s="6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  <c r="AG1335" s="6"/>
      <c r="AH1335" s="6"/>
      <c r="AI1335" s="6"/>
      <c r="AJ1335" s="6"/>
      <c r="AK1335" s="6"/>
      <c r="AL1335" s="6"/>
      <c r="AM1335" s="6"/>
      <c r="AN1335" s="6"/>
      <c r="AO1335" s="6"/>
      <c r="AP1335" s="6"/>
      <c r="AQ1335" s="6"/>
      <c r="AR1335" s="6"/>
      <c r="AS1335" s="6"/>
      <c r="AT1335" s="6"/>
      <c r="AU1335" s="6"/>
      <c r="AV1335" s="6"/>
      <c r="AW1335" s="6"/>
      <c r="AX1335" s="6"/>
      <c r="AY1335" s="6"/>
      <c r="AZ1335" s="6"/>
      <c r="BA1335" s="6"/>
      <c r="BB1335" s="6"/>
      <c r="BC1335" s="6"/>
      <c r="BD1335" s="6"/>
      <c r="BE1335" s="6"/>
      <c r="BF1335" s="6"/>
      <c r="BG1335" s="6"/>
      <c r="BH1335" s="6"/>
      <c r="BI1335" s="6"/>
      <c r="BJ1335" s="6"/>
      <c r="BK1335" s="6"/>
      <c r="BL1335" s="6"/>
      <c r="BM1335" s="6"/>
      <c r="BN1335" s="6"/>
      <c r="BO1335" s="6"/>
      <c r="BP1335" s="6"/>
      <c r="BQ1335" s="6"/>
      <c r="BR1335" s="6"/>
      <c r="BS1335" s="6"/>
      <c r="BT1335" s="6"/>
      <c r="BU1335" s="6"/>
      <c r="BV1335" s="6"/>
      <c r="BW1335" s="6"/>
      <c r="BX1335" s="6"/>
      <c r="BY1335" s="6"/>
      <c r="BZ1335" s="6"/>
      <c r="CA1335" s="6"/>
      <c r="CB1335" s="6"/>
      <c r="CC1335" s="6"/>
    </row>
    <row r="1336" spans="2:81" x14ac:dyDescent="0.2">
      <c r="B1336" s="68"/>
      <c r="C1336" s="69"/>
      <c r="D1336" s="70"/>
      <c r="F1336" s="68"/>
      <c r="G1336" s="69"/>
      <c r="H1336" s="70"/>
      <c r="J1336" s="71"/>
      <c r="K1336" s="71"/>
      <c r="L1336" s="67"/>
      <c r="N1336" s="71"/>
      <c r="O1336" s="71"/>
      <c r="P1336" s="67"/>
      <c r="R1336" s="67"/>
      <c r="S1336" s="6"/>
      <c r="T1336" s="6"/>
      <c r="U1336" s="6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  <c r="AG1336" s="6"/>
      <c r="AH1336" s="6"/>
      <c r="AI1336" s="6"/>
      <c r="AJ1336" s="6"/>
      <c r="AK1336" s="6"/>
      <c r="AL1336" s="6"/>
      <c r="AM1336" s="6"/>
      <c r="AN1336" s="6"/>
      <c r="AO1336" s="6"/>
      <c r="AP1336" s="6"/>
      <c r="AQ1336" s="6"/>
      <c r="AR1336" s="6"/>
      <c r="AS1336" s="6"/>
      <c r="AT1336" s="6"/>
      <c r="AU1336" s="6"/>
      <c r="AV1336" s="6"/>
      <c r="AW1336" s="6"/>
      <c r="AX1336" s="6"/>
      <c r="AY1336" s="6"/>
      <c r="AZ1336" s="6"/>
      <c r="BA1336" s="6"/>
      <c r="BB1336" s="6"/>
      <c r="BC1336" s="6"/>
      <c r="BD1336" s="6"/>
      <c r="BE1336" s="6"/>
      <c r="BF1336" s="6"/>
      <c r="BG1336" s="6"/>
      <c r="BH1336" s="6"/>
      <c r="BI1336" s="6"/>
      <c r="BJ1336" s="6"/>
      <c r="BK1336" s="6"/>
      <c r="BL1336" s="6"/>
      <c r="BM1336" s="6"/>
      <c r="BN1336" s="6"/>
      <c r="BO1336" s="6"/>
      <c r="BP1336" s="6"/>
      <c r="BQ1336" s="6"/>
      <c r="BR1336" s="6"/>
      <c r="BS1336" s="6"/>
      <c r="BT1336" s="6"/>
      <c r="BU1336" s="6"/>
      <c r="BV1336" s="6"/>
      <c r="BW1336" s="6"/>
      <c r="BX1336" s="6"/>
      <c r="BY1336" s="6"/>
      <c r="BZ1336" s="6"/>
      <c r="CA1336" s="6"/>
      <c r="CB1336" s="6"/>
      <c r="CC1336" s="6"/>
    </row>
    <row r="1337" spans="2:81" x14ac:dyDescent="0.2">
      <c r="B1337" s="68"/>
      <c r="C1337" s="69"/>
      <c r="D1337" s="70"/>
      <c r="F1337" s="68"/>
      <c r="G1337" s="69"/>
      <c r="H1337" s="70"/>
      <c r="J1337" s="71"/>
      <c r="K1337" s="71"/>
      <c r="L1337" s="67"/>
      <c r="N1337" s="71"/>
      <c r="O1337" s="71"/>
      <c r="P1337" s="67"/>
      <c r="R1337" s="67"/>
      <c r="S1337" s="6"/>
      <c r="T1337" s="6"/>
      <c r="U1337" s="6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  <c r="AG1337" s="6"/>
      <c r="AH1337" s="6"/>
      <c r="AI1337" s="6"/>
      <c r="AJ1337" s="6"/>
      <c r="AK1337" s="6"/>
      <c r="AL1337" s="6"/>
      <c r="AM1337" s="6"/>
      <c r="AN1337" s="6"/>
      <c r="AO1337" s="6"/>
      <c r="AP1337" s="6"/>
      <c r="AQ1337" s="6"/>
      <c r="AR1337" s="6"/>
      <c r="AS1337" s="6"/>
      <c r="AT1337" s="6"/>
      <c r="AU1337" s="6"/>
      <c r="AV1337" s="6"/>
      <c r="AW1337" s="6"/>
      <c r="AX1337" s="6"/>
      <c r="AY1337" s="6"/>
      <c r="AZ1337" s="6"/>
      <c r="BA1337" s="6"/>
      <c r="BB1337" s="6"/>
      <c r="BC1337" s="6"/>
      <c r="BD1337" s="6"/>
      <c r="BE1337" s="6"/>
      <c r="BF1337" s="6"/>
      <c r="BG1337" s="6"/>
      <c r="BH1337" s="6"/>
      <c r="BI1337" s="6"/>
      <c r="BJ1337" s="6"/>
      <c r="BK1337" s="6"/>
      <c r="BL1337" s="6"/>
      <c r="BM1337" s="6"/>
      <c r="BN1337" s="6"/>
      <c r="BO1337" s="6"/>
      <c r="BP1337" s="6"/>
      <c r="BQ1337" s="6"/>
      <c r="BR1337" s="6"/>
      <c r="BS1337" s="6"/>
      <c r="BT1337" s="6"/>
      <c r="BU1337" s="6"/>
      <c r="BV1337" s="6"/>
      <c r="BW1337" s="6"/>
      <c r="BX1337" s="6"/>
      <c r="BY1337" s="6"/>
      <c r="BZ1337" s="6"/>
      <c r="CA1337" s="6"/>
      <c r="CB1337" s="6"/>
      <c r="CC1337" s="6"/>
    </row>
    <row r="1338" spans="2:81" x14ac:dyDescent="0.2">
      <c r="B1338" s="68"/>
      <c r="C1338" s="69"/>
      <c r="D1338" s="70"/>
      <c r="F1338" s="68"/>
      <c r="G1338" s="69"/>
      <c r="H1338" s="70"/>
      <c r="J1338" s="71"/>
      <c r="K1338" s="71"/>
      <c r="L1338" s="67"/>
      <c r="N1338" s="71"/>
      <c r="O1338" s="71"/>
      <c r="P1338" s="67"/>
      <c r="R1338" s="67"/>
      <c r="S1338" s="6"/>
      <c r="T1338" s="6"/>
      <c r="U1338" s="6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  <c r="AG1338" s="6"/>
      <c r="AH1338" s="6"/>
      <c r="AI1338" s="6"/>
      <c r="AJ1338" s="6"/>
      <c r="AK1338" s="6"/>
      <c r="AL1338" s="6"/>
      <c r="AM1338" s="6"/>
      <c r="AN1338" s="6"/>
      <c r="AO1338" s="6"/>
      <c r="AP1338" s="6"/>
      <c r="AQ1338" s="6"/>
      <c r="AR1338" s="6"/>
      <c r="AS1338" s="6"/>
      <c r="AT1338" s="6"/>
      <c r="AU1338" s="6"/>
      <c r="AV1338" s="6"/>
      <c r="AW1338" s="6"/>
      <c r="AX1338" s="6"/>
      <c r="AY1338" s="6"/>
      <c r="AZ1338" s="6"/>
      <c r="BA1338" s="6"/>
      <c r="BB1338" s="6"/>
      <c r="BC1338" s="6"/>
      <c r="BD1338" s="6"/>
      <c r="BE1338" s="6"/>
      <c r="BF1338" s="6"/>
      <c r="BG1338" s="6"/>
      <c r="BH1338" s="6"/>
      <c r="BI1338" s="6"/>
      <c r="BJ1338" s="6"/>
      <c r="BK1338" s="6"/>
      <c r="BL1338" s="6"/>
      <c r="BM1338" s="6"/>
      <c r="BN1338" s="6"/>
      <c r="BO1338" s="6"/>
      <c r="BP1338" s="6"/>
      <c r="BQ1338" s="6"/>
      <c r="BR1338" s="6"/>
      <c r="BS1338" s="6"/>
      <c r="BT1338" s="6"/>
      <c r="BU1338" s="6"/>
      <c r="BV1338" s="6"/>
      <c r="BW1338" s="6"/>
      <c r="BX1338" s="6"/>
      <c r="BY1338" s="6"/>
      <c r="BZ1338" s="6"/>
      <c r="CA1338" s="6"/>
      <c r="CB1338" s="6"/>
      <c r="CC1338" s="6"/>
    </row>
    <row r="1339" spans="2:81" x14ac:dyDescent="0.2">
      <c r="B1339" s="68"/>
      <c r="C1339" s="69"/>
      <c r="D1339" s="70"/>
      <c r="F1339" s="68"/>
      <c r="G1339" s="69"/>
      <c r="H1339" s="70"/>
      <c r="J1339" s="71"/>
      <c r="K1339" s="71"/>
      <c r="L1339" s="67"/>
      <c r="N1339" s="71"/>
      <c r="O1339" s="71"/>
      <c r="P1339" s="67"/>
      <c r="R1339" s="67"/>
      <c r="S1339" s="6"/>
      <c r="T1339" s="6"/>
      <c r="U1339" s="6"/>
      <c r="V1339" s="6"/>
      <c r="W1339" s="6"/>
      <c r="X1339" s="6"/>
      <c r="Y1339" s="6"/>
      <c r="Z1339" s="6"/>
      <c r="AA1339" s="6"/>
      <c r="AB1339" s="6"/>
      <c r="AC1339" s="6"/>
      <c r="AD1339" s="6"/>
      <c r="AE1339" s="6"/>
      <c r="AF1339" s="6"/>
      <c r="AG1339" s="6"/>
      <c r="AH1339" s="6"/>
      <c r="AI1339" s="6"/>
      <c r="AJ1339" s="6"/>
      <c r="AK1339" s="6"/>
      <c r="AL1339" s="6"/>
      <c r="AM1339" s="6"/>
      <c r="AN1339" s="6"/>
      <c r="AO1339" s="6"/>
      <c r="AP1339" s="6"/>
      <c r="AQ1339" s="6"/>
      <c r="AR1339" s="6"/>
      <c r="AS1339" s="6"/>
      <c r="AT1339" s="6"/>
      <c r="AU1339" s="6"/>
      <c r="AV1339" s="6"/>
      <c r="AW1339" s="6"/>
      <c r="AX1339" s="6"/>
      <c r="AY1339" s="6"/>
      <c r="AZ1339" s="6"/>
      <c r="BA1339" s="6"/>
      <c r="BB1339" s="6"/>
      <c r="BC1339" s="6"/>
      <c r="BD1339" s="6"/>
      <c r="BE1339" s="6"/>
      <c r="BF1339" s="6"/>
      <c r="BG1339" s="6"/>
      <c r="BH1339" s="6"/>
      <c r="BI1339" s="6"/>
      <c r="BJ1339" s="6"/>
      <c r="BK1339" s="6"/>
      <c r="BL1339" s="6"/>
      <c r="BM1339" s="6"/>
      <c r="BN1339" s="6"/>
      <c r="BO1339" s="6"/>
      <c r="BP1339" s="6"/>
      <c r="BQ1339" s="6"/>
      <c r="BR1339" s="6"/>
      <c r="BS1339" s="6"/>
      <c r="BT1339" s="6"/>
      <c r="BU1339" s="6"/>
      <c r="BV1339" s="6"/>
      <c r="BW1339" s="6"/>
      <c r="BX1339" s="6"/>
      <c r="BY1339" s="6"/>
      <c r="BZ1339" s="6"/>
      <c r="CA1339" s="6"/>
      <c r="CB1339" s="6"/>
      <c r="CC1339" s="6"/>
    </row>
    <row r="1340" spans="2:81" x14ac:dyDescent="0.2">
      <c r="B1340" s="68"/>
      <c r="C1340" s="69"/>
      <c r="D1340" s="70"/>
      <c r="F1340" s="68"/>
      <c r="G1340" s="69"/>
      <c r="H1340" s="70"/>
      <c r="J1340" s="71"/>
      <c r="K1340" s="71"/>
      <c r="L1340" s="67"/>
      <c r="N1340" s="71"/>
      <c r="O1340" s="71"/>
      <c r="P1340" s="67"/>
      <c r="R1340" s="67"/>
      <c r="S1340" s="6"/>
      <c r="T1340" s="6"/>
      <c r="U1340" s="6"/>
      <c r="V1340" s="6"/>
      <c r="W1340" s="6"/>
      <c r="X1340" s="6"/>
      <c r="Y1340" s="6"/>
      <c r="Z1340" s="6"/>
      <c r="AA1340" s="6"/>
      <c r="AB1340" s="6"/>
      <c r="AC1340" s="6"/>
      <c r="AD1340" s="6"/>
      <c r="AE1340" s="6"/>
      <c r="AF1340" s="6"/>
      <c r="AG1340" s="6"/>
      <c r="AH1340" s="6"/>
      <c r="AI1340" s="6"/>
      <c r="AJ1340" s="6"/>
      <c r="AK1340" s="6"/>
      <c r="AL1340" s="6"/>
      <c r="AM1340" s="6"/>
      <c r="AN1340" s="6"/>
      <c r="AO1340" s="6"/>
      <c r="AP1340" s="6"/>
      <c r="AQ1340" s="6"/>
      <c r="AR1340" s="6"/>
      <c r="AS1340" s="6"/>
      <c r="AT1340" s="6"/>
      <c r="AU1340" s="6"/>
      <c r="AV1340" s="6"/>
      <c r="AW1340" s="6"/>
      <c r="AX1340" s="6"/>
      <c r="AY1340" s="6"/>
      <c r="AZ1340" s="6"/>
      <c r="BA1340" s="6"/>
      <c r="BB1340" s="6"/>
      <c r="BC1340" s="6"/>
      <c r="BD1340" s="6"/>
      <c r="BE1340" s="6"/>
      <c r="BF1340" s="6"/>
      <c r="BG1340" s="6"/>
      <c r="BH1340" s="6"/>
      <c r="BI1340" s="6"/>
      <c r="BJ1340" s="6"/>
      <c r="BK1340" s="6"/>
      <c r="BL1340" s="6"/>
      <c r="BM1340" s="6"/>
      <c r="BN1340" s="6"/>
      <c r="BO1340" s="6"/>
      <c r="BP1340" s="6"/>
      <c r="BQ1340" s="6"/>
      <c r="BR1340" s="6"/>
      <c r="BS1340" s="6"/>
      <c r="BT1340" s="6"/>
      <c r="BU1340" s="6"/>
      <c r="BV1340" s="6"/>
      <c r="BW1340" s="6"/>
      <c r="BX1340" s="6"/>
      <c r="BY1340" s="6"/>
      <c r="BZ1340" s="6"/>
      <c r="CA1340" s="6"/>
      <c r="CB1340" s="6"/>
      <c r="CC1340" s="6"/>
    </row>
    <row r="1341" spans="2:81" x14ac:dyDescent="0.2">
      <c r="B1341" s="68"/>
      <c r="C1341" s="69"/>
      <c r="D1341" s="70"/>
      <c r="F1341" s="68"/>
      <c r="G1341" s="69"/>
      <c r="H1341" s="70"/>
      <c r="J1341" s="71"/>
      <c r="K1341" s="71"/>
      <c r="L1341" s="67"/>
      <c r="N1341" s="71"/>
      <c r="O1341" s="71"/>
      <c r="P1341" s="67"/>
      <c r="R1341" s="67"/>
      <c r="S1341" s="6"/>
      <c r="T1341" s="6"/>
      <c r="U1341" s="6"/>
      <c r="V1341" s="6"/>
      <c r="W1341" s="6"/>
      <c r="X1341" s="6"/>
      <c r="Y1341" s="6"/>
      <c r="Z1341" s="6"/>
      <c r="AA1341" s="6"/>
      <c r="AB1341" s="6"/>
      <c r="AC1341" s="6"/>
      <c r="AD1341" s="6"/>
      <c r="AE1341" s="6"/>
      <c r="AF1341" s="6"/>
      <c r="AG1341" s="6"/>
      <c r="AH1341" s="6"/>
      <c r="AI1341" s="6"/>
      <c r="AJ1341" s="6"/>
      <c r="AK1341" s="6"/>
      <c r="AL1341" s="6"/>
      <c r="AM1341" s="6"/>
      <c r="AN1341" s="6"/>
      <c r="AO1341" s="6"/>
      <c r="AP1341" s="6"/>
      <c r="AQ1341" s="6"/>
      <c r="AR1341" s="6"/>
      <c r="AS1341" s="6"/>
      <c r="AT1341" s="6"/>
      <c r="AU1341" s="6"/>
      <c r="AV1341" s="6"/>
      <c r="AW1341" s="6"/>
      <c r="AX1341" s="6"/>
      <c r="AY1341" s="6"/>
      <c r="AZ1341" s="6"/>
      <c r="BA1341" s="6"/>
      <c r="BB1341" s="6"/>
      <c r="BC1341" s="6"/>
      <c r="BD1341" s="6"/>
      <c r="BE1341" s="6"/>
      <c r="BF1341" s="6"/>
      <c r="BG1341" s="6"/>
      <c r="BH1341" s="6"/>
      <c r="BI1341" s="6"/>
      <c r="BJ1341" s="6"/>
      <c r="BK1341" s="6"/>
      <c r="BL1341" s="6"/>
      <c r="BM1341" s="6"/>
      <c r="BN1341" s="6"/>
      <c r="BO1341" s="6"/>
      <c r="BP1341" s="6"/>
      <c r="BQ1341" s="6"/>
      <c r="BR1341" s="6"/>
      <c r="BS1341" s="6"/>
      <c r="BT1341" s="6"/>
      <c r="BU1341" s="6"/>
      <c r="BV1341" s="6"/>
      <c r="BW1341" s="6"/>
      <c r="BX1341" s="6"/>
      <c r="BY1341" s="6"/>
      <c r="BZ1341" s="6"/>
      <c r="CA1341" s="6"/>
      <c r="CB1341" s="6"/>
      <c r="CC1341" s="6"/>
    </row>
    <row r="1342" spans="2:81" x14ac:dyDescent="0.2">
      <c r="B1342" s="68"/>
      <c r="C1342" s="69"/>
      <c r="D1342" s="70"/>
      <c r="F1342" s="68"/>
      <c r="G1342" s="69"/>
      <c r="H1342" s="70"/>
      <c r="J1342" s="71"/>
      <c r="K1342" s="71"/>
      <c r="L1342" s="67"/>
      <c r="N1342" s="71"/>
      <c r="O1342" s="71"/>
      <c r="P1342" s="67"/>
      <c r="R1342" s="67"/>
      <c r="S1342" s="6"/>
      <c r="T1342" s="6"/>
      <c r="U1342" s="6"/>
      <c r="V1342" s="6"/>
      <c r="W1342" s="6"/>
      <c r="X1342" s="6"/>
      <c r="Y1342" s="6"/>
      <c r="Z1342" s="6"/>
      <c r="AA1342" s="6"/>
      <c r="AB1342" s="6"/>
      <c r="AC1342" s="6"/>
      <c r="AD1342" s="6"/>
      <c r="AE1342" s="6"/>
      <c r="AF1342" s="6"/>
      <c r="AG1342" s="6"/>
      <c r="AH1342" s="6"/>
      <c r="AI1342" s="6"/>
      <c r="AJ1342" s="6"/>
      <c r="AK1342" s="6"/>
      <c r="AL1342" s="6"/>
      <c r="AM1342" s="6"/>
      <c r="AN1342" s="6"/>
      <c r="AO1342" s="6"/>
      <c r="AP1342" s="6"/>
      <c r="AQ1342" s="6"/>
      <c r="AR1342" s="6"/>
      <c r="AS1342" s="6"/>
      <c r="AT1342" s="6"/>
      <c r="AU1342" s="6"/>
      <c r="AV1342" s="6"/>
      <c r="AW1342" s="6"/>
      <c r="AX1342" s="6"/>
      <c r="AY1342" s="6"/>
      <c r="AZ1342" s="6"/>
      <c r="BA1342" s="6"/>
      <c r="BB1342" s="6"/>
      <c r="BC1342" s="6"/>
      <c r="BD1342" s="6"/>
      <c r="BE1342" s="6"/>
      <c r="BF1342" s="6"/>
      <c r="BG1342" s="6"/>
      <c r="BH1342" s="6"/>
      <c r="BI1342" s="6"/>
      <c r="BJ1342" s="6"/>
      <c r="BK1342" s="6"/>
      <c r="BL1342" s="6"/>
      <c r="BM1342" s="6"/>
      <c r="BN1342" s="6"/>
      <c r="BO1342" s="6"/>
      <c r="BP1342" s="6"/>
      <c r="BQ1342" s="6"/>
      <c r="BR1342" s="6"/>
      <c r="BS1342" s="6"/>
      <c r="BT1342" s="6"/>
      <c r="BU1342" s="6"/>
      <c r="BV1342" s="6"/>
      <c r="BW1342" s="6"/>
      <c r="BX1342" s="6"/>
      <c r="BY1342" s="6"/>
      <c r="BZ1342" s="6"/>
      <c r="CA1342" s="6"/>
      <c r="CB1342" s="6"/>
      <c r="CC1342" s="6"/>
    </row>
    <row r="1343" spans="2:81" x14ac:dyDescent="0.2">
      <c r="B1343" s="68"/>
      <c r="C1343" s="69"/>
      <c r="D1343" s="70"/>
      <c r="F1343" s="68"/>
      <c r="G1343" s="69"/>
      <c r="H1343" s="70"/>
      <c r="J1343" s="71"/>
      <c r="K1343" s="71"/>
      <c r="L1343" s="67"/>
      <c r="N1343" s="71"/>
      <c r="O1343" s="71"/>
      <c r="P1343" s="67"/>
      <c r="R1343" s="67"/>
      <c r="S1343" s="6"/>
      <c r="T1343" s="6"/>
      <c r="U1343" s="6"/>
      <c r="V1343" s="6"/>
      <c r="W1343" s="6"/>
      <c r="X1343" s="6"/>
      <c r="Y1343" s="6"/>
      <c r="Z1343" s="6"/>
      <c r="AA1343" s="6"/>
      <c r="AB1343" s="6"/>
      <c r="AC1343" s="6"/>
      <c r="AD1343" s="6"/>
      <c r="AE1343" s="6"/>
      <c r="AF1343" s="6"/>
      <c r="AG1343" s="6"/>
      <c r="AH1343" s="6"/>
      <c r="AI1343" s="6"/>
      <c r="AJ1343" s="6"/>
      <c r="AK1343" s="6"/>
      <c r="AL1343" s="6"/>
      <c r="AM1343" s="6"/>
      <c r="AN1343" s="6"/>
      <c r="AO1343" s="6"/>
      <c r="AP1343" s="6"/>
      <c r="AQ1343" s="6"/>
      <c r="AR1343" s="6"/>
      <c r="AS1343" s="6"/>
      <c r="AT1343" s="6"/>
      <c r="AU1343" s="6"/>
      <c r="AV1343" s="6"/>
      <c r="AW1343" s="6"/>
      <c r="AX1343" s="6"/>
      <c r="AY1343" s="6"/>
      <c r="AZ1343" s="6"/>
      <c r="BA1343" s="6"/>
      <c r="BB1343" s="6"/>
      <c r="BC1343" s="6"/>
      <c r="BD1343" s="6"/>
      <c r="BE1343" s="6"/>
      <c r="BF1343" s="6"/>
      <c r="BG1343" s="6"/>
      <c r="BH1343" s="6"/>
      <c r="BI1343" s="6"/>
      <c r="BJ1343" s="6"/>
      <c r="BK1343" s="6"/>
      <c r="BL1343" s="6"/>
      <c r="BM1343" s="6"/>
      <c r="BN1343" s="6"/>
      <c r="BO1343" s="6"/>
      <c r="BP1343" s="6"/>
      <c r="BQ1343" s="6"/>
      <c r="BR1343" s="6"/>
      <c r="BS1343" s="6"/>
      <c r="BT1343" s="6"/>
      <c r="BU1343" s="6"/>
      <c r="BV1343" s="6"/>
      <c r="BW1343" s="6"/>
      <c r="BX1343" s="6"/>
      <c r="BY1343" s="6"/>
      <c r="BZ1343" s="6"/>
      <c r="CA1343" s="6"/>
      <c r="CB1343" s="6"/>
      <c r="CC1343" s="6"/>
    </row>
    <row r="1344" spans="2:81" x14ac:dyDescent="0.2">
      <c r="B1344" s="68"/>
      <c r="C1344" s="69"/>
      <c r="D1344" s="70"/>
      <c r="F1344" s="68"/>
      <c r="G1344" s="69"/>
      <c r="H1344" s="70"/>
      <c r="J1344" s="71"/>
      <c r="K1344" s="71"/>
      <c r="L1344" s="67"/>
      <c r="N1344" s="71"/>
      <c r="O1344" s="71"/>
      <c r="P1344" s="67"/>
      <c r="R1344" s="67"/>
      <c r="S1344" s="6"/>
      <c r="T1344" s="6"/>
      <c r="U1344" s="6"/>
      <c r="V1344" s="6"/>
      <c r="W1344" s="6"/>
      <c r="X1344" s="6"/>
      <c r="Y1344" s="6"/>
      <c r="Z1344" s="6"/>
      <c r="AA1344" s="6"/>
      <c r="AB1344" s="6"/>
      <c r="AC1344" s="6"/>
      <c r="AD1344" s="6"/>
      <c r="AE1344" s="6"/>
      <c r="AF1344" s="6"/>
      <c r="AG1344" s="6"/>
      <c r="AH1344" s="6"/>
      <c r="AI1344" s="6"/>
      <c r="AJ1344" s="6"/>
      <c r="AK1344" s="6"/>
      <c r="AL1344" s="6"/>
      <c r="AM1344" s="6"/>
      <c r="AN1344" s="6"/>
      <c r="AO1344" s="6"/>
      <c r="AP1344" s="6"/>
      <c r="AQ1344" s="6"/>
      <c r="AR1344" s="6"/>
      <c r="AS1344" s="6"/>
      <c r="AT1344" s="6"/>
      <c r="AU1344" s="6"/>
      <c r="AV1344" s="6"/>
      <c r="AW1344" s="6"/>
      <c r="AX1344" s="6"/>
      <c r="AY1344" s="6"/>
      <c r="AZ1344" s="6"/>
      <c r="BA1344" s="6"/>
      <c r="BB1344" s="6"/>
      <c r="BC1344" s="6"/>
      <c r="BD1344" s="6"/>
      <c r="BE1344" s="6"/>
      <c r="BF1344" s="6"/>
      <c r="BG1344" s="6"/>
      <c r="BH1344" s="6"/>
      <c r="BI1344" s="6"/>
      <c r="BJ1344" s="6"/>
      <c r="BK1344" s="6"/>
      <c r="BL1344" s="6"/>
      <c r="BM1344" s="6"/>
      <c r="BN1344" s="6"/>
      <c r="BO1344" s="6"/>
      <c r="BP1344" s="6"/>
      <c r="BQ1344" s="6"/>
      <c r="BR1344" s="6"/>
      <c r="BS1344" s="6"/>
      <c r="BT1344" s="6"/>
      <c r="BU1344" s="6"/>
      <c r="BV1344" s="6"/>
      <c r="BW1344" s="6"/>
      <c r="BX1344" s="6"/>
      <c r="BY1344" s="6"/>
      <c r="BZ1344" s="6"/>
      <c r="CA1344" s="6"/>
      <c r="CB1344" s="6"/>
      <c r="CC1344" s="6"/>
    </row>
    <row r="1345" spans="2:81" x14ac:dyDescent="0.2">
      <c r="B1345" s="68"/>
      <c r="C1345" s="69"/>
      <c r="D1345" s="70"/>
      <c r="F1345" s="68"/>
      <c r="G1345" s="69"/>
      <c r="H1345" s="70"/>
      <c r="J1345" s="71"/>
      <c r="K1345" s="71"/>
      <c r="L1345" s="67"/>
      <c r="N1345" s="71"/>
      <c r="O1345" s="71"/>
      <c r="P1345" s="67"/>
      <c r="R1345" s="67"/>
      <c r="S1345" s="6"/>
      <c r="T1345" s="6"/>
      <c r="U1345" s="6"/>
      <c r="V1345" s="6"/>
      <c r="W1345" s="6"/>
      <c r="X1345" s="6"/>
      <c r="Y1345" s="6"/>
      <c r="Z1345" s="6"/>
      <c r="AA1345" s="6"/>
      <c r="AB1345" s="6"/>
      <c r="AC1345" s="6"/>
      <c r="AD1345" s="6"/>
      <c r="AE1345" s="6"/>
      <c r="AF1345" s="6"/>
      <c r="AG1345" s="6"/>
      <c r="AH1345" s="6"/>
      <c r="AI1345" s="6"/>
      <c r="AJ1345" s="6"/>
      <c r="AK1345" s="6"/>
      <c r="AL1345" s="6"/>
      <c r="AM1345" s="6"/>
      <c r="AN1345" s="6"/>
      <c r="AO1345" s="6"/>
      <c r="AP1345" s="6"/>
      <c r="AQ1345" s="6"/>
      <c r="AR1345" s="6"/>
      <c r="AS1345" s="6"/>
      <c r="AT1345" s="6"/>
      <c r="AU1345" s="6"/>
      <c r="AV1345" s="6"/>
      <c r="AW1345" s="6"/>
      <c r="AX1345" s="6"/>
      <c r="AY1345" s="6"/>
      <c r="AZ1345" s="6"/>
      <c r="BA1345" s="6"/>
      <c r="BB1345" s="6"/>
      <c r="BC1345" s="6"/>
      <c r="BD1345" s="6"/>
      <c r="BE1345" s="6"/>
      <c r="BF1345" s="6"/>
      <c r="BG1345" s="6"/>
      <c r="BH1345" s="6"/>
      <c r="BI1345" s="6"/>
      <c r="BJ1345" s="6"/>
      <c r="BK1345" s="6"/>
      <c r="BL1345" s="6"/>
      <c r="BM1345" s="6"/>
      <c r="BN1345" s="6"/>
      <c r="BO1345" s="6"/>
      <c r="BP1345" s="6"/>
      <c r="BQ1345" s="6"/>
      <c r="BR1345" s="6"/>
      <c r="BS1345" s="6"/>
      <c r="BT1345" s="6"/>
      <c r="BU1345" s="6"/>
      <c r="BV1345" s="6"/>
      <c r="BW1345" s="6"/>
      <c r="BX1345" s="6"/>
      <c r="BY1345" s="6"/>
      <c r="BZ1345" s="6"/>
      <c r="CA1345" s="6"/>
      <c r="CB1345" s="6"/>
      <c r="CC1345" s="6"/>
    </row>
    <row r="1346" spans="2:81" x14ac:dyDescent="0.2">
      <c r="B1346" s="68"/>
      <c r="C1346" s="69"/>
      <c r="D1346" s="70"/>
      <c r="F1346" s="68"/>
      <c r="G1346" s="69"/>
      <c r="H1346" s="70"/>
      <c r="J1346" s="71"/>
      <c r="K1346" s="71"/>
      <c r="L1346" s="67"/>
      <c r="N1346" s="71"/>
      <c r="O1346" s="71"/>
      <c r="P1346" s="67"/>
      <c r="R1346" s="67"/>
      <c r="S1346" s="6"/>
      <c r="T1346" s="6"/>
      <c r="U1346" s="6"/>
      <c r="V1346" s="6"/>
      <c r="W1346" s="6"/>
      <c r="X1346" s="6"/>
      <c r="Y1346" s="6"/>
      <c r="Z1346" s="6"/>
      <c r="AA1346" s="6"/>
      <c r="AB1346" s="6"/>
      <c r="AC1346" s="6"/>
      <c r="AD1346" s="6"/>
      <c r="AE1346" s="6"/>
      <c r="AF1346" s="6"/>
      <c r="AG1346" s="6"/>
      <c r="AH1346" s="6"/>
      <c r="AI1346" s="6"/>
      <c r="AJ1346" s="6"/>
      <c r="AK1346" s="6"/>
      <c r="AL1346" s="6"/>
      <c r="AM1346" s="6"/>
      <c r="AN1346" s="6"/>
      <c r="AO1346" s="6"/>
      <c r="AP1346" s="6"/>
      <c r="AQ1346" s="6"/>
      <c r="AR1346" s="6"/>
      <c r="AS1346" s="6"/>
      <c r="AT1346" s="6"/>
      <c r="AU1346" s="6"/>
      <c r="AV1346" s="6"/>
      <c r="AW1346" s="6"/>
      <c r="AX1346" s="6"/>
      <c r="AY1346" s="6"/>
      <c r="AZ1346" s="6"/>
      <c r="BA1346" s="6"/>
      <c r="BB1346" s="6"/>
      <c r="BC1346" s="6"/>
      <c r="BD1346" s="6"/>
      <c r="BE1346" s="6"/>
      <c r="BF1346" s="6"/>
      <c r="BG1346" s="6"/>
      <c r="BH1346" s="6"/>
      <c r="BI1346" s="6"/>
      <c r="BJ1346" s="6"/>
      <c r="BK1346" s="6"/>
      <c r="BL1346" s="6"/>
      <c r="BM1346" s="6"/>
      <c r="BN1346" s="6"/>
      <c r="BO1346" s="6"/>
      <c r="BP1346" s="6"/>
      <c r="BQ1346" s="6"/>
      <c r="BR1346" s="6"/>
      <c r="BS1346" s="6"/>
      <c r="BT1346" s="6"/>
      <c r="BU1346" s="6"/>
      <c r="BV1346" s="6"/>
      <c r="BW1346" s="6"/>
      <c r="BX1346" s="6"/>
      <c r="BY1346" s="6"/>
      <c r="BZ1346" s="6"/>
      <c r="CA1346" s="6"/>
      <c r="CB1346" s="6"/>
      <c r="CC1346" s="6"/>
    </row>
    <row r="1347" spans="2:81" x14ac:dyDescent="0.2">
      <c r="B1347" s="68"/>
      <c r="C1347" s="69"/>
      <c r="D1347" s="70"/>
      <c r="F1347" s="68"/>
      <c r="G1347" s="69"/>
      <c r="H1347" s="70"/>
      <c r="J1347" s="71"/>
      <c r="K1347" s="71"/>
      <c r="L1347" s="67"/>
      <c r="N1347" s="71"/>
      <c r="O1347" s="71"/>
      <c r="P1347" s="67"/>
      <c r="R1347" s="67"/>
      <c r="S1347" s="6"/>
      <c r="T1347" s="6"/>
      <c r="U1347" s="6"/>
      <c r="V1347" s="6"/>
      <c r="W1347" s="6"/>
      <c r="X1347" s="6"/>
      <c r="Y1347" s="6"/>
      <c r="Z1347" s="6"/>
      <c r="AA1347" s="6"/>
      <c r="AB1347" s="6"/>
      <c r="AC1347" s="6"/>
      <c r="AD1347" s="6"/>
      <c r="AE1347" s="6"/>
      <c r="AF1347" s="6"/>
      <c r="AG1347" s="6"/>
      <c r="AH1347" s="6"/>
      <c r="AI1347" s="6"/>
      <c r="AJ1347" s="6"/>
      <c r="AK1347" s="6"/>
      <c r="AL1347" s="6"/>
      <c r="AM1347" s="6"/>
      <c r="AN1347" s="6"/>
      <c r="AO1347" s="6"/>
      <c r="AP1347" s="6"/>
      <c r="AQ1347" s="6"/>
      <c r="AR1347" s="6"/>
      <c r="AS1347" s="6"/>
      <c r="AT1347" s="6"/>
      <c r="AU1347" s="6"/>
      <c r="AV1347" s="6"/>
      <c r="AW1347" s="6"/>
      <c r="AX1347" s="6"/>
      <c r="AY1347" s="6"/>
      <c r="AZ1347" s="6"/>
      <c r="BA1347" s="6"/>
      <c r="BB1347" s="6"/>
      <c r="BC1347" s="6"/>
      <c r="BD1347" s="6"/>
      <c r="BE1347" s="6"/>
      <c r="BF1347" s="6"/>
      <c r="BG1347" s="6"/>
      <c r="BH1347" s="6"/>
      <c r="BI1347" s="6"/>
      <c r="BJ1347" s="6"/>
      <c r="BK1347" s="6"/>
      <c r="BL1347" s="6"/>
      <c r="BM1347" s="6"/>
      <c r="BN1347" s="6"/>
      <c r="BO1347" s="6"/>
      <c r="BP1347" s="6"/>
      <c r="BQ1347" s="6"/>
      <c r="BR1347" s="6"/>
      <c r="BS1347" s="6"/>
      <c r="BT1347" s="6"/>
      <c r="BU1347" s="6"/>
      <c r="BV1347" s="6"/>
      <c r="BW1347" s="6"/>
      <c r="BX1347" s="6"/>
      <c r="BY1347" s="6"/>
      <c r="BZ1347" s="6"/>
      <c r="CA1347" s="6"/>
      <c r="CB1347" s="6"/>
      <c r="CC1347" s="6"/>
    </row>
    <row r="1348" spans="2:81" x14ac:dyDescent="0.2">
      <c r="B1348" s="68"/>
      <c r="C1348" s="69"/>
      <c r="D1348" s="70"/>
      <c r="F1348" s="68"/>
      <c r="G1348" s="69"/>
      <c r="H1348" s="70"/>
      <c r="J1348" s="71"/>
      <c r="K1348" s="71"/>
      <c r="L1348" s="67"/>
      <c r="N1348" s="71"/>
      <c r="O1348" s="71"/>
      <c r="P1348" s="67"/>
      <c r="R1348" s="67"/>
      <c r="S1348" s="6"/>
      <c r="T1348" s="6"/>
      <c r="U1348" s="6"/>
      <c r="V1348" s="6"/>
      <c r="W1348" s="6"/>
      <c r="X1348" s="6"/>
      <c r="Y1348" s="6"/>
      <c r="Z1348" s="6"/>
      <c r="AA1348" s="6"/>
      <c r="AB1348" s="6"/>
      <c r="AC1348" s="6"/>
      <c r="AD1348" s="6"/>
      <c r="AE1348" s="6"/>
      <c r="AF1348" s="6"/>
      <c r="AG1348" s="6"/>
      <c r="AH1348" s="6"/>
      <c r="AI1348" s="6"/>
      <c r="AJ1348" s="6"/>
      <c r="AK1348" s="6"/>
      <c r="AL1348" s="6"/>
      <c r="AM1348" s="6"/>
      <c r="AN1348" s="6"/>
      <c r="AO1348" s="6"/>
      <c r="AP1348" s="6"/>
      <c r="AQ1348" s="6"/>
      <c r="AR1348" s="6"/>
      <c r="AS1348" s="6"/>
      <c r="AT1348" s="6"/>
      <c r="AU1348" s="6"/>
      <c r="AV1348" s="6"/>
      <c r="AW1348" s="6"/>
      <c r="AX1348" s="6"/>
      <c r="AY1348" s="6"/>
      <c r="AZ1348" s="6"/>
      <c r="BA1348" s="6"/>
      <c r="BB1348" s="6"/>
      <c r="BC1348" s="6"/>
      <c r="BD1348" s="6"/>
      <c r="BE1348" s="6"/>
      <c r="BF1348" s="6"/>
      <c r="BG1348" s="6"/>
      <c r="BH1348" s="6"/>
      <c r="BI1348" s="6"/>
      <c r="BJ1348" s="6"/>
      <c r="BK1348" s="6"/>
      <c r="BL1348" s="6"/>
      <c r="BM1348" s="6"/>
      <c r="BN1348" s="6"/>
      <c r="BO1348" s="6"/>
      <c r="BP1348" s="6"/>
      <c r="BQ1348" s="6"/>
      <c r="BR1348" s="6"/>
      <c r="BS1348" s="6"/>
      <c r="BT1348" s="6"/>
      <c r="BU1348" s="6"/>
      <c r="BV1348" s="6"/>
      <c r="BW1348" s="6"/>
      <c r="BX1348" s="6"/>
      <c r="BY1348" s="6"/>
      <c r="BZ1348" s="6"/>
      <c r="CA1348" s="6"/>
      <c r="CB1348" s="6"/>
      <c r="CC1348" s="6"/>
    </row>
    <row r="1349" spans="2:81" x14ac:dyDescent="0.2">
      <c r="B1349" s="68"/>
      <c r="C1349" s="69"/>
      <c r="D1349" s="70"/>
      <c r="F1349" s="68"/>
      <c r="G1349" s="69"/>
      <c r="H1349" s="70"/>
      <c r="J1349" s="71"/>
      <c r="K1349" s="71"/>
      <c r="L1349" s="67"/>
      <c r="N1349" s="71"/>
      <c r="O1349" s="71"/>
      <c r="P1349" s="67"/>
      <c r="R1349" s="67"/>
      <c r="S1349" s="6"/>
      <c r="T1349" s="6"/>
      <c r="U1349" s="6"/>
      <c r="V1349" s="6"/>
      <c r="W1349" s="6"/>
      <c r="X1349" s="6"/>
      <c r="Y1349" s="6"/>
      <c r="Z1349" s="6"/>
      <c r="AA1349" s="6"/>
      <c r="AB1349" s="6"/>
      <c r="AC1349" s="6"/>
      <c r="AD1349" s="6"/>
      <c r="AE1349" s="6"/>
      <c r="AF1349" s="6"/>
      <c r="AG1349" s="6"/>
      <c r="AH1349" s="6"/>
      <c r="AI1349" s="6"/>
      <c r="AJ1349" s="6"/>
      <c r="AK1349" s="6"/>
      <c r="AL1349" s="6"/>
      <c r="AM1349" s="6"/>
      <c r="AN1349" s="6"/>
      <c r="AO1349" s="6"/>
      <c r="AP1349" s="6"/>
      <c r="AQ1349" s="6"/>
      <c r="AR1349" s="6"/>
      <c r="AS1349" s="6"/>
      <c r="AT1349" s="6"/>
      <c r="AU1349" s="6"/>
      <c r="AV1349" s="6"/>
      <c r="AW1349" s="6"/>
      <c r="AX1349" s="6"/>
      <c r="AY1349" s="6"/>
      <c r="AZ1349" s="6"/>
      <c r="BA1349" s="6"/>
      <c r="BB1349" s="6"/>
      <c r="BC1349" s="6"/>
      <c r="BD1349" s="6"/>
      <c r="BE1349" s="6"/>
      <c r="BF1349" s="6"/>
      <c r="BG1349" s="6"/>
      <c r="BH1349" s="6"/>
      <c r="BI1349" s="6"/>
      <c r="BJ1349" s="6"/>
      <c r="BK1349" s="6"/>
      <c r="BL1349" s="6"/>
      <c r="BM1349" s="6"/>
      <c r="BN1349" s="6"/>
      <c r="BO1349" s="6"/>
      <c r="BP1349" s="6"/>
      <c r="BQ1349" s="6"/>
      <c r="BR1349" s="6"/>
      <c r="BS1349" s="6"/>
      <c r="BT1349" s="6"/>
      <c r="BU1349" s="6"/>
      <c r="BV1349" s="6"/>
      <c r="BW1349" s="6"/>
      <c r="BX1349" s="6"/>
      <c r="BY1349" s="6"/>
      <c r="BZ1349" s="6"/>
      <c r="CA1349" s="6"/>
      <c r="CB1349" s="6"/>
      <c r="CC1349" s="6"/>
    </row>
    <row r="1350" spans="2:81" x14ac:dyDescent="0.2">
      <c r="B1350" s="68"/>
      <c r="C1350" s="69"/>
      <c r="D1350" s="70"/>
      <c r="F1350" s="68"/>
      <c r="G1350" s="69"/>
      <c r="H1350" s="70"/>
      <c r="J1350" s="71"/>
      <c r="K1350" s="71"/>
      <c r="L1350" s="67"/>
      <c r="N1350" s="71"/>
      <c r="O1350" s="71"/>
      <c r="P1350" s="67"/>
      <c r="R1350" s="67"/>
      <c r="S1350" s="6"/>
      <c r="T1350" s="6"/>
      <c r="U1350" s="6"/>
      <c r="V1350" s="6"/>
      <c r="W1350" s="6"/>
      <c r="X1350" s="6"/>
      <c r="Y1350" s="6"/>
      <c r="Z1350" s="6"/>
      <c r="AA1350" s="6"/>
      <c r="AB1350" s="6"/>
      <c r="AC1350" s="6"/>
      <c r="AD1350" s="6"/>
      <c r="AE1350" s="6"/>
      <c r="AF1350" s="6"/>
      <c r="AG1350" s="6"/>
      <c r="AH1350" s="6"/>
      <c r="AI1350" s="6"/>
      <c r="AJ1350" s="6"/>
      <c r="AK1350" s="6"/>
      <c r="AL1350" s="6"/>
      <c r="AM1350" s="6"/>
      <c r="AN1350" s="6"/>
      <c r="AO1350" s="6"/>
      <c r="AP1350" s="6"/>
      <c r="AQ1350" s="6"/>
      <c r="AR1350" s="6"/>
      <c r="AS1350" s="6"/>
      <c r="AT1350" s="6"/>
      <c r="AU1350" s="6"/>
      <c r="AV1350" s="6"/>
      <c r="AW1350" s="6"/>
      <c r="AX1350" s="6"/>
      <c r="AY1350" s="6"/>
      <c r="AZ1350" s="6"/>
      <c r="BA1350" s="6"/>
      <c r="BB1350" s="6"/>
      <c r="BC1350" s="6"/>
      <c r="BD1350" s="6"/>
      <c r="BE1350" s="6"/>
      <c r="BF1350" s="6"/>
      <c r="BG1350" s="6"/>
      <c r="BH1350" s="6"/>
      <c r="BI1350" s="6"/>
      <c r="BJ1350" s="6"/>
      <c r="BK1350" s="6"/>
      <c r="BL1350" s="6"/>
      <c r="BM1350" s="6"/>
      <c r="BN1350" s="6"/>
      <c r="BO1350" s="6"/>
      <c r="BP1350" s="6"/>
      <c r="BQ1350" s="6"/>
      <c r="BR1350" s="6"/>
      <c r="BS1350" s="6"/>
      <c r="BT1350" s="6"/>
      <c r="BU1350" s="6"/>
      <c r="BV1350" s="6"/>
      <c r="BW1350" s="6"/>
      <c r="BX1350" s="6"/>
      <c r="BY1350" s="6"/>
      <c r="BZ1350" s="6"/>
      <c r="CA1350" s="6"/>
      <c r="CB1350" s="6"/>
      <c r="CC1350" s="6"/>
    </row>
    <row r="1351" spans="2:81" x14ac:dyDescent="0.2">
      <c r="B1351" s="68"/>
      <c r="C1351" s="69"/>
      <c r="D1351" s="70"/>
      <c r="F1351" s="68"/>
      <c r="G1351" s="69"/>
      <c r="H1351" s="70"/>
      <c r="J1351" s="71"/>
      <c r="K1351" s="71"/>
      <c r="L1351" s="67"/>
      <c r="N1351" s="71"/>
      <c r="O1351" s="71"/>
      <c r="P1351" s="67"/>
      <c r="R1351" s="67"/>
      <c r="S1351" s="6"/>
      <c r="T1351" s="6"/>
      <c r="U1351" s="6"/>
      <c r="V1351" s="6"/>
      <c r="W1351" s="6"/>
      <c r="X1351" s="6"/>
      <c r="Y1351" s="6"/>
      <c r="Z1351" s="6"/>
      <c r="AA1351" s="6"/>
      <c r="AB1351" s="6"/>
      <c r="AC1351" s="6"/>
      <c r="AD1351" s="6"/>
      <c r="AE1351" s="6"/>
      <c r="AF1351" s="6"/>
      <c r="AG1351" s="6"/>
      <c r="AH1351" s="6"/>
      <c r="AI1351" s="6"/>
      <c r="AJ1351" s="6"/>
      <c r="AK1351" s="6"/>
      <c r="AL1351" s="6"/>
      <c r="AM1351" s="6"/>
      <c r="AN1351" s="6"/>
      <c r="AO1351" s="6"/>
      <c r="AP1351" s="6"/>
      <c r="AQ1351" s="6"/>
      <c r="AR1351" s="6"/>
      <c r="AS1351" s="6"/>
      <c r="AT1351" s="6"/>
      <c r="AU1351" s="6"/>
      <c r="AV1351" s="6"/>
      <c r="AW1351" s="6"/>
      <c r="AX1351" s="6"/>
      <c r="AY1351" s="6"/>
      <c r="AZ1351" s="6"/>
      <c r="BA1351" s="6"/>
      <c r="BB1351" s="6"/>
      <c r="BC1351" s="6"/>
      <c r="BD1351" s="6"/>
      <c r="BE1351" s="6"/>
      <c r="BF1351" s="6"/>
      <c r="BG1351" s="6"/>
      <c r="BH1351" s="6"/>
      <c r="BI1351" s="6"/>
      <c r="BJ1351" s="6"/>
      <c r="BK1351" s="6"/>
      <c r="BL1351" s="6"/>
      <c r="BM1351" s="6"/>
      <c r="BN1351" s="6"/>
      <c r="BO1351" s="6"/>
      <c r="BP1351" s="6"/>
      <c r="BQ1351" s="6"/>
      <c r="BR1351" s="6"/>
      <c r="BS1351" s="6"/>
      <c r="BT1351" s="6"/>
      <c r="BU1351" s="6"/>
      <c r="BV1351" s="6"/>
      <c r="BW1351" s="6"/>
      <c r="BX1351" s="6"/>
      <c r="BY1351" s="6"/>
      <c r="BZ1351" s="6"/>
      <c r="CA1351" s="6"/>
      <c r="CB1351" s="6"/>
      <c r="CC1351" s="6"/>
    </row>
    <row r="1352" spans="2:81" x14ac:dyDescent="0.2">
      <c r="B1352" s="68"/>
      <c r="C1352" s="69"/>
      <c r="D1352" s="70"/>
      <c r="F1352" s="68"/>
      <c r="G1352" s="69"/>
      <c r="H1352" s="70"/>
      <c r="J1352" s="71"/>
      <c r="K1352" s="71"/>
      <c r="L1352" s="67"/>
      <c r="N1352" s="71"/>
      <c r="O1352" s="71"/>
      <c r="P1352" s="67"/>
      <c r="R1352" s="67"/>
      <c r="S1352" s="6"/>
      <c r="T1352" s="6"/>
      <c r="U1352" s="6"/>
      <c r="V1352" s="6"/>
      <c r="W1352" s="6"/>
      <c r="X1352" s="6"/>
      <c r="Y1352" s="6"/>
      <c r="Z1352" s="6"/>
      <c r="AA1352" s="6"/>
      <c r="AB1352" s="6"/>
      <c r="AC1352" s="6"/>
      <c r="AD1352" s="6"/>
      <c r="AE1352" s="6"/>
      <c r="AF1352" s="6"/>
      <c r="AG1352" s="6"/>
      <c r="AH1352" s="6"/>
      <c r="AI1352" s="6"/>
      <c r="AJ1352" s="6"/>
      <c r="AK1352" s="6"/>
      <c r="AL1352" s="6"/>
      <c r="AM1352" s="6"/>
      <c r="AN1352" s="6"/>
      <c r="AO1352" s="6"/>
      <c r="AP1352" s="6"/>
      <c r="AQ1352" s="6"/>
      <c r="AR1352" s="6"/>
      <c r="AS1352" s="6"/>
      <c r="AT1352" s="6"/>
      <c r="AU1352" s="6"/>
      <c r="AV1352" s="6"/>
      <c r="AW1352" s="6"/>
      <c r="AX1352" s="6"/>
      <c r="AY1352" s="6"/>
      <c r="AZ1352" s="6"/>
      <c r="BA1352" s="6"/>
      <c r="BB1352" s="6"/>
      <c r="BC1352" s="6"/>
      <c r="BD1352" s="6"/>
      <c r="BE1352" s="6"/>
      <c r="BF1352" s="6"/>
      <c r="BG1352" s="6"/>
      <c r="BH1352" s="6"/>
      <c r="BI1352" s="6"/>
      <c r="BJ1352" s="6"/>
      <c r="BK1352" s="6"/>
      <c r="BL1352" s="6"/>
      <c r="BM1352" s="6"/>
      <c r="BN1352" s="6"/>
      <c r="BO1352" s="6"/>
      <c r="BP1352" s="6"/>
      <c r="BQ1352" s="6"/>
      <c r="BR1352" s="6"/>
      <c r="BS1352" s="6"/>
      <c r="BT1352" s="6"/>
      <c r="BU1352" s="6"/>
      <c r="BV1352" s="6"/>
      <c r="BW1352" s="6"/>
      <c r="BX1352" s="6"/>
      <c r="BY1352" s="6"/>
      <c r="BZ1352" s="6"/>
      <c r="CA1352" s="6"/>
      <c r="CB1352" s="6"/>
      <c r="CC1352" s="6"/>
    </row>
    <row r="1353" spans="2:81" x14ac:dyDescent="0.2">
      <c r="B1353" s="68"/>
      <c r="C1353" s="69"/>
      <c r="D1353" s="70"/>
      <c r="F1353" s="68"/>
      <c r="G1353" s="69"/>
      <c r="H1353" s="70"/>
      <c r="J1353" s="71"/>
      <c r="K1353" s="71"/>
      <c r="L1353" s="67"/>
      <c r="N1353" s="71"/>
      <c r="O1353" s="71"/>
      <c r="P1353" s="67"/>
      <c r="R1353" s="67"/>
      <c r="S1353" s="6"/>
      <c r="T1353" s="6"/>
      <c r="U1353" s="6"/>
      <c r="V1353" s="6"/>
      <c r="W1353" s="6"/>
      <c r="X1353" s="6"/>
      <c r="Y1353" s="6"/>
      <c r="Z1353" s="6"/>
      <c r="AA1353" s="6"/>
      <c r="AB1353" s="6"/>
      <c r="AC1353" s="6"/>
      <c r="AD1353" s="6"/>
      <c r="AE1353" s="6"/>
      <c r="AF1353" s="6"/>
      <c r="AG1353" s="6"/>
      <c r="AH1353" s="6"/>
      <c r="AI1353" s="6"/>
      <c r="AJ1353" s="6"/>
      <c r="AK1353" s="6"/>
      <c r="AL1353" s="6"/>
      <c r="AM1353" s="6"/>
      <c r="AN1353" s="6"/>
      <c r="AO1353" s="6"/>
      <c r="AP1353" s="6"/>
      <c r="AQ1353" s="6"/>
      <c r="AR1353" s="6"/>
      <c r="AS1353" s="6"/>
      <c r="AT1353" s="6"/>
      <c r="AU1353" s="6"/>
      <c r="AV1353" s="6"/>
      <c r="AW1353" s="6"/>
      <c r="AX1353" s="6"/>
      <c r="AY1353" s="6"/>
      <c r="AZ1353" s="6"/>
      <c r="BA1353" s="6"/>
      <c r="BB1353" s="6"/>
      <c r="BC1353" s="6"/>
      <c r="BD1353" s="6"/>
      <c r="BE1353" s="6"/>
      <c r="BF1353" s="6"/>
      <c r="BG1353" s="6"/>
      <c r="BH1353" s="6"/>
      <c r="BI1353" s="6"/>
      <c r="BJ1353" s="6"/>
      <c r="BK1353" s="6"/>
      <c r="BL1353" s="6"/>
      <c r="BM1353" s="6"/>
      <c r="BN1353" s="6"/>
      <c r="BO1353" s="6"/>
      <c r="BP1353" s="6"/>
      <c r="BQ1353" s="6"/>
      <c r="BR1353" s="6"/>
      <c r="BS1353" s="6"/>
      <c r="BT1353" s="6"/>
      <c r="BU1353" s="6"/>
      <c r="BV1353" s="6"/>
      <c r="BW1353" s="6"/>
      <c r="BX1353" s="6"/>
      <c r="BY1353" s="6"/>
      <c r="BZ1353" s="6"/>
      <c r="CA1353" s="6"/>
      <c r="CB1353" s="6"/>
      <c r="CC1353" s="6"/>
    </row>
    <row r="1354" spans="2:81" x14ac:dyDescent="0.2">
      <c r="B1354" s="68"/>
      <c r="C1354" s="69"/>
      <c r="D1354" s="70"/>
      <c r="F1354" s="68"/>
      <c r="G1354" s="69"/>
      <c r="H1354" s="70"/>
      <c r="J1354" s="71"/>
      <c r="K1354" s="71"/>
      <c r="L1354" s="67"/>
      <c r="N1354" s="71"/>
      <c r="O1354" s="71"/>
      <c r="P1354" s="67"/>
      <c r="R1354" s="67"/>
      <c r="S1354" s="6"/>
      <c r="T1354" s="6"/>
      <c r="U1354" s="6"/>
      <c r="V1354" s="6"/>
      <c r="W1354" s="6"/>
      <c r="X1354" s="6"/>
      <c r="Y1354" s="6"/>
      <c r="Z1354" s="6"/>
      <c r="AA1354" s="6"/>
      <c r="AB1354" s="6"/>
      <c r="AC1354" s="6"/>
      <c r="AD1354" s="6"/>
      <c r="AE1354" s="6"/>
      <c r="AF1354" s="6"/>
      <c r="AG1354" s="6"/>
      <c r="AH1354" s="6"/>
      <c r="AI1354" s="6"/>
      <c r="AJ1354" s="6"/>
      <c r="AK1354" s="6"/>
      <c r="AL1354" s="6"/>
      <c r="AM1354" s="6"/>
      <c r="AN1354" s="6"/>
      <c r="AO1354" s="6"/>
      <c r="AP1354" s="6"/>
      <c r="AQ1354" s="6"/>
      <c r="AR1354" s="6"/>
      <c r="AS1354" s="6"/>
      <c r="AT1354" s="6"/>
      <c r="AU1354" s="6"/>
      <c r="AV1354" s="6"/>
      <c r="AW1354" s="6"/>
      <c r="AX1354" s="6"/>
      <c r="AY1354" s="6"/>
      <c r="AZ1354" s="6"/>
      <c r="BA1354" s="6"/>
      <c r="BB1354" s="6"/>
      <c r="BC1354" s="6"/>
      <c r="BD1354" s="6"/>
      <c r="BE1354" s="6"/>
      <c r="BF1354" s="6"/>
      <c r="BG1354" s="6"/>
      <c r="BH1354" s="6"/>
      <c r="BI1354" s="6"/>
      <c r="BJ1354" s="6"/>
      <c r="BK1354" s="6"/>
      <c r="BL1354" s="6"/>
      <c r="BM1354" s="6"/>
      <c r="BN1354" s="6"/>
      <c r="BO1354" s="6"/>
      <c r="BP1354" s="6"/>
      <c r="BQ1354" s="6"/>
      <c r="BR1354" s="6"/>
      <c r="BS1354" s="6"/>
      <c r="BT1354" s="6"/>
      <c r="BU1354" s="6"/>
      <c r="BV1354" s="6"/>
      <c r="BW1354" s="6"/>
      <c r="BX1354" s="6"/>
      <c r="BY1354" s="6"/>
      <c r="BZ1354" s="6"/>
      <c r="CA1354" s="6"/>
      <c r="CB1354" s="6"/>
      <c r="CC1354" s="6"/>
    </row>
    <row r="1355" spans="2:81" x14ac:dyDescent="0.2">
      <c r="B1355" s="68"/>
      <c r="C1355" s="69"/>
      <c r="D1355" s="70"/>
      <c r="F1355" s="68"/>
      <c r="G1355" s="69"/>
      <c r="H1355" s="70"/>
      <c r="J1355" s="71"/>
      <c r="K1355" s="71"/>
      <c r="L1355" s="67"/>
      <c r="N1355" s="71"/>
      <c r="O1355" s="71"/>
      <c r="P1355" s="67"/>
      <c r="R1355" s="67"/>
      <c r="S1355" s="6"/>
      <c r="T1355" s="6"/>
      <c r="U1355" s="6"/>
      <c r="V1355" s="6"/>
      <c r="W1355" s="6"/>
      <c r="X1355" s="6"/>
      <c r="Y1355" s="6"/>
      <c r="Z1355" s="6"/>
      <c r="AA1355" s="6"/>
      <c r="AB1355" s="6"/>
      <c r="AC1355" s="6"/>
      <c r="AD1355" s="6"/>
      <c r="AE1355" s="6"/>
      <c r="AF1355" s="6"/>
      <c r="AG1355" s="6"/>
      <c r="AH1355" s="6"/>
      <c r="AI1355" s="6"/>
      <c r="AJ1355" s="6"/>
      <c r="AK1355" s="6"/>
      <c r="AL1355" s="6"/>
      <c r="AM1355" s="6"/>
      <c r="AN1355" s="6"/>
      <c r="AO1355" s="6"/>
      <c r="AP1355" s="6"/>
      <c r="AQ1355" s="6"/>
      <c r="AR1355" s="6"/>
      <c r="AS1355" s="6"/>
      <c r="AT1355" s="6"/>
      <c r="AU1355" s="6"/>
      <c r="AV1355" s="6"/>
      <c r="AW1355" s="6"/>
      <c r="AX1355" s="6"/>
      <c r="AY1355" s="6"/>
      <c r="AZ1355" s="6"/>
      <c r="BA1355" s="6"/>
      <c r="BB1355" s="6"/>
      <c r="BC1355" s="6"/>
      <c r="BD1355" s="6"/>
      <c r="BE1355" s="6"/>
      <c r="BF1355" s="6"/>
      <c r="BG1355" s="6"/>
      <c r="BH1355" s="6"/>
      <c r="BI1355" s="6"/>
      <c r="BJ1355" s="6"/>
      <c r="BK1355" s="6"/>
      <c r="BL1355" s="6"/>
      <c r="BM1355" s="6"/>
      <c r="BN1355" s="6"/>
      <c r="BO1355" s="6"/>
      <c r="BP1355" s="6"/>
      <c r="BQ1355" s="6"/>
      <c r="BR1355" s="6"/>
      <c r="BS1355" s="6"/>
      <c r="BT1355" s="6"/>
      <c r="BU1355" s="6"/>
      <c r="BV1355" s="6"/>
      <c r="BW1355" s="6"/>
      <c r="BX1355" s="6"/>
      <c r="BY1355" s="6"/>
      <c r="BZ1355" s="6"/>
      <c r="CA1355" s="6"/>
      <c r="CB1355" s="6"/>
      <c r="CC1355" s="6"/>
    </row>
    <row r="1356" spans="2:81" x14ac:dyDescent="0.2">
      <c r="B1356" s="68"/>
      <c r="C1356" s="69"/>
      <c r="D1356" s="70"/>
      <c r="F1356" s="68"/>
      <c r="G1356" s="69"/>
      <c r="H1356" s="70"/>
      <c r="J1356" s="71"/>
      <c r="K1356" s="71"/>
      <c r="L1356" s="67"/>
      <c r="N1356" s="71"/>
      <c r="O1356" s="71"/>
      <c r="P1356" s="67"/>
      <c r="R1356" s="67"/>
      <c r="S1356" s="6"/>
      <c r="T1356" s="6"/>
      <c r="U1356" s="6"/>
      <c r="V1356" s="6"/>
      <c r="W1356" s="6"/>
      <c r="X1356" s="6"/>
      <c r="Y1356" s="6"/>
      <c r="Z1356" s="6"/>
      <c r="AA1356" s="6"/>
      <c r="AB1356" s="6"/>
      <c r="AC1356" s="6"/>
      <c r="AD1356" s="6"/>
      <c r="AE1356" s="6"/>
      <c r="AF1356" s="6"/>
      <c r="AG1356" s="6"/>
      <c r="AH1356" s="6"/>
      <c r="AI1356" s="6"/>
      <c r="AJ1356" s="6"/>
      <c r="AK1356" s="6"/>
      <c r="AL1356" s="6"/>
      <c r="AM1356" s="6"/>
      <c r="AN1356" s="6"/>
      <c r="AO1356" s="6"/>
      <c r="AP1356" s="6"/>
      <c r="AQ1356" s="6"/>
      <c r="AR1356" s="6"/>
      <c r="AS1356" s="6"/>
      <c r="AT1356" s="6"/>
      <c r="AU1356" s="6"/>
      <c r="AV1356" s="6"/>
      <c r="AW1356" s="6"/>
      <c r="AX1356" s="6"/>
      <c r="AY1356" s="6"/>
      <c r="AZ1356" s="6"/>
      <c r="BA1356" s="6"/>
      <c r="BB1356" s="6"/>
      <c r="BC1356" s="6"/>
      <c r="BD1356" s="6"/>
      <c r="BE1356" s="6"/>
      <c r="BF1356" s="6"/>
      <c r="BG1356" s="6"/>
      <c r="BH1356" s="6"/>
      <c r="BI1356" s="6"/>
      <c r="BJ1356" s="6"/>
      <c r="BK1356" s="6"/>
      <c r="BL1356" s="6"/>
      <c r="BM1356" s="6"/>
      <c r="BN1356" s="6"/>
      <c r="BO1356" s="6"/>
      <c r="BP1356" s="6"/>
      <c r="BQ1356" s="6"/>
      <c r="BR1356" s="6"/>
      <c r="BS1356" s="6"/>
      <c r="BT1356" s="6"/>
      <c r="BU1356" s="6"/>
      <c r="BV1356" s="6"/>
      <c r="BW1356" s="6"/>
      <c r="BX1356" s="6"/>
      <c r="BY1356" s="6"/>
      <c r="BZ1356" s="6"/>
      <c r="CA1356" s="6"/>
      <c r="CB1356" s="6"/>
      <c r="CC1356" s="6"/>
    </row>
    <row r="1357" spans="2:81" x14ac:dyDescent="0.2">
      <c r="B1357" s="68"/>
      <c r="C1357" s="69"/>
      <c r="D1357" s="70"/>
      <c r="F1357" s="68"/>
      <c r="G1357" s="69"/>
      <c r="H1357" s="70"/>
      <c r="J1357" s="71"/>
      <c r="K1357" s="71"/>
      <c r="L1357" s="67"/>
      <c r="N1357" s="71"/>
      <c r="O1357" s="71"/>
      <c r="P1357" s="67"/>
      <c r="R1357" s="67"/>
      <c r="S1357" s="6"/>
      <c r="T1357" s="6"/>
      <c r="U1357" s="6"/>
      <c r="V1357" s="6"/>
      <c r="W1357" s="6"/>
      <c r="X1357" s="6"/>
      <c r="Y1357" s="6"/>
      <c r="Z1357" s="6"/>
      <c r="AA1357" s="6"/>
      <c r="AB1357" s="6"/>
      <c r="AC1357" s="6"/>
      <c r="AD1357" s="6"/>
      <c r="AE1357" s="6"/>
      <c r="AF1357" s="6"/>
      <c r="AG1357" s="6"/>
      <c r="AH1357" s="6"/>
      <c r="AI1357" s="6"/>
      <c r="AJ1357" s="6"/>
      <c r="AK1357" s="6"/>
      <c r="AL1357" s="6"/>
      <c r="AM1357" s="6"/>
      <c r="AN1357" s="6"/>
      <c r="AO1357" s="6"/>
      <c r="AP1357" s="6"/>
      <c r="AQ1357" s="6"/>
      <c r="AR1357" s="6"/>
      <c r="AS1357" s="6"/>
      <c r="AT1357" s="6"/>
      <c r="AU1357" s="6"/>
      <c r="AV1357" s="6"/>
      <c r="AW1357" s="6"/>
      <c r="AX1357" s="6"/>
      <c r="AY1357" s="6"/>
      <c r="AZ1357" s="6"/>
      <c r="BA1357" s="6"/>
      <c r="BB1357" s="6"/>
      <c r="BC1357" s="6"/>
      <c r="BD1357" s="6"/>
      <c r="BE1357" s="6"/>
      <c r="BF1357" s="6"/>
      <c r="BG1357" s="6"/>
      <c r="BH1357" s="6"/>
      <c r="BI1357" s="6"/>
      <c r="BJ1357" s="6"/>
      <c r="BK1357" s="6"/>
      <c r="BL1357" s="6"/>
      <c r="BM1357" s="6"/>
      <c r="BN1357" s="6"/>
      <c r="BO1357" s="6"/>
      <c r="BP1357" s="6"/>
      <c r="BQ1357" s="6"/>
      <c r="BR1357" s="6"/>
      <c r="BS1357" s="6"/>
      <c r="BT1357" s="6"/>
      <c r="BU1357" s="6"/>
      <c r="BV1357" s="6"/>
      <c r="BW1357" s="6"/>
      <c r="BX1357" s="6"/>
      <c r="BY1357" s="6"/>
      <c r="BZ1357" s="6"/>
      <c r="CA1357" s="6"/>
      <c r="CB1357" s="6"/>
      <c r="CC1357" s="6"/>
    </row>
    <row r="1358" spans="2:81" x14ac:dyDescent="0.2">
      <c r="B1358" s="68"/>
      <c r="C1358" s="69"/>
      <c r="D1358" s="70"/>
      <c r="F1358" s="68"/>
      <c r="G1358" s="69"/>
      <c r="H1358" s="70"/>
      <c r="J1358" s="71"/>
      <c r="K1358" s="71"/>
      <c r="L1358" s="67"/>
      <c r="N1358" s="71"/>
      <c r="O1358" s="71"/>
      <c r="P1358" s="67"/>
      <c r="R1358" s="67"/>
      <c r="S1358" s="6"/>
      <c r="T1358" s="6"/>
      <c r="U1358" s="6"/>
      <c r="V1358" s="6"/>
      <c r="W1358" s="6"/>
      <c r="X1358" s="6"/>
      <c r="Y1358" s="6"/>
      <c r="Z1358" s="6"/>
      <c r="AA1358" s="6"/>
      <c r="AB1358" s="6"/>
      <c r="AC1358" s="6"/>
      <c r="AD1358" s="6"/>
      <c r="AE1358" s="6"/>
      <c r="AF1358" s="6"/>
      <c r="AG1358" s="6"/>
      <c r="AH1358" s="6"/>
      <c r="AI1358" s="6"/>
      <c r="AJ1358" s="6"/>
      <c r="AK1358" s="6"/>
      <c r="AL1358" s="6"/>
      <c r="AM1358" s="6"/>
      <c r="AN1358" s="6"/>
      <c r="AO1358" s="6"/>
      <c r="AP1358" s="6"/>
      <c r="AQ1358" s="6"/>
      <c r="AR1358" s="6"/>
      <c r="AS1358" s="6"/>
      <c r="AT1358" s="6"/>
      <c r="AU1358" s="6"/>
      <c r="AV1358" s="6"/>
      <c r="AW1358" s="6"/>
      <c r="AX1358" s="6"/>
      <c r="AY1358" s="6"/>
      <c r="AZ1358" s="6"/>
      <c r="BA1358" s="6"/>
      <c r="BB1358" s="6"/>
      <c r="BC1358" s="6"/>
      <c r="BD1358" s="6"/>
      <c r="BE1358" s="6"/>
      <c r="BF1358" s="6"/>
      <c r="BG1358" s="6"/>
      <c r="BH1358" s="6"/>
      <c r="BI1358" s="6"/>
      <c r="BJ1358" s="6"/>
      <c r="BK1358" s="6"/>
      <c r="BL1358" s="6"/>
      <c r="BM1358" s="6"/>
      <c r="BN1358" s="6"/>
      <c r="BO1358" s="6"/>
      <c r="BP1358" s="6"/>
      <c r="BQ1358" s="6"/>
      <c r="BR1358" s="6"/>
      <c r="BS1358" s="6"/>
      <c r="BT1358" s="6"/>
      <c r="BU1358" s="6"/>
      <c r="BV1358" s="6"/>
      <c r="BW1358" s="6"/>
      <c r="BX1358" s="6"/>
      <c r="BY1358" s="6"/>
      <c r="BZ1358" s="6"/>
      <c r="CA1358" s="6"/>
      <c r="CB1358" s="6"/>
      <c r="CC1358" s="6"/>
    </row>
    <row r="1359" spans="2:81" x14ac:dyDescent="0.2">
      <c r="B1359" s="68"/>
      <c r="C1359" s="69"/>
      <c r="D1359" s="70"/>
      <c r="F1359" s="68"/>
      <c r="G1359" s="69"/>
      <c r="H1359" s="70"/>
      <c r="J1359" s="71"/>
      <c r="K1359" s="71"/>
      <c r="L1359" s="67"/>
      <c r="N1359" s="71"/>
      <c r="O1359" s="71"/>
      <c r="P1359" s="67"/>
      <c r="R1359" s="67"/>
      <c r="S1359" s="6"/>
      <c r="T1359" s="6"/>
      <c r="U1359" s="6"/>
      <c r="V1359" s="6"/>
      <c r="W1359" s="6"/>
      <c r="X1359" s="6"/>
      <c r="Y1359" s="6"/>
      <c r="Z1359" s="6"/>
      <c r="AA1359" s="6"/>
      <c r="AB1359" s="6"/>
      <c r="AC1359" s="6"/>
      <c r="AD1359" s="6"/>
      <c r="AE1359" s="6"/>
      <c r="AF1359" s="6"/>
      <c r="AG1359" s="6"/>
      <c r="AH1359" s="6"/>
      <c r="AI1359" s="6"/>
      <c r="AJ1359" s="6"/>
      <c r="AK1359" s="6"/>
      <c r="AL1359" s="6"/>
      <c r="AM1359" s="6"/>
      <c r="AN1359" s="6"/>
      <c r="AO1359" s="6"/>
      <c r="AP1359" s="6"/>
      <c r="AQ1359" s="6"/>
      <c r="AR1359" s="6"/>
      <c r="AS1359" s="6"/>
      <c r="AT1359" s="6"/>
      <c r="AU1359" s="6"/>
      <c r="AV1359" s="6"/>
      <c r="AW1359" s="6"/>
      <c r="AX1359" s="6"/>
      <c r="AY1359" s="6"/>
      <c r="AZ1359" s="6"/>
      <c r="BA1359" s="6"/>
      <c r="BB1359" s="6"/>
      <c r="BC1359" s="6"/>
      <c r="BD1359" s="6"/>
      <c r="BE1359" s="6"/>
      <c r="BF1359" s="6"/>
      <c r="BG1359" s="6"/>
      <c r="BH1359" s="6"/>
      <c r="BI1359" s="6"/>
      <c r="BJ1359" s="6"/>
      <c r="BK1359" s="6"/>
      <c r="BL1359" s="6"/>
      <c r="BM1359" s="6"/>
      <c r="BN1359" s="6"/>
      <c r="BO1359" s="6"/>
      <c r="BP1359" s="6"/>
      <c r="BQ1359" s="6"/>
      <c r="BR1359" s="6"/>
      <c r="BS1359" s="6"/>
      <c r="BT1359" s="6"/>
      <c r="BU1359" s="6"/>
      <c r="BV1359" s="6"/>
      <c r="BW1359" s="6"/>
      <c r="BX1359" s="6"/>
      <c r="BY1359" s="6"/>
      <c r="BZ1359" s="6"/>
      <c r="CA1359" s="6"/>
      <c r="CB1359" s="6"/>
      <c r="CC1359" s="6"/>
    </row>
    <row r="1360" spans="2:81" x14ac:dyDescent="0.2">
      <c r="B1360" s="68"/>
      <c r="C1360" s="69"/>
      <c r="D1360" s="70"/>
      <c r="F1360" s="68"/>
      <c r="G1360" s="69"/>
      <c r="H1360" s="70"/>
      <c r="J1360" s="71"/>
      <c r="K1360" s="71"/>
      <c r="L1360" s="67"/>
      <c r="N1360" s="71"/>
      <c r="O1360" s="71"/>
      <c r="P1360" s="67"/>
      <c r="R1360" s="67"/>
      <c r="S1360" s="6"/>
      <c r="T1360" s="6"/>
      <c r="U1360" s="6"/>
      <c r="V1360" s="6"/>
      <c r="W1360" s="6"/>
      <c r="X1360" s="6"/>
      <c r="Y1360" s="6"/>
      <c r="Z1360" s="6"/>
      <c r="AA1360" s="6"/>
      <c r="AB1360" s="6"/>
      <c r="AC1360" s="6"/>
      <c r="AD1360" s="6"/>
      <c r="AE1360" s="6"/>
      <c r="AF1360" s="6"/>
      <c r="AG1360" s="6"/>
      <c r="AH1360" s="6"/>
      <c r="AI1360" s="6"/>
      <c r="AJ1360" s="6"/>
      <c r="AK1360" s="6"/>
      <c r="AL1360" s="6"/>
      <c r="AM1360" s="6"/>
      <c r="AN1360" s="6"/>
      <c r="AO1360" s="6"/>
      <c r="AP1360" s="6"/>
      <c r="AQ1360" s="6"/>
      <c r="AR1360" s="6"/>
      <c r="AS1360" s="6"/>
      <c r="AT1360" s="6"/>
      <c r="AU1360" s="6"/>
      <c r="AV1360" s="6"/>
      <c r="AW1360" s="6"/>
      <c r="AX1360" s="6"/>
      <c r="AY1360" s="6"/>
      <c r="AZ1360" s="6"/>
      <c r="BA1360" s="6"/>
      <c r="BB1360" s="6"/>
      <c r="BC1360" s="6"/>
      <c r="BD1360" s="6"/>
      <c r="BE1360" s="6"/>
      <c r="BF1360" s="6"/>
      <c r="BG1360" s="6"/>
      <c r="BH1360" s="6"/>
      <c r="BI1360" s="6"/>
      <c r="BJ1360" s="6"/>
      <c r="BK1360" s="6"/>
      <c r="BL1360" s="6"/>
      <c r="BM1360" s="6"/>
      <c r="BN1360" s="6"/>
      <c r="BO1360" s="6"/>
      <c r="BP1360" s="6"/>
      <c r="BQ1360" s="6"/>
      <c r="BR1360" s="6"/>
      <c r="BS1360" s="6"/>
      <c r="BT1360" s="6"/>
      <c r="BU1360" s="6"/>
      <c r="BV1360" s="6"/>
      <c r="BW1360" s="6"/>
      <c r="BX1360" s="6"/>
      <c r="BY1360" s="6"/>
      <c r="BZ1360" s="6"/>
      <c r="CA1360" s="6"/>
      <c r="CB1360" s="6"/>
      <c r="CC1360" s="6"/>
    </row>
    <row r="1361" spans="2:81" x14ac:dyDescent="0.2">
      <c r="B1361" s="68"/>
      <c r="C1361" s="69"/>
      <c r="D1361" s="70"/>
      <c r="F1361" s="68"/>
      <c r="G1361" s="69"/>
      <c r="H1361" s="70"/>
      <c r="J1361" s="71"/>
      <c r="K1361" s="71"/>
      <c r="L1361" s="67"/>
      <c r="N1361" s="71"/>
      <c r="O1361" s="71"/>
      <c r="P1361" s="67"/>
      <c r="R1361" s="67"/>
      <c r="S1361" s="6"/>
      <c r="T1361" s="6"/>
      <c r="U1361" s="6"/>
      <c r="V1361" s="6"/>
      <c r="W1361" s="6"/>
      <c r="X1361" s="6"/>
      <c r="Y1361" s="6"/>
      <c r="Z1361" s="6"/>
      <c r="AA1361" s="6"/>
      <c r="AB1361" s="6"/>
      <c r="AC1361" s="6"/>
      <c r="AD1361" s="6"/>
      <c r="AE1361" s="6"/>
      <c r="AF1361" s="6"/>
      <c r="AG1361" s="6"/>
      <c r="AH1361" s="6"/>
      <c r="AI1361" s="6"/>
      <c r="AJ1361" s="6"/>
      <c r="AK1361" s="6"/>
      <c r="AL1361" s="6"/>
      <c r="AM1361" s="6"/>
      <c r="AN1361" s="6"/>
      <c r="AO1361" s="6"/>
      <c r="AP1361" s="6"/>
      <c r="AQ1361" s="6"/>
      <c r="AR1361" s="6"/>
      <c r="AS1361" s="6"/>
      <c r="AT1361" s="6"/>
      <c r="AU1361" s="6"/>
      <c r="AV1361" s="6"/>
      <c r="AW1361" s="6"/>
      <c r="AX1361" s="6"/>
      <c r="AY1361" s="6"/>
      <c r="AZ1361" s="6"/>
      <c r="BA1361" s="6"/>
      <c r="BB1361" s="6"/>
      <c r="BC1361" s="6"/>
      <c r="BD1361" s="6"/>
      <c r="BE1361" s="6"/>
      <c r="BF1361" s="6"/>
      <c r="BG1361" s="6"/>
      <c r="BH1361" s="6"/>
      <c r="BI1361" s="6"/>
      <c r="BJ1361" s="6"/>
      <c r="BK1361" s="6"/>
      <c r="BL1361" s="6"/>
      <c r="BM1361" s="6"/>
      <c r="BN1361" s="6"/>
      <c r="BO1361" s="6"/>
      <c r="BP1361" s="6"/>
      <c r="BQ1361" s="6"/>
      <c r="BR1361" s="6"/>
      <c r="BS1361" s="6"/>
      <c r="BT1361" s="6"/>
      <c r="BU1361" s="6"/>
      <c r="BV1361" s="6"/>
      <c r="BW1361" s="6"/>
      <c r="BX1361" s="6"/>
      <c r="BY1361" s="6"/>
      <c r="BZ1361" s="6"/>
      <c r="CA1361" s="6"/>
      <c r="CB1361" s="6"/>
      <c r="CC1361" s="6"/>
    </row>
    <row r="1362" spans="2:81" x14ac:dyDescent="0.2">
      <c r="B1362" s="68"/>
      <c r="C1362" s="69"/>
      <c r="D1362" s="70"/>
      <c r="F1362" s="68"/>
      <c r="G1362" s="69"/>
      <c r="H1362" s="70"/>
      <c r="J1362" s="71"/>
      <c r="K1362" s="71"/>
      <c r="L1362" s="67"/>
      <c r="N1362" s="71"/>
      <c r="O1362" s="71"/>
      <c r="P1362" s="67"/>
      <c r="R1362" s="67"/>
      <c r="S1362" s="6"/>
      <c r="T1362" s="6"/>
      <c r="U1362" s="6"/>
      <c r="V1362" s="6"/>
      <c r="W1362" s="6"/>
      <c r="X1362" s="6"/>
      <c r="Y1362" s="6"/>
      <c r="Z1362" s="6"/>
      <c r="AA1362" s="6"/>
      <c r="AB1362" s="6"/>
      <c r="AC1362" s="6"/>
      <c r="AD1362" s="6"/>
      <c r="AE1362" s="6"/>
      <c r="AF1362" s="6"/>
      <c r="AG1362" s="6"/>
      <c r="AH1362" s="6"/>
      <c r="AI1362" s="6"/>
      <c r="AJ1362" s="6"/>
      <c r="AK1362" s="6"/>
      <c r="AL1362" s="6"/>
      <c r="AM1362" s="6"/>
      <c r="AN1362" s="6"/>
      <c r="AO1362" s="6"/>
      <c r="AP1362" s="6"/>
      <c r="AQ1362" s="6"/>
      <c r="AR1362" s="6"/>
      <c r="AS1362" s="6"/>
      <c r="AT1362" s="6"/>
      <c r="AU1362" s="6"/>
      <c r="AV1362" s="6"/>
      <c r="AW1362" s="6"/>
      <c r="AX1362" s="6"/>
      <c r="AY1362" s="6"/>
      <c r="AZ1362" s="6"/>
      <c r="BA1362" s="6"/>
      <c r="BB1362" s="6"/>
      <c r="BC1362" s="6"/>
      <c r="BD1362" s="6"/>
      <c r="BE1362" s="6"/>
      <c r="BF1362" s="6"/>
      <c r="BG1362" s="6"/>
      <c r="BH1362" s="6"/>
      <c r="BI1362" s="6"/>
      <c r="BJ1362" s="6"/>
      <c r="BK1362" s="6"/>
      <c r="BL1362" s="6"/>
      <c r="BM1362" s="6"/>
      <c r="BN1362" s="6"/>
      <c r="BO1362" s="6"/>
      <c r="BP1362" s="6"/>
      <c r="BQ1362" s="6"/>
      <c r="BR1362" s="6"/>
      <c r="BS1362" s="6"/>
      <c r="BT1362" s="6"/>
      <c r="BU1362" s="6"/>
      <c r="BV1362" s="6"/>
      <c r="BW1362" s="6"/>
      <c r="BX1362" s="6"/>
      <c r="BY1362" s="6"/>
      <c r="BZ1362" s="6"/>
      <c r="CA1362" s="6"/>
      <c r="CB1362" s="6"/>
      <c r="CC1362" s="6"/>
    </row>
    <row r="1363" spans="2:81" x14ac:dyDescent="0.2">
      <c r="B1363" s="68"/>
      <c r="C1363" s="69"/>
      <c r="D1363" s="70"/>
      <c r="F1363" s="68"/>
      <c r="G1363" s="69"/>
      <c r="H1363" s="70"/>
      <c r="J1363" s="71"/>
      <c r="K1363" s="71"/>
      <c r="L1363" s="67"/>
      <c r="N1363" s="71"/>
      <c r="O1363" s="71"/>
      <c r="P1363" s="67"/>
      <c r="R1363" s="67"/>
      <c r="S1363" s="6"/>
      <c r="T1363" s="6"/>
      <c r="U1363" s="6"/>
      <c r="V1363" s="6"/>
      <c r="W1363" s="6"/>
      <c r="X1363" s="6"/>
      <c r="Y1363" s="6"/>
      <c r="Z1363" s="6"/>
      <c r="AA1363" s="6"/>
      <c r="AB1363" s="6"/>
      <c r="AC1363" s="6"/>
      <c r="AD1363" s="6"/>
      <c r="AE1363" s="6"/>
      <c r="AF1363" s="6"/>
      <c r="AG1363" s="6"/>
      <c r="AH1363" s="6"/>
      <c r="AI1363" s="6"/>
      <c r="AJ1363" s="6"/>
      <c r="AK1363" s="6"/>
      <c r="AL1363" s="6"/>
      <c r="AM1363" s="6"/>
      <c r="AN1363" s="6"/>
      <c r="AO1363" s="6"/>
      <c r="AP1363" s="6"/>
      <c r="AQ1363" s="6"/>
      <c r="AR1363" s="6"/>
      <c r="AS1363" s="6"/>
      <c r="AT1363" s="6"/>
      <c r="AU1363" s="6"/>
      <c r="AV1363" s="6"/>
      <c r="AW1363" s="6"/>
      <c r="AX1363" s="6"/>
      <c r="AY1363" s="6"/>
      <c r="AZ1363" s="6"/>
      <c r="BA1363" s="6"/>
      <c r="BB1363" s="6"/>
      <c r="BC1363" s="6"/>
      <c r="BD1363" s="6"/>
      <c r="BE1363" s="6"/>
      <c r="BF1363" s="6"/>
      <c r="BG1363" s="6"/>
      <c r="BH1363" s="6"/>
      <c r="BI1363" s="6"/>
      <c r="BJ1363" s="6"/>
      <c r="BK1363" s="6"/>
      <c r="BL1363" s="6"/>
      <c r="BM1363" s="6"/>
      <c r="BN1363" s="6"/>
      <c r="BO1363" s="6"/>
      <c r="BP1363" s="6"/>
      <c r="BQ1363" s="6"/>
      <c r="BR1363" s="6"/>
      <c r="BS1363" s="6"/>
      <c r="BT1363" s="6"/>
      <c r="BU1363" s="6"/>
      <c r="BV1363" s="6"/>
      <c r="BW1363" s="6"/>
      <c r="BX1363" s="6"/>
      <c r="BY1363" s="6"/>
      <c r="BZ1363" s="6"/>
      <c r="CA1363" s="6"/>
      <c r="CB1363" s="6"/>
      <c r="CC1363" s="6"/>
    </row>
    <row r="1364" spans="2:81" x14ac:dyDescent="0.2">
      <c r="B1364" s="68"/>
      <c r="C1364" s="69"/>
      <c r="D1364" s="70"/>
      <c r="F1364" s="68"/>
      <c r="G1364" s="69"/>
      <c r="H1364" s="70"/>
      <c r="J1364" s="71"/>
      <c r="K1364" s="71"/>
      <c r="L1364" s="67"/>
      <c r="N1364" s="71"/>
      <c r="O1364" s="71"/>
      <c r="P1364" s="67"/>
      <c r="R1364" s="67"/>
      <c r="S1364" s="6"/>
      <c r="T1364" s="6"/>
      <c r="U1364" s="6"/>
      <c r="V1364" s="6"/>
      <c r="W1364" s="6"/>
      <c r="X1364" s="6"/>
      <c r="Y1364" s="6"/>
      <c r="Z1364" s="6"/>
      <c r="AA1364" s="6"/>
      <c r="AB1364" s="6"/>
      <c r="AC1364" s="6"/>
      <c r="AD1364" s="6"/>
      <c r="AE1364" s="6"/>
      <c r="AF1364" s="6"/>
      <c r="AG1364" s="6"/>
      <c r="AH1364" s="6"/>
      <c r="AI1364" s="6"/>
      <c r="AJ1364" s="6"/>
      <c r="AK1364" s="6"/>
      <c r="AL1364" s="6"/>
      <c r="AM1364" s="6"/>
      <c r="AN1364" s="6"/>
      <c r="AO1364" s="6"/>
      <c r="AP1364" s="6"/>
      <c r="AQ1364" s="6"/>
      <c r="AR1364" s="6"/>
      <c r="AS1364" s="6"/>
      <c r="AT1364" s="6"/>
      <c r="AU1364" s="6"/>
      <c r="AV1364" s="6"/>
      <c r="AW1364" s="6"/>
      <c r="AX1364" s="6"/>
      <c r="AY1364" s="6"/>
      <c r="AZ1364" s="6"/>
      <c r="BA1364" s="6"/>
      <c r="BB1364" s="6"/>
      <c r="BC1364" s="6"/>
      <c r="BD1364" s="6"/>
      <c r="BE1364" s="6"/>
      <c r="BF1364" s="6"/>
      <c r="BG1364" s="6"/>
      <c r="BH1364" s="6"/>
      <c r="BI1364" s="6"/>
      <c r="BJ1364" s="6"/>
      <c r="BK1364" s="6"/>
      <c r="BL1364" s="6"/>
      <c r="BM1364" s="6"/>
      <c r="BN1364" s="6"/>
      <c r="BO1364" s="6"/>
      <c r="BP1364" s="6"/>
      <c r="BQ1364" s="6"/>
      <c r="BR1364" s="6"/>
      <c r="BS1364" s="6"/>
      <c r="BT1364" s="6"/>
      <c r="BU1364" s="6"/>
      <c r="BV1364" s="6"/>
      <c r="BW1364" s="6"/>
      <c r="BX1364" s="6"/>
      <c r="BY1364" s="6"/>
      <c r="BZ1364" s="6"/>
      <c r="CA1364" s="6"/>
      <c r="CB1364" s="6"/>
      <c r="CC1364" s="6"/>
    </row>
    <row r="1365" spans="2:81" x14ac:dyDescent="0.2">
      <c r="B1365" s="68"/>
      <c r="C1365" s="69"/>
      <c r="D1365" s="70"/>
      <c r="F1365" s="68"/>
      <c r="G1365" s="69"/>
      <c r="H1365" s="70"/>
      <c r="J1365" s="71"/>
      <c r="K1365" s="71"/>
      <c r="L1365" s="67"/>
      <c r="N1365" s="71"/>
      <c r="O1365" s="71"/>
      <c r="P1365" s="67"/>
      <c r="R1365" s="67"/>
      <c r="S1365" s="6"/>
      <c r="T1365" s="6"/>
      <c r="U1365" s="6"/>
      <c r="V1365" s="6"/>
      <c r="W1365" s="6"/>
      <c r="X1365" s="6"/>
      <c r="Y1365" s="6"/>
      <c r="Z1365" s="6"/>
      <c r="AA1365" s="6"/>
      <c r="AB1365" s="6"/>
      <c r="AC1365" s="6"/>
      <c r="AD1365" s="6"/>
      <c r="AE1365" s="6"/>
      <c r="AF1365" s="6"/>
      <c r="AG1365" s="6"/>
      <c r="AH1365" s="6"/>
      <c r="AI1365" s="6"/>
      <c r="AJ1365" s="6"/>
      <c r="AK1365" s="6"/>
      <c r="AL1365" s="6"/>
      <c r="AM1365" s="6"/>
      <c r="AN1365" s="6"/>
      <c r="AO1365" s="6"/>
      <c r="AP1365" s="6"/>
      <c r="AQ1365" s="6"/>
      <c r="AR1365" s="6"/>
      <c r="AS1365" s="6"/>
      <c r="AT1365" s="6"/>
      <c r="AU1365" s="6"/>
      <c r="AV1365" s="6"/>
      <c r="AW1365" s="6"/>
      <c r="AX1365" s="6"/>
      <c r="AY1365" s="6"/>
      <c r="AZ1365" s="6"/>
      <c r="BA1365" s="6"/>
      <c r="BB1365" s="6"/>
      <c r="BC1365" s="6"/>
      <c r="BD1365" s="6"/>
      <c r="BE1365" s="6"/>
      <c r="BF1365" s="6"/>
      <c r="BG1365" s="6"/>
      <c r="BH1365" s="6"/>
      <c r="BI1365" s="6"/>
      <c r="BJ1365" s="6"/>
      <c r="BK1365" s="6"/>
      <c r="BL1365" s="6"/>
      <c r="BM1365" s="6"/>
      <c r="BN1365" s="6"/>
      <c r="BO1365" s="6"/>
      <c r="BP1365" s="6"/>
      <c r="BQ1365" s="6"/>
      <c r="BR1365" s="6"/>
      <c r="BS1365" s="6"/>
      <c r="BT1365" s="6"/>
      <c r="BU1365" s="6"/>
      <c r="BV1365" s="6"/>
      <c r="BW1365" s="6"/>
      <c r="BX1365" s="6"/>
      <c r="BY1365" s="6"/>
      <c r="BZ1365" s="6"/>
      <c r="CA1365" s="6"/>
      <c r="CB1365" s="6"/>
      <c r="CC1365" s="6"/>
    </row>
    <row r="1366" spans="2:81" x14ac:dyDescent="0.2">
      <c r="B1366" s="68"/>
      <c r="C1366" s="69"/>
      <c r="D1366" s="70"/>
      <c r="F1366" s="68"/>
      <c r="G1366" s="69"/>
      <c r="H1366" s="70"/>
      <c r="J1366" s="71"/>
      <c r="K1366" s="71"/>
      <c r="L1366" s="67"/>
      <c r="N1366" s="71"/>
      <c r="O1366" s="71"/>
      <c r="P1366" s="67"/>
      <c r="R1366" s="67"/>
      <c r="S1366" s="6"/>
      <c r="T1366" s="6"/>
      <c r="U1366" s="6"/>
      <c r="V1366" s="6"/>
      <c r="W1366" s="6"/>
      <c r="X1366" s="6"/>
      <c r="Y1366" s="6"/>
      <c r="Z1366" s="6"/>
      <c r="AA1366" s="6"/>
      <c r="AB1366" s="6"/>
      <c r="AC1366" s="6"/>
      <c r="AD1366" s="6"/>
      <c r="AE1366" s="6"/>
      <c r="AF1366" s="6"/>
      <c r="AG1366" s="6"/>
      <c r="AH1366" s="6"/>
      <c r="AI1366" s="6"/>
      <c r="AJ1366" s="6"/>
      <c r="AK1366" s="6"/>
      <c r="AL1366" s="6"/>
      <c r="AM1366" s="6"/>
      <c r="AN1366" s="6"/>
      <c r="AO1366" s="6"/>
      <c r="AP1366" s="6"/>
      <c r="AQ1366" s="6"/>
      <c r="AR1366" s="6"/>
      <c r="AS1366" s="6"/>
      <c r="AT1366" s="6"/>
      <c r="AU1366" s="6"/>
      <c r="AV1366" s="6"/>
      <c r="AW1366" s="6"/>
      <c r="AX1366" s="6"/>
      <c r="AY1366" s="6"/>
      <c r="AZ1366" s="6"/>
      <c r="BA1366" s="6"/>
      <c r="BB1366" s="6"/>
      <c r="BC1366" s="6"/>
      <c r="BD1366" s="6"/>
      <c r="BE1366" s="6"/>
      <c r="BF1366" s="6"/>
      <c r="BG1366" s="6"/>
      <c r="BH1366" s="6"/>
      <c r="BI1366" s="6"/>
      <c r="BJ1366" s="6"/>
      <c r="BK1366" s="6"/>
      <c r="BL1366" s="6"/>
      <c r="BM1366" s="6"/>
      <c r="BN1366" s="6"/>
      <c r="BO1366" s="6"/>
      <c r="BP1366" s="6"/>
      <c r="BQ1366" s="6"/>
      <c r="BR1366" s="6"/>
      <c r="BS1366" s="6"/>
      <c r="BT1366" s="6"/>
      <c r="BU1366" s="6"/>
      <c r="BV1366" s="6"/>
      <c r="BW1366" s="6"/>
      <c r="BX1366" s="6"/>
      <c r="BY1366" s="6"/>
      <c r="BZ1366" s="6"/>
      <c r="CA1366" s="6"/>
      <c r="CB1366" s="6"/>
      <c r="CC1366" s="6"/>
    </row>
    <row r="1367" spans="2:81" x14ac:dyDescent="0.2">
      <c r="B1367" s="68"/>
      <c r="C1367" s="69"/>
      <c r="D1367" s="70"/>
      <c r="F1367" s="68"/>
      <c r="G1367" s="69"/>
      <c r="H1367" s="70"/>
      <c r="J1367" s="71"/>
      <c r="K1367" s="71"/>
      <c r="L1367" s="67"/>
      <c r="N1367" s="71"/>
      <c r="O1367" s="71"/>
      <c r="P1367" s="67"/>
      <c r="R1367" s="67"/>
      <c r="S1367" s="6"/>
      <c r="T1367" s="6"/>
      <c r="U1367" s="6"/>
      <c r="V1367" s="6"/>
      <c r="W1367" s="6"/>
      <c r="X1367" s="6"/>
      <c r="Y1367" s="6"/>
      <c r="Z1367" s="6"/>
      <c r="AA1367" s="6"/>
      <c r="AB1367" s="6"/>
      <c r="AC1367" s="6"/>
      <c r="AD1367" s="6"/>
      <c r="AE1367" s="6"/>
      <c r="AF1367" s="6"/>
      <c r="AG1367" s="6"/>
      <c r="AH1367" s="6"/>
      <c r="AI1367" s="6"/>
      <c r="AJ1367" s="6"/>
      <c r="AK1367" s="6"/>
      <c r="AL1367" s="6"/>
      <c r="AM1367" s="6"/>
      <c r="AN1367" s="6"/>
      <c r="AO1367" s="6"/>
      <c r="AP1367" s="6"/>
      <c r="AQ1367" s="6"/>
      <c r="AR1367" s="6"/>
      <c r="AS1367" s="6"/>
      <c r="AT1367" s="6"/>
      <c r="AU1367" s="6"/>
      <c r="AV1367" s="6"/>
      <c r="AW1367" s="6"/>
      <c r="AX1367" s="6"/>
      <c r="AY1367" s="6"/>
      <c r="AZ1367" s="6"/>
      <c r="BA1367" s="6"/>
      <c r="BB1367" s="6"/>
      <c r="BC1367" s="6"/>
      <c r="BD1367" s="6"/>
      <c r="BE1367" s="6"/>
      <c r="BF1367" s="6"/>
      <c r="BG1367" s="6"/>
      <c r="BH1367" s="6"/>
      <c r="BI1367" s="6"/>
      <c r="BJ1367" s="6"/>
      <c r="BK1367" s="6"/>
      <c r="BL1367" s="6"/>
      <c r="BM1367" s="6"/>
      <c r="BN1367" s="6"/>
      <c r="BO1367" s="6"/>
      <c r="BP1367" s="6"/>
      <c r="BQ1367" s="6"/>
      <c r="BR1367" s="6"/>
      <c r="BS1367" s="6"/>
      <c r="BT1367" s="6"/>
      <c r="BU1367" s="6"/>
      <c r="BV1367" s="6"/>
      <c r="BW1367" s="6"/>
      <c r="BX1367" s="6"/>
      <c r="BY1367" s="6"/>
      <c r="BZ1367" s="6"/>
      <c r="CA1367" s="6"/>
      <c r="CB1367" s="6"/>
      <c r="CC1367" s="6"/>
    </row>
    <row r="1368" spans="2:81" x14ac:dyDescent="0.2">
      <c r="B1368" s="68"/>
      <c r="C1368" s="69"/>
      <c r="D1368" s="70"/>
      <c r="F1368" s="68"/>
      <c r="G1368" s="69"/>
      <c r="H1368" s="70"/>
      <c r="J1368" s="71"/>
      <c r="K1368" s="71"/>
      <c r="L1368" s="67"/>
      <c r="N1368" s="71"/>
      <c r="O1368" s="71"/>
      <c r="P1368" s="67"/>
      <c r="R1368" s="67"/>
      <c r="S1368" s="6"/>
      <c r="T1368" s="6"/>
      <c r="U1368" s="6"/>
      <c r="V1368" s="6"/>
      <c r="W1368" s="6"/>
      <c r="X1368" s="6"/>
      <c r="Y1368" s="6"/>
      <c r="Z1368" s="6"/>
      <c r="AA1368" s="6"/>
      <c r="AB1368" s="6"/>
      <c r="AC1368" s="6"/>
      <c r="AD1368" s="6"/>
      <c r="AE1368" s="6"/>
      <c r="AF1368" s="6"/>
      <c r="AG1368" s="6"/>
      <c r="AH1368" s="6"/>
      <c r="AI1368" s="6"/>
      <c r="AJ1368" s="6"/>
      <c r="AK1368" s="6"/>
      <c r="AL1368" s="6"/>
      <c r="AM1368" s="6"/>
      <c r="AN1368" s="6"/>
      <c r="AO1368" s="6"/>
      <c r="AP1368" s="6"/>
      <c r="AQ1368" s="6"/>
      <c r="AR1368" s="6"/>
      <c r="AS1368" s="6"/>
      <c r="AT1368" s="6"/>
      <c r="AU1368" s="6"/>
      <c r="AV1368" s="6"/>
      <c r="AW1368" s="6"/>
      <c r="AX1368" s="6"/>
      <c r="AY1368" s="6"/>
      <c r="AZ1368" s="6"/>
      <c r="BA1368" s="6"/>
      <c r="BB1368" s="6"/>
      <c r="BC1368" s="6"/>
      <c r="BD1368" s="6"/>
      <c r="BE1368" s="6"/>
      <c r="BF1368" s="6"/>
      <c r="BG1368" s="6"/>
      <c r="BH1368" s="6"/>
      <c r="BI1368" s="6"/>
      <c r="BJ1368" s="6"/>
      <c r="BK1368" s="6"/>
      <c r="BL1368" s="6"/>
      <c r="BM1368" s="6"/>
      <c r="BN1368" s="6"/>
      <c r="BO1368" s="6"/>
      <c r="BP1368" s="6"/>
      <c r="BQ1368" s="6"/>
      <c r="BR1368" s="6"/>
      <c r="BS1368" s="6"/>
      <c r="BT1368" s="6"/>
      <c r="BU1368" s="6"/>
      <c r="BV1368" s="6"/>
      <c r="BW1368" s="6"/>
      <c r="BX1368" s="6"/>
      <c r="BY1368" s="6"/>
      <c r="BZ1368" s="6"/>
      <c r="CA1368" s="6"/>
      <c r="CB1368" s="6"/>
      <c r="CC1368" s="6"/>
    </row>
    <row r="1369" spans="2:81" x14ac:dyDescent="0.2">
      <c r="B1369" s="68"/>
      <c r="C1369" s="69"/>
      <c r="D1369" s="70"/>
      <c r="F1369" s="68"/>
      <c r="G1369" s="69"/>
      <c r="H1369" s="70"/>
      <c r="J1369" s="71"/>
      <c r="K1369" s="71"/>
      <c r="L1369" s="67"/>
      <c r="N1369" s="71"/>
      <c r="O1369" s="71"/>
      <c r="P1369" s="67"/>
      <c r="R1369" s="67"/>
      <c r="S1369" s="6"/>
      <c r="T1369" s="6"/>
      <c r="U1369" s="6"/>
      <c r="V1369" s="6"/>
      <c r="W1369" s="6"/>
      <c r="X1369" s="6"/>
      <c r="Y1369" s="6"/>
      <c r="Z1369" s="6"/>
      <c r="AA1369" s="6"/>
      <c r="AB1369" s="6"/>
      <c r="AC1369" s="6"/>
      <c r="AD1369" s="6"/>
      <c r="AE1369" s="6"/>
      <c r="AF1369" s="6"/>
      <c r="AG1369" s="6"/>
      <c r="AH1369" s="6"/>
      <c r="AI1369" s="6"/>
      <c r="AJ1369" s="6"/>
      <c r="AK1369" s="6"/>
      <c r="AL1369" s="6"/>
      <c r="AM1369" s="6"/>
      <c r="AN1369" s="6"/>
      <c r="AO1369" s="6"/>
      <c r="AP1369" s="6"/>
      <c r="AQ1369" s="6"/>
      <c r="AR1369" s="6"/>
      <c r="AS1369" s="6"/>
      <c r="AT1369" s="6"/>
      <c r="AU1369" s="6"/>
      <c r="AV1369" s="6"/>
      <c r="AW1369" s="6"/>
      <c r="AX1369" s="6"/>
      <c r="AY1369" s="6"/>
      <c r="AZ1369" s="6"/>
      <c r="BA1369" s="6"/>
      <c r="BB1369" s="6"/>
      <c r="BC1369" s="6"/>
      <c r="BD1369" s="6"/>
      <c r="BE1369" s="6"/>
      <c r="BF1369" s="6"/>
      <c r="BG1369" s="6"/>
      <c r="BH1369" s="6"/>
      <c r="BI1369" s="6"/>
      <c r="BJ1369" s="6"/>
      <c r="BK1369" s="6"/>
      <c r="BL1369" s="6"/>
      <c r="BM1369" s="6"/>
      <c r="BN1369" s="6"/>
      <c r="BO1369" s="6"/>
      <c r="BP1369" s="6"/>
      <c r="BQ1369" s="6"/>
      <c r="BR1369" s="6"/>
      <c r="BS1369" s="6"/>
      <c r="BT1369" s="6"/>
      <c r="BU1369" s="6"/>
      <c r="BV1369" s="6"/>
      <c r="BW1369" s="6"/>
      <c r="BX1369" s="6"/>
      <c r="BY1369" s="6"/>
      <c r="BZ1369" s="6"/>
      <c r="CA1369" s="6"/>
      <c r="CB1369" s="6"/>
      <c r="CC1369" s="6"/>
    </row>
    <row r="1370" spans="2:81" x14ac:dyDescent="0.2">
      <c r="B1370" s="68"/>
      <c r="C1370" s="69"/>
      <c r="D1370" s="70"/>
      <c r="F1370" s="68"/>
      <c r="G1370" s="69"/>
      <c r="H1370" s="70"/>
      <c r="J1370" s="71"/>
      <c r="K1370" s="71"/>
      <c r="L1370" s="67"/>
      <c r="N1370" s="71"/>
      <c r="O1370" s="71"/>
      <c r="P1370" s="67"/>
      <c r="R1370" s="67"/>
      <c r="S1370" s="6"/>
      <c r="T1370" s="6"/>
      <c r="U1370" s="6"/>
      <c r="V1370" s="6"/>
      <c r="W1370" s="6"/>
      <c r="X1370" s="6"/>
      <c r="Y1370" s="6"/>
      <c r="Z1370" s="6"/>
      <c r="AA1370" s="6"/>
      <c r="AB1370" s="6"/>
      <c r="AC1370" s="6"/>
      <c r="AD1370" s="6"/>
      <c r="AE1370" s="6"/>
      <c r="AF1370" s="6"/>
      <c r="AG1370" s="6"/>
      <c r="AH1370" s="6"/>
      <c r="AI1370" s="6"/>
      <c r="AJ1370" s="6"/>
      <c r="AK1370" s="6"/>
      <c r="AL1370" s="6"/>
      <c r="AM1370" s="6"/>
      <c r="AN1370" s="6"/>
      <c r="AO1370" s="6"/>
      <c r="AP1370" s="6"/>
      <c r="AQ1370" s="6"/>
      <c r="AR1370" s="6"/>
      <c r="AS1370" s="6"/>
      <c r="AT1370" s="6"/>
      <c r="AU1370" s="6"/>
      <c r="AV1370" s="6"/>
      <c r="AW1370" s="6"/>
      <c r="AX1370" s="6"/>
      <c r="AY1370" s="6"/>
      <c r="AZ1370" s="6"/>
      <c r="BA1370" s="6"/>
      <c r="BB1370" s="6"/>
      <c r="BC1370" s="6"/>
      <c r="BD1370" s="6"/>
      <c r="BE1370" s="6"/>
      <c r="BF1370" s="6"/>
      <c r="BG1370" s="6"/>
      <c r="BH1370" s="6"/>
      <c r="BI1370" s="6"/>
      <c r="BJ1370" s="6"/>
      <c r="BK1370" s="6"/>
      <c r="BL1370" s="6"/>
      <c r="BM1370" s="6"/>
      <c r="BN1370" s="6"/>
      <c r="BO1370" s="6"/>
      <c r="BP1370" s="6"/>
      <c r="BQ1370" s="6"/>
      <c r="BR1370" s="6"/>
      <c r="BS1370" s="6"/>
      <c r="BT1370" s="6"/>
      <c r="BU1370" s="6"/>
      <c r="BV1370" s="6"/>
      <c r="BW1370" s="6"/>
      <c r="BX1370" s="6"/>
      <c r="BY1370" s="6"/>
      <c r="BZ1370" s="6"/>
      <c r="CA1370" s="6"/>
      <c r="CB1370" s="6"/>
      <c r="CC1370" s="6"/>
    </row>
    <row r="1371" spans="2:81" x14ac:dyDescent="0.2">
      <c r="B1371" s="68"/>
      <c r="C1371" s="69"/>
      <c r="D1371" s="70"/>
      <c r="F1371" s="68"/>
      <c r="G1371" s="69"/>
      <c r="H1371" s="70"/>
      <c r="J1371" s="71"/>
      <c r="K1371" s="71"/>
      <c r="L1371" s="67"/>
      <c r="N1371" s="71"/>
      <c r="O1371" s="71"/>
      <c r="P1371" s="67"/>
      <c r="R1371" s="67"/>
      <c r="S1371" s="6"/>
      <c r="T1371" s="6"/>
      <c r="U1371" s="6"/>
      <c r="V1371" s="6"/>
      <c r="W1371" s="6"/>
      <c r="X1371" s="6"/>
      <c r="Y1371" s="6"/>
      <c r="Z1371" s="6"/>
      <c r="AA1371" s="6"/>
      <c r="AB1371" s="6"/>
      <c r="AC1371" s="6"/>
      <c r="AD1371" s="6"/>
      <c r="AE1371" s="6"/>
      <c r="AF1371" s="6"/>
      <c r="AG1371" s="6"/>
      <c r="AH1371" s="6"/>
      <c r="AI1371" s="6"/>
      <c r="AJ1371" s="6"/>
      <c r="AK1371" s="6"/>
      <c r="AL1371" s="6"/>
      <c r="AM1371" s="6"/>
      <c r="AN1371" s="6"/>
      <c r="AO1371" s="6"/>
      <c r="AP1371" s="6"/>
      <c r="AQ1371" s="6"/>
      <c r="AR1371" s="6"/>
      <c r="AS1371" s="6"/>
      <c r="AT1371" s="6"/>
      <c r="AU1371" s="6"/>
      <c r="AV1371" s="6"/>
      <c r="AW1371" s="6"/>
      <c r="AX1371" s="6"/>
      <c r="AY1371" s="6"/>
      <c r="AZ1371" s="6"/>
      <c r="BA1371" s="6"/>
      <c r="BB1371" s="6"/>
      <c r="BC1371" s="6"/>
      <c r="BD1371" s="6"/>
      <c r="BE1371" s="6"/>
      <c r="BF1371" s="6"/>
      <c r="BG1371" s="6"/>
      <c r="BH1371" s="6"/>
      <c r="BI1371" s="6"/>
      <c r="BJ1371" s="6"/>
      <c r="BK1371" s="6"/>
      <c r="BL1371" s="6"/>
      <c r="BM1371" s="6"/>
      <c r="BN1371" s="6"/>
      <c r="BO1371" s="6"/>
      <c r="BP1371" s="6"/>
      <c r="BQ1371" s="6"/>
      <c r="BR1371" s="6"/>
      <c r="BS1371" s="6"/>
      <c r="BT1371" s="6"/>
      <c r="BU1371" s="6"/>
      <c r="BV1371" s="6"/>
      <c r="BW1371" s="6"/>
      <c r="BX1371" s="6"/>
      <c r="BY1371" s="6"/>
      <c r="BZ1371" s="6"/>
      <c r="CA1371" s="6"/>
      <c r="CB1371" s="6"/>
      <c r="CC1371" s="6"/>
    </row>
    <row r="1372" spans="2:81" x14ac:dyDescent="0.2">
      <c r="B1372" s="68"/>
      <c r="C1372" s="69"/>
      <c r="D1372" s="70"/>
      <c r="F1372" s="68"/>
      <c r="G1372" s="69"/>
      <c r="H1372" s="70"/>
      <c r="J1372" s="71"/>
      <c r="K1372" s="71"/>
      <c r="L1372" s="67"/>
      <c r="N1372" s="71"/>
      <c r="O1372" s="71"/>
      <c r="P1372" s="67"/>
      <c r="R1372" s="67"/>
      <c r="S1372" s="6"/>
      <c r="T1372" s="6"/>
      <c r="U1372" s="6"/>
      <c r="V1372" s="6"/>
      <c r="W1372" s="6"/>
      <c r="X1372" s="6"/>
      <c r="Y1372" s="6"/>
      <c r="Z1372" s="6"/>
      <c r="AA1372" s="6"/>
      <c r="AB1372" s="6"/>
      <c r="AC1372" s="6"/>
      <c r="AD1372" s="6"/>
      <c r="AE1372" s="6"/>
      <c r="AF1372" s="6"/>
      <c r="AG1372" s="6"/>
      <c r="AH1372" s="6"/>
      <c r="AI1372" s="6"/>
      <c r="AJ1372" s="6"/>
      <c r="AK1372" s="6"/>
      <c r="AL1372" s="6"/>
      <c r="AM1372" s="6"/>
      <c r="AN1372" s="6"/>
      <c r="AO1372" s="6"/>
      <c r="AP1372" s="6"/>
      <c r="AQ1372" s="6"/>
      <c r="AR1372" s="6"/>
      <c r="AS1372" s="6"/>
      <c r="AT1372" s="6"/>
      <c r="AU1372" s="6"/>
      <c r="AV1372" s="6"/>
      <c r="AW1372" s="6"/>
      <c r="AX1372" s="6"/>
      <c r="AY1372" s="6"/>
      <c r="AZ1372" s="6"/>
      <c r="BA1372" s="6"/>
      <c r="BB1372" s="6"/>
      <c r="BC1372" s="6"/>
      <c r="BD1372" s="6"/>
      <c r="BE1372" s="6"/>
      <c r="BF1372" s="6"/>
      <c r="BG1372" s="6"/>
      <c r="BH1372" s="6"/>
      <c r="BI1372" s="6"/>
      <c r="BJ1372" s="6"/>
      <c r="BK1372" s="6"/>
      <c r="BL1372" s="6"/>
      <c r="BM1372" s="6"/>
      <c r="BN1372" s="6"/>
      <c r="BO1372" s="6"/>
      <c r="BP1372" s="6"/>
      <c r="BQ1372" s="6"/>
      <c r="BR1372" s="6"/>
      <c r="BS1372" s="6"/>
      <c r="BT1372" s="6"/>
      <c r="BU1372" s="6"/>
      <c r="BV1372" s="6"/>
      <c r="BW1372" s="6"/>
      <c r="BX1372" s="6"/>
      <c r="BY1372" s="6"/>
      <c r="BZ1372" s="6"/>
      <c r="CA1372" s="6"/>
      <c r="CB1372" s="6"/>
      <c r="CC1372" s="6"/>
    </row>
    <row r="1373" spans="2:81" x14ac:dyDescent="0.2">
      <c r="B1373" s="68"/>
      <c r="C1373" s="69"/>
      <c r="D1373" s="70"/>
      <c r="F1373" s="68"/>
      <c r="G1373" s="69"/>
      <c r="H1373" s="70"/>
      <c r="J1373" s="71"/>
      <c r="K1373" s="71"/>
      <c r="L1373" s="67"/>
      <c r="N1373" s="71"/>
      <c r="O1373" s="71"/>
      <c r="P1373" s="67"/>
      <c r="R1373" s="67"/>
      <c r="S1373" s="6"/>
      <c r="T1373" s="6"/>
      <c r="U1373" s="6"/>
      <c r="V1373" s="6"/>
      <c r="W1373" s="6"/>
      <c r="X1373" s="6"/>
      <c r="Y1373" s="6"/>
      <c r="Z1373" s="6"/>
      <c r="AA1373" s="6"/>
      <c r="AB1373" s="6"/>
      <c r="AC1373" s="6"/>
      <c r="AD1373" s="6"/>
      <c r="AE1373" s="6"/>
      <c r="AF1373" s="6"/>
      <c r="AG1373" s="6"/>
      <c r="AH1373" s="6"/>
      <c r="AI1373" s="6"/>
      <c r="AJ1373" s="6"/>
      <c r="AK1373" s="6"/>
      <c r="AL1373" s="6"/>
      <c r="AM1373" s="6"/>
      <c r="AN1373" s="6"/>
      <c r="AO1373" s="6"/>
      <c r="AP1373" s="6"/>
      <c r="AQ1373" s="6"/>
      <c r="AR1373" s="6"/>
      <c r="AS1373" s="6"/>
      <c r="AT1373" s="6"/>
      <c r="AU1373" s="6"/>
      <c r="AV1373" s="6"/>
      <c r="AW1373" s="6"/>
      <c r="AX1373" s="6"/>
      <c r="AY1373" s="6"/>
      <c r="AZ1373" s="6"/>
      <c r="BA1373" s="6"/>
      <c r="BB1373" s="6"/>
      <c r="BC1373" s="6"/>
      <c r="BD1373" s="6"/>
      <c r="BE1373" s="6"/>
      <c r="BF1373" s="6"/>
      <c r="BG1373" s="6"/>
      <c r="BH1373" s="6"/>
      <c r="BI1373" s="6"/>
      <c r="BJ1373" s="6"/>
      <c r="BK1373" s="6"/>
      <c r="BL1373" s="6"/>
      <c r="BM1373" s="6"/>
      <c r="BN1373" s="6"/>
      <c r="BO1373" s="6"/>
      <c r="BP1373" s="6"/>
      <c r="BQ1373" s="6"/>
      <c r="BR1373" s="6"/>
      <c r="BS1373" s="6"/>
      <c r="BT1373" s="6"/>
      <c r="BU1373" s="6"/>
      <c r="BV1373" s="6"/>
      <c r="BW1373" s="6"/>
      <c r="BX1373" s="6"/>
      <c r="BY1373" s="6"/>
      <c r="BZ1373" s="6"/>
      <c r="CA1373" s="6"/>
      <c r="CB1373" s="6"/>
      <c r="CC1373" s="6"/>
    </row>
    <row r="1374" spans="2:81" x14ac:dyDescent="0.2">
      <c r="B1374" s="68"/>
      <c r="C1374" s="69"/>
      <c r="D1374" s="70"/>
      <c r="F1374" s="68"/>
      <c r="G1374" s="69"/>
      <c r="H1374" s="70"/>
      <c r="J1374" s="71"/>
      <c r="K1374" s="71"/>
      <c r="L1374" s="67"/>
      <c r="N1374" s="71"/>
      <c r="O1374" s="71"/>
      <c r="P1374" s="67"/>
      <c r="R1374" s="67"/>
      <c r="S1374" s="6"/>
      <c r="T1374" s="6"/>
      <c r="U1374" s="6"/>
      <c r="V1374" s="6"/>
      <c r="W1374" s="6"/>
      <c r="X1374" s="6"/>
      <c r="Y1374" s="6"/>
      <c r="Z1374" s="6"/>
      <c r="AA1374" s="6"/>
      <c r="AB1374" s="6"/>
      <c r="AC1374" s="6"/>
      <c r="AD1374" s="6"/>
      <c r="AE1374" s="6"/>
      <c r="AF1374" s="6"/>
      <c r="AG1374" s="6"/>
      <c r="AH1374" s="6"/>
      <c r="AI1374" s="6"/>
      <c r="AJ1374" s="6"/>
      <c r="AK1374" s="6"/>
      <c r="AL1374" s="6"/>
      <c r="AM1374" s="6"/>
      <c r="AN1374" s="6"/>
      <c r="AO1374" s="6"/>
      <c r="AP1374" s="6"/>
      <c r="AQ1374" s="6"/>
      <c r="AR1374" s="6"/>
      <c r="AS1374" s="6"/>
      <c r="AT1374" s="6"/>
      <c r="AU1374" s="6"/>
      <c r="AV1374" s="6"/>
      <c r="AW1374" s="6"/>
      <c r="AX1374" s="6"/>
      <c r="AY1374" s="6"/>
      <c r="AZ1374" s="6"/>
      <c r="BA1374" s="6"/>
      <c r="BB1374" s="6"/>
      <c r="BC1374" s="6"/>
      <c r="BD1374" s="6"/>
      <c r="BE1374" s="6"/>
      <c r="BF1374" s="6"/>
      <c r="BG1374" s="6"/>
      <c r="BH1374" s="6"/>
      <c r="BI1374" s="6"/>
      <c r="BJ1374" s="6"/>
      <c r="BK1374" s="6"/>
      <c r="BL1374" s="6"/>
      <c r="BM1374" s="6"/>
      <c r="BN1374" s="6"/>
      <c r="BO1374" s="6"/>
      <c r="BP1374" s="6"/>
      <c r="BQ1374" s="6"/>
      <c r="BR1374" s="6"/>
      <c r="BS1374" s="6"/>
      <c r="BT1374" s="6"/>
      <c r="BU1374" s="6"/>
      <c r="BV1374" s="6"/>
      <c r="BW1374" s="6"/>
      <c r="BX1374" s="6"/>
      <c r="BY1374" s="6"/>
      <c r="BZ1374" s="6"/>
      <c r="CA1374" s="6"/>
      <c r="CB1374" s="6"/>
      <c r="CC1374" s="6"/>
    </row>
    <row r="1375" spans="2:81" x14ac:dyDescent="0.2">
      <c r="B1375" s="68"/>
      <c r="C1375" s="69"/>
      <c r="D1375" s="70"/>
      <c r="F1375" s="68"/>
      <c r="G1375" s="69"/>
      <c r="H1375" s="70"/>
      <c r="J1375" s="71"/>
      <c r="K1375" s="71"/>
      <c r="L1375" s="67"/>
      <c r="N1375" s="71"/>
      <c r="O1375" s="71"/>
      <c r="P1375" s="67"/>
      <c r="R1375" s="67"/>
      <c r="S1375" s="6"/>
      <c r="T1375" s="6"/>
      <c r="U1375" s="6"/>
      <c r="V1375" s="6"/>
      <c r="W1375" s="6"/>
      <c r="X1375" s="6"/>
      <c r="Y1375" s="6"/>
      <c r="Z1375" s="6"/>
      <c r="AA1375" s="6"/>
      <c r="AB1375" s="6"/>
      <c r="AC1375" s="6"/>
      <c r="AD1375" s="6"/>
      <c r="AE1375" s="6"/>
      <c r="AF1375" s="6"/>
      <c r="AG1375" s="6"/>
      <c r="AH1375" s="6"/>
      <c r="AI1375" s="6"/>
      <c r="AJ1375" s="6"/>
      <c r="AK1375" s="6"/>
      <c r="AL1375" s="6"/>
      <c r="AM1375" s="6"/>
      <c r="AN1375" s="6"/>
      <c r="AO1375" s="6"/>
      <c r="AP1375" s="6"/>
      <c r="AQ1375" s="6"/>
      <c r="AR1375" s="6"/>
      <c r="AS1375" s="6"/>
      <c r="AT1375" s="6"/>
      <c r="AU1375" s="6"/>
      <c r="AV1375" s="6"/>
      <c r="AW1375" s="6"/>
      <c r="AX1375" s="6"/>
      <c r="AY1375" s="6"/>
      <c r="AZ1375" s="6"/>
      <c r="BA1375" s="6"/>
      <c r="BB1375" s="6"/>
      <c r="BC1375" s="6"/>
      <c r="BD1375" s="6"/>
      <c r="BE1375" s="6"/>
      <c r="BF1375" s="6"/>
      <c r="BG1375" s="6"/>
      <c r="BH1375" s="6"/>
      <c r="BI1375" s="6"/>
      <c r="BJ1375" s="6"/>
      <c r="BK1375" s="6"/>
      <c r="BL1375" s="6"/>
      <c r="BM1375" s="6"/>
      <c r="BN1375" s="6"/>
      <c r="BO1375" s="6"/>
      <c r="BP1375" s="6"/>
      <c r="BQ1375" s="6"/>
      <c r="BR1375" s="6"/>
      <c r="BS1375" s="6"/>
      <c r="BT1375" s="6"/>
      <c r="BU1375" s="6"/>
      <c r="BV1375" s="6"/>
      <c r="BW1375" s="6"/>
      <c r="BX1375" s="6"/>
      <c r="BY1375" s="6"/>
      <c r="BZ1375" s="6"/>
      <c r="CA1375" s="6"/>
      <c r="CB1375" s="6"/>
      <c r="CC1375" s="6"/>
    </row>
    <row r="1376" spans="2:81" x14ac:dyDescent="0.2">
      <c r="B1376" s="68"/>
      <c r="C1376" s="69"/>
      <c r="D1376" s="70"/>
      <c r="F1376" s="68"/>
      <c r="G1376" s="69"/>
      <c r="H1376" s="70"/>
      <c r="J1376" s="71"/>
      <c r="K1376" s="71"/>
      <c r="L1376" s="67"/>
      <c r="N1376" s="71"/>
      <c r="O1376" s="71"/>
      <c r="P1376" s="67"/>
      <c r="R1376" s="67"/>
      <c r="S1376" s="6"/>
      <c r="T1376" s="6"/>
      <c r="U1376" s="6"/>
      <c r="V1376" s="6"/>
      <c r="W1376" s="6"/>
      <c r="X1376" s="6"/>
      <c r="Y1376" s="6"/>
      <c r="Z1376" s="6"/>
      <c r="AA1376" s="6"/>
      <c r="AB1376" s="6"/>
      <c r="AC1376" s="6"/>
      <c r="AD1376" s="6"/>
      <c r="AE1376" s="6"/>
      <c r="AF1376" s="6"/>
      <c r="AG1376" s="6"/>
      <c r="AH1376" s="6"/>
      <c r="AI1376" s="6"/>
      <c r="AJ1376" s="6"/>
      <c r="AK1376" s="6"/>
      <c r="AL1376" s="6"/>
      <c r="AM1376" s="6"/>
      <c r="AN1376" s="6"/>
      <c r="AO1376" s="6"/>
      <c r="AP1376" s="6"/>
      <c r="AQ1376" s="6"/>
      <c r="AR1376" s="6"/>
      <c r="AS1376" s="6"/>
      <c r="AT1376" s="6"/>
      <c r="AU1376" s="6"/>
      <c r="AV1376" s="6"/>
      <c r="AW1376" s="6"/>
      <c r="AX1376" s="6"/>
      <c r="AY1376" s="6"/>
      <c r="AZ1376" s="6"/>
      <c r="BA1376" s="6"/>
      <c r="BB1376" s="6"/>
      <c r="BC1376" s="6"/>
      <c r="BD1376" s="6"/>
      <c r="BE1376" s="6"/>
      <c r="BF1376" s="6"/>
      <c r="BG1376" s="6"/>
      <c r="BH1376" s="6"/>
      <c r="BI1376" s="6"/>
      <c r="BJ1376" s="6"/>
      <c r="BK1376" s="6"/>
      <c r="BL1376" s="6"/>
      <c r="BM1376" s="6"/>
      <c r="BN1376" s="6"/>
      <c r="BO1376" s="6"/>
      <c r="BP1376" s="6"/>
      <c r="BQ1376" s="6"/>
      <c r="BR1376" s="6"/>
      <c r="BS1376" s="6"/>
      <c r="BT1376" s="6"/>
      <c r="BU1376" s="6"/>
      <c r="BV1376" s="6"/>
      <c r="BW1376" s="6"/>
      <c r="BX1376" s="6"/>
      <c r="BY1376" s="6"/>
      <c r="BZ1376" s="6"/>
      <c r="CA1376" s="6"/>
      <c r="CB1376" s="6"/>
      <c r="CC1376" s="6"/>
    </row>
    <row r="1377" spans="2:81" x14ac:dyDescent="0.2">
      <c r="B1377" s="68"/>
      <c r="C1377" s="69"/>
      <c r="D1377" s="70"/>
      <c r="F1377" s="68"/>
      <c r="G1377" s="69"/>
      <c r="H1377" s="70"/>
      <c r="J1377" s="71"/>
      <c r="K1377" s="71"/>
      <c r="L1377" s="67"/>
      <c r="N1377" s="71"/>
      <c r="O1377" s="71"/>
      <c r="P1377" s="67"/>
      <c r="R1377" s="67"/>
      <c r="S1377" s="6"/>
      <c r="T1377" s="6"/>
      <c r="U1377" s="6"/>
      <c r="V1377" s="6"/>
      <c r="W1377" s="6"/>
      <c r="X1377" s="6"/>
      <c r="Y1377" s="6"/>
      <c r="Z1377" s="6"/>
      <c r="AA1377" s="6"/>
      <c r="AB1377" s="6"/>
      <c r="AC1377" s="6"/>
      <c r="AD1377" s="6"/>
      <c r="AE1377" s="6"/>
      <c r="AF1377" s="6"/>
      <c r="AG1377" s="6"/>
      <c r="AH1377" s="6"/>
      <c r="AI1377" s="6"/>
      <c r="AJ1377" s="6"/>
      <c r="AK1377" s="6"/>
      <c r="AL1377" s="6"/>
      <c r="AM1377" s="6"/>
      <c r="AN1377" s="6"/>
      <c r="AO1377" s="6"/>
      <c r="AP1377" s="6"/>
      <c r="AQ1377" s="6"/>
      <c r="AR1377" s="6"/>
      <c r="AS1377" s="6"/>
      <c r="AT1377" s="6"/>
      <c r="AU1377" s="6"/>
      <c r="AV1377" s="6"/>
      <c r="AW1377" s="6"/>
      <c r="AX1377" s="6"/>
      <c r="AY1377" s="6"/>
      <c r="AZ1377" s="6"/>
      <c r="BA1377" s="6"/>
      <c r="BB1377" s="6"/>
      <c r="BC1377" s="6"/>
      <c r="BD1377" s="6"/>
      <c r="BE1377" s="6"/>
      <c r="BF1377" s="6"/>
      <c r="BG1377" s="6"/>
      <c r="BH1377" s="6"/>
      <c r="BI1377" s="6"/>
      <c r="BJ1377" s="6"/>
      <c r="BK1377" s="6"/>
      <c r="BL1377" s="6"/>
      <c r="BM1377" s="6"/>
      <c r="BN1377" s="6"/>
      <c r="BO1377" s="6"/>
      <c r="BP1377" s="6"/>
      <c r="BQ1377" s="6"/>
      <c r="BR1377" s="6"/>
      <c r="BS1377" s="6"/>
      <c r="BT1377" s="6"/>
      <c r="BU1377" s="6"/>
      <c r="BV1377" s="6"/>
      <c r="BW1377" s="6"/>
      <c r="BX1377" s="6"/>
      <c r="BY1377" s="6"/>
      <c r="BZ1377" s="6"/>
      <c r="CA1377" s="6"/>
      <c r="CB1377" s="6"/>
      <c r="CC1377" s="6"/>
    </row>
    <row r="1378" spans="2:81" x14ac:dyDescent="0.2">
      <c r="B1378" s="68"/>
      <c r="C1378" s="69"/>
      <c r="D1378" s="70"/>
      <c r="F1378" s="68"/>
      <c r="G1378" s="69"/>
      <c r="H1378" s="70"/>
      <c r="J1378" s="71"/>
      <c r="K1378" s="71"/>
      <c r="L1378" s="67"/>
      <c r="N1378" s="71"/>
      <c r="O1378" s="71"/>
      <c r="P1378" s="67"/>
      <c r="R1378" s="67"/>
      <c r="S1378" s="6"/>
      <c r="T1378" s="6"/>
      <c r="U1378" s="6"/>
      <c r="V1378" s="6"/>
      <c r="W1378" s="6"/>
      <c r="X1378" s="6"/>
      <c r="Y1378" s="6"/>
      <c r="Z1378" s="6"/>
      <c r="AA1378" s="6"/>
      <c r="AB1378" s="6"/>
      <c r="AC1378" s="6"/>
      <c r="AD1378" s="6"/>
      <c r="AE1378" s="6"/>
      <c r="AF1378" s="6"/>
      <c r="AG1378" s="6"/>
      <c r="AH1378" s="6"/>
      <c r="AI1378" s="6"/>
      <c r="AJ1378" s="6"/>
      <c r="AK1378" s="6"/>
      <c r="AL1378" s="6"/>
      <c r="AM1378" s="6"/>
      <c r="AN1378" s="6"/>
      <c r="AO1378" s="6"/>
      <c r="AP1378" s="6"/>
      <c r="AQ1378" s="6"/>
      <c r="AR1378" s="6"/>
      <c r="AS1378" s="6"/>
      <c r="AT1378" s="6"/>
      <c r="AU1378" s="6"/>
      <c r="AV1378" s="6"/>
      <c r="AW1378" s="6"/>
      <c r="AX1378" s="6"/>
      <c r="AY1378" s="6"/>
      <c r="AZ1378" s="6"/>
      <c r="BA1378" s="6"/>
      <c r="BB1378" s="6"/>
      <c r="BC1378" s="6"/>
      <c r="BD1378" s="6"/>
      <c r="BE1378" s="6"/>
      <c r="BF1378" s="6"/>
      <c r="BG1378" s="6"/>
      <c r="BH1378" s="6"/>
      <c r="BI1378" s="6"/>
      <c r="BJ1378" s="6"/>
      <c r="BK1378" s="6"/>
      <c r="BL1378" s="6"/>
      <c r="BM1378" s="6"/>
      <c r="BN1378" s="6"/>
      <c r="BO1378" s="6"/>
      <c r="BP1378" s="6"/>
      <c r="BQ1378" s="6"/>
      <c r="BR1378" s="6"/>
      <c r="BS1378" s="6"/>
      <c r="BT1378" s="6"/>
      <c r="BU1378" s="6"/>
      <c r="BV1378" s="6"/>
      <c r="BW1378" s="6"/>
      <c r="BX1378" s="6"/>
      <c r="BY1378" s="6"/>
      <c r="BZ1378" s="6"/>
      <c r="CA1378" s="6"/>
      <c r="CB1378" s="6"/>
      <c r="CC1378" s="6"/>
    </row>
    <row r="1379" spans="2:81" x14ac:dyDescent="0.2">
      <c r="B1379" s="68"/>
      <c r="C1379" s="69"/>
      <c r="D1379" s="70"/>
      <c r="F1379" s="68"/>
      <c r="G1379" s="69"/>
      <c r="H1379" s="70"/>
      <c r="J1379" s="71"/>
      <c r="K1379" s="71"/>
      <c r="L1379" s="67"/>
      <c r="N1379" s="71"/>
      <c r="O1379" s="71"/>
      <c r="P1379" s="67"/>
      <c r="R1379" s="67"/>
      <c r="S1379" s="6"/>
      <c r="T1379" s="6"/>
      <c r="U1379" s="6"/>
      <c r="V1379" s="6"/>
      <c r="W1379" s="6"/>
      <c r="X1379" s="6"/>
      <c r="Y1379" s="6"/>
      <c r="Z1379" s="6"/>
      <c r="AA1379" s="6"/>
      <c r="AB1379" s="6"/>
      <c r="AC1379" s="6"/>
      <c r="AD1379" s="6"/>
      <c r="AE1379" s="6"/>
      <c r="AF1379" s="6"/>
      <c r="AG1379" s="6"/>
      <c r="AH1379" s="6"/>
      <c r="AI1379" s="6"/>
      <c r="AJ1379" s="6"/>
      <c r="AK1379" s="6"/>
      <c r="AL1379" s="6"/>
      <c r="AM1379" s="6"/>
      <c r="AN1379" s="6"/>
      <c r="AO1379" s="6"/>
      <c r="AP1379" s="6"/>
      <c r="AQ1379" s="6"/>
      <c r="AR1379" s="6"/>
      <c r="AS1379" s="6"/>
      <c r="AT1379" s="6"/>
      <c r="AU1379" s="6"/>
      <c r="AV1379" s="6"/>
      <c r="AW1379" s="6"/>
      <c r="AX1379" s="6"/>
      <c r="AY1379" s="6"/>
      <c r="AZ1379" s="6"/>
      <c r="BA1379" s="6"/>
      <c r="BB1379" s="6"/>
      <c r="BC1379" s="6"/>
      <c r="BD1379" s="6"/>
      <c r="BE1379" s="6"/>
      <c r="BF1379" s="6"/>
      <c r="BG1379" s="6"/>
      <c r="BH1379" s="6"/>
      <c r="BI1379" s="6"/>
      <c r="BJ1379" s="6"/>
      <c r="BK1379" s="6"/>
      <c r="BL1379" s="6"/>
      <c r="BM1379" s="6"/>
      <c r="BN1379" s="6"/>
      <c r="BO1379" s="6"/>
      <c r="BP1379" s="6"/>
      <c r="BQ1379" s="6"/>
      <c r="BR1379" s="6"/>
      <c r="BS1379" s="6"/>
      <c r="BT1379" s="6"/>
      <c r="BU1379" s="6"/>
      <c r="BV1379" s="6"/>
      <c r="BW1379" s="6"/>
      <c r="BX1379" s="6"/>
      <c r="BY1379" s="6"/>
      <c r="BZ1379" s="6"/>
      <c r="CA1379" s="6"/>
      <c r="CB1379" s="6"/>
      <c r="CC1379" s="6"/>
    </row>
    <row r="1380" spans="2:81" x14ac:dyDescent="0.2">
      <c r="B1380" s="68"/>
      <c r="C1380" s="69"/>
      <c r="D1380" s="70"/>
      <c r="F1380" s="68"/>
      <c r="G1380" s="69"/>
      <c r="H1380" s="70"/>
      <c r="J1380" s="71"/>
      <c r="K1380" s="71"/>
      <c r="L1380" s="67"/>
      <c r="N1380" s="71"/>
      <c r="O1380" s="71"/>
      <c r="P1380" s="67"/>
      <c r="R1380" s="67"/>
      <c r="S1380" s="6"/>
      <c r="T1380" s="6"/>
      <c r="U1380" s="6"/>
      <c r="V1380" s="6"/>
      <c r="W1380" s="6"/>
      <c r="X1380" s="6"/>
      <c r="Y1380" s="6"/>
      <c r="Z1380" s="6"/>
      <c r="AA1380" s="6"/>
      <c r="AB1380" s="6"/>
      <c r="AC1380" s="6"/>
      <c r="AD1380" s="6"/>
      <c r="AE1380" s="6"/>
      <c r="AF1380" s="6"/>
      <c r="AG1380" s="6"/>
      <c r="AH1380" s="6"/>
      <c r="AI1380" s="6"/>
      <c r="AJ1380" s="6"/>
      <c r="AK1380" s="6"/>
      <c r="AL1380" s="6"/>
      <c r="AM1380" s="6"/>
      <c r="AN1380" s="6"/>
      <c r="AO1380" s="6"/>
      <c r="AP1380" s="6"/>
      <c r="AQ1380" s="6"/>
      <c r="AR1380" s="6"/>
      <c r="AS1380" s="6"/>
      <c r="AT1380" s="6"/>
      <c r="AU1380" s="6"/>
      <c r="AV1380" s="6"/>
      <c r="AW1380" s="6"/>
      <c r="AX1380" s="6"/>
      <c r="AY1380" s="6"/>
      <c r="AZ1380" s="6"/>
      <c r="BA1380" s="6"/>
      <c r="BB1380" s="6"/>
      <c r="BC1380" s="6"/>
      <c r="BD1380" s="6"/>
      <c r="BE1380" s="6"/>
      <c r="BF1380" s="6"/>
      <c r="BG1380" s="6"/>
      <c r="BH1380" s="6"/>
      <c r="BI1380" s="6"/>
      <c r="BJ1380" s="6"/>
      <c r="BK1380" s="6"/>
      <c r="BL1380" s="6"/>
      <c r="BM1380" s="6"/>
      <c r="BN1380" s="6"/>
      <c r="BO1380" s="6"/>
      <c r="BP1380" s="6"/>
      <c r="BQ1380" s="6"/>
      <c r="BR1380" s="6"/>
      <c r="BS1380" s="6"/>
      <c r="BT1380" s="6"/>
      <c r="BU1380" s="6"/>
      <c r="BV1380" s="6"/>
      <c r="BW1380" s="6"/>
      <c r="BX1380" s="6"/>
      <c r="BY1380" s="6"/>
      <c r="BZ1380" s="6"/>
      <c r="CA1380" s="6"/>
      <c r="CB1380" s="6"/>
      <c r="CC1380" s="6"/>
    </row>
    <row r="1381" spans="2:81" x14ac:dyDescent="0.2">
      <c r="B1381" s="68"/>
      <c r="C1381" s="69"/>
      <c r="D1381" s="70"/>
      <c r="F1381" s="68"/>
      <c r="G1381" s="69"/>
      <c r="H1381" s="70"/>
      <c r="J1381" s="71"/>
      <c r="K1381" s="71"/>
      <c r="L1381" s="67"/>
      <c r="N1381" s="71"/>
      <c r="O1381" s="71"/>
      <c r="P1381" s="67"/>
      <c r="R1381" s="67"/>
      <c r="S1381" s="6"/>
      <c r="T1381" s="6"/>
      <c r="U1381" s="6"/>
      <c r="V1381" s="6"/>
      <c r="W1381" s="6"/>
      <c r="X1381" s="6"/>
      <c r="Y1381" s="6"/>
      <c r="Z1381" s="6"/>
      <c r="AA1381" s="6"/>
      <c r="AB1381" s="6"/>
      <c r="AC1381" s="6"/>
      <c r="AD1381" s="6"/>
      <c r="AE1381" s="6"/>
      <c r="AF1381" s="6"/>
      <c r="AG1381" s="6"/>
      <c r="AH1381" s="6"/>
      <c r="AI1381" s="6"/>
      <c r="AJ1381" s="6"/>
      <c r="AK1381" s="6"/>
      <c r="AL1381" s="6"/>
      <c r="AM1381" s="6"/>
      <c r="AN1381" s="6"/>
      <c r="AO1381" s="6"/>
      <c r="AP1381" s="6"/>
      <c r="AQ1381" s="6"/>
      <c r="AR1381" s="6"/>
      <c r="AS1381" s="6"/>
      <c r="AT1381" s="6"/>
      <c r="AU1381" s="6"/>
      <c r="AV1381" s="6"/>
      <c r="AW1381" s="6"/>
      <c r="AX1381" s="6"/>
      <c r="AY1381" s="6"/>
      <c r="AZ1381" s="6"/>
      <c r="BA1381" s="6"/>
      <c r="BB1381" s="6"/>
      <c r="BC1381" s="6"/>
      <c r="BD1381" s="6"/>
      <c r="BE1381" s="6"/>
      <c r="BF1381" s="6"/>
      <c r="BG1381" s="6"/>
      <c r="BH1381" s="6"/>
      <c r="BI1381" s="6"/>
      <c r="BJ1381" s="6"/>
      <c r="BK1381" s="6"/>
      <c r="BL1381" s="6"/>
      <c r="BM1381" s="6"/>
      <c r="BN1381" s="6"/>
      <c r="BO1381" s="6"/>
      <c r="BP1381" s="6"/>
      <c r="BQ1381" s="6"/>
      <c r="BR1381" s="6"/>
      <c r="BS1381" s="6"/>
      <c r="BT1381" s="6"/>
      <c r="BU1381" s="6"/>
      <c r="BV1381" s="6"/>
      <c r="BW1381" s="6"/>
      <c r="BX1381" s="6"/>
      <c r="BY1381" s="6"/>
      <c r="BZ1381" s="6"/>
      <c r="CA1381" s="6"/>
      <c r="CB1381" s="6"/>
      <c r="CC1381" s="6"/>
    </row>
    <row r="1382" spans="2:81" x14ac:dyDescent="0.2">
      <c r="B1382" s="68"/>
      <c r="C1382" s="69"/>
      <c r="D1382" s="70"/>
      <c r="F1382" s="68"/>
      <c r="G1382" s="69"/>
      <c r="H1382" s="70"/>
      <c r="J1382" s="71"/>
      <c r="K1382" s="71"/>
      <c r="L1382" s="67"/>
      <c r="N1382" s="71"/>
      <c r="O1382" s="71"/>
      <c r="P1382" s="67"/>
      <c r="R1382" s="67"/>
      <c r="S1382" s="6"/>
      <c r="T1382" s="6"/>
      <c r="U1382" s="6"/>
      <c r="V1382" s="6"/>
      <c r="W1382" s="6"/>
      <c r="X1382" s="6"/>
      <c r="Y1382" s="6"/>
      <c r="Z1382" s="6"/>
      <c r="AA1382" s="6"/>
      <c r="AB1382" s="6"/>
      <c r="AC1382" s="6"/>
      <c r="AD1382" s="6"/>
      <c r="AE1382" s="6"/>
      <c r="AF1382" s="6"/>
      <c r="AG1382" s="6"/>
      <c r="AH1382" s="6"/>
      <c r="AI1382" s="6"/>
      <c r="AJ1382" s="6"/>
      <c r="AK1382" s="6"/>
      <c r="AL1382" s="6"/>
      <c r="AM1382" s="6"/>
      <c r="AN1382" s="6"/>
      <c r="AO1382" s="6"/>
      <c r="AP1382" s="6"/>
      <c r="AQ1382" s="6"/>
      <c r="AR1382" s="6"/>
      <c r="AS1382" s="6"/>
      <c r="AT1382" s="6"/>
      <c r="AU1382" s="6"/>
      <c r="AV1382" s="6"/>
      <c r="AW1382" s="6"/>
      <c r="AX1382" s="6"/>
      <c r="AY1382" s="6"/>
      <c r="AZ1382" s="6"/>
      <c r="BA1382" s="6"/>
      <c r="BB1382" s="6"/>
      <c r="BC1382" s="6"/>
      <c r="BD1382" s="6"/>
      <c r="BE1382" s="6"/>
      <c r="BF1382" s="6"/>
      <c r="BG1382" s="6"/>
      <c r="BH1382" s="6"/>
      <c r="BI1382" s="6"/>
      <c r="BJ1382" s="6"/>
      <c r="BK1382" s="6"/>
      <c r="BL1382" s="6"/>
      <c r="BM1382" s="6"/>
      <c r="BN1382" s="6"/>
      <c r="BO1382" s="6"/>
      <c r="BP1382" s="6"/>
      <c r="BQ1382" s="6"/>
      <c r="BR1382" s="6"/>
      <c r="BS1382" s="6"/>
      <c r="BT1382" s="6"/>
      <c r="BU1382" s="6"/>
      <c r="BV1382" s="6"/>
      <c r="BW1382" s="6"/>
      <c r="BX1382" s="6"/>
      <c r="BY1382" s="6"/>
      <c r="BZ1382" s="6"/>
      <c r="CA1382" s="6"/>
      <c r="CB1382" s="6"/>
      <c r="CC1382" s="6"/>
    </row>
    <row r="1383" spans="2:81" x14ac:dyDescent="0.2">
      <c r="B1383" s="68"/>
      <c r="C1383" s="69"/>
      <c r="D1383" s="70"/>
      <c r="F1383" s="68"/>
      <c r="G1383" s="69"/>
      <c r="H1383" s="70"/>
      <c r="J1383" s="71"/>
      <c r="K1383" s="71"/>
      <c r="L1383" s="67"/>
      <c r="N1383" s="71"/>
      <c r="O1383" s="71"/>
      <c r="P1383" s="67"/>
      <c r="R1383" s="67"/>
      <c r="S1383" s="6"/>
      <c r="T1383" s="6"/>
      <c r="U1383" s="6"/>
      <c r="V1383" s="6"/>
      <c r="W1383" s="6"/>
      <c r="X1383" s="6"/>
      <c r="Y1383" s="6"/>
      <c r="Z1383" s="6"/>
      <c r="AA1383" s="6"/>
      <c r="AB1383" s="6"/>
      <c r="AC1383" s="6"/>
      <c r="AD1383" s="6"/>
      <c r="AE1383" s="6"/>
      <c r="AF1383" s="6"/>
      <c r="AG1383" s="6"/>
      <c r="AH1383" s="6"/>
      <c r="AI1383" s="6"/>
      <c r="AJ1383" s="6"/>
      <c r="AK1383" s="6"/>
      <c r="AL1383" s="6"/>
      <c r="AM1383" s="6"/>
      <c r="AN1383" s="6"/>
      <c r="AO1383" s="6"/>
      <c r="AP1383" s="6"/>
      <c r="AQ1383" s="6"/>
      <c r="AR1383" s="6"/>
      <c r="AS1383" s="6"/>
      <c r="AT1383" s="6"/>
      <c r="AU1383" s="6"/>
      <c r="AV1383" s="6"/>
      <c r="AW1383" s="6"/>
      <c r="AX1383" s="6"/>
      <c r="AY1383" s="6"/>
      <c r="AZ1383" s="6"/>
      <c r="BA1383" s="6"/>
      <c r="BB1383" s="6"/>
      <c r="BC1383" s="6"/>
      <c r="BD1383" s="6"/>
      <c r="BE1383" s="6"/>
      <c r="BF1383" s="6"/>
      <c r="BG1383" s="6"/>
      <c r="BH1383" s="6"/>
      <c r="BI1383" s="6"/>
      <c r="BJ1383" s="6"/>
      <c r="BK1383" s="6"/>
      <c r="BL1383" s="6"/>
      <c r="BM1383" s="6"/>
      <c r="BN1383" s="6"/>
      <c r="BO1383" s="6"/>
      <c r="BP1383" s="6"/>
      <c r="BQ1383" s="6"/>
      <c r="BR1383" s="6"/>
      <c r="BS1383" s="6"/>
      <c r="BT1383" s="6"/>
      <c r="BU1383" s="6"/>
      <c r="BV1383" s="6"/>
      <c r="BW1383" s="6"/>
      <c r="BX1383" s="6"/>
      <c r="BY1383" s="6"/>
      <c r="BZ1383" s="6"/>
      <c r="CA1383" s="6"/>
      <c r="CB1383" s="6"/>
      <c r="CC1383" s="6"/>
    </row>
    <row r="1384" spans="2:81" x14ac:dyDescent="0.2">
      <c r="B1384" s="68"/>
      <c r="C1384" s="69"/>
      <c r="D1384" s="70"/>
      <c r="F1384" s="68"/>
      <c r="G1384" s="69"/>
      <c r="H1384" s="70"/>
      <c r="J1384" s="71"/>
      <c r="K1384" s="71"/>
      <c r="L1384" s="67"/>
      <c r="N1384" s="71"/>
      <c r="O1384" s="71"/>
      <c r="P1384" s="67"/>
      <c r="R1384" s="67"/>
      <c r="S1384" s="6"/>
      <c r="T1384" s="6"/>
      <c r="U1384" s="6"/>
      <c r="V1384" s="6"/>
      <c r="W1384" s="6"/>
      <c r="X1384" s="6"/>
      <c r="Y1384" s="6"/>
      <c r="Z1384" s="6"/>
      <c r="AA1384" s="6"/>
      <c r="AB1384" s="6"/>
      <c r="AC1384" s="6"/>
      <c r="AD1384" s="6"/>
      <c r="AE1384" s="6"/>
      <c r="AF1384" s="6"/>
      <c r="AG1384" s="6"/>
      <c r="AH1384" s="6"/>
      <c r="AI1384" s="6"/>
      <c r="AJ1384" s="6"/>
      <c r="AK1384" s="6"/>
      <c r="AL1384" s="6"/>
      <c r="AM1384" s="6"/>
      <c r="AN1384" s="6"/>
      <c r="AO1384" s="6"/>
      <c r="AP1384" s="6"/>
      <c r="AQ1384" s="6"/>
      <c r="AR1384" s="6"/>
      <c r="AS1384" s="6"/>
      <c r="AT1384" s="6"/>
      <c r="AU1384" s="6"/>
      <c r="AV1384" s="6"/>
      <c r="AW1384" s="6"/>
      <c r="AX1384" s="6"/>
      <c r="AY1384" s="6"/>
      <c r="AZ1384" s="6"/>
      <c r="BA1384" s="6"/>
      <c r="BB1384" s="6"/>
      <c r="BC1384" s="6"/>
      <c r="BD1384" s="6"/>
      <c r="BE1384" s="6"/>
      <c r="BF1384" s="6"/>
      <c r="BG1384" s="6"/>
      <c r="BH1384" s="6"/>
      <c r="BI1384" s="6"/>
      <c r="BJ1384" s="6"/>
      <c r="BK1384" s="6"/>
      <c r="BL1384" s="6"/>
      <c r="BM1384" s="6"/>
      <c r="BN1384" s="6"/>
      <c r="BO1384" s="6"/>
      <c r="BP1384" s="6"/>
      <c r="BQ1384" s="6"/>
      <c r="BR1384" s="6"/>
      <c r="BS1384" s="6"/>
      <c r="BT1384" s="6"/>
      <c r="BU1384" s="6"/>
      <c r="BV1384" s="6"/>
      <c r="BW1384" s="6"/>
      <c r="BX1384" s="6"/>
      <c r="BY1384" s="6"/>
      <c r="BZ1384" s="6"/>
      <c r="CA1384" s="6"/>
      <c r="CB1384" s="6"/>
      <c r="CC1384" s="6"/>
    </row>
    <row r="1385" spans="2:81" x14ac:dyDescent="0.2">
      <c r="B1385" s="68"/>
      <c r="C1385" s="69"/>
      <c r="D1385" s="70"/>
      <c r="F1385" s="68"/>
      <c r="G1385" s="69"/>
      <c r="H1385" s="70"/>
      <c r="J1385" s="71"/>
      <c r="K1385" s="71"/>
      <c r="L1385" s="67"/>
      <c r="N1385" s="71"/>
      <c r="O1385" s="71"/>
      <c r="P1385" s="67"/>
      <c r="R1385" s="67"/>
      <c r="S1385" s="6"/>
      <c r="T1385" s="6"/>
      <c r="U1385" s="6"/>
      <c r="V1385" s="6"/>
      <c r="W1385" s="6"/>
      <c r="X1385" s="6"/>
      <c r="Y1385" s="6"/>
      <c r="Z1385" s="6"/>
      <c r="AA1385" s="6"/>
      <c r="AB1385" s="6"/>
      <c r="AC1385" s="6"/>
      <c r="AD1385" s="6"/>
      <c r="AE1385" s="6"/>
      <c r="AF1385" s="6"/>
      <c r="AG1385" s="6"/>
      <c r="AH1385" s="6"/>
      <c r="AI1385" s="6"/>
      <c r="AJ1385" s="6"/>
      <c r="AK1385" s="6"/>
      <c r="AL1385" s="6"/>
      <c r="AM1385" s="6"/>
      <c r="AN1385" s="6"/>
      <c r="AO1385" s="6"/>
      <c r="AP1385" s="6"/>
      <c r="AQ1385" s="6"/>
      <c r="AR1385" s="6"/>
      <c r="AS1385" s="6"/>
      <c r="AT1385" s="6"/>
      <c r="AU1385" s="6"/>
      <c r="AV1385" s="6"/>
      <c r="AW1385" s="6"/>
      <c r="AX1385" s="6"/>
      <c r="AY1385" s="6"/>
      <c r="AZ1385" s="6"/>
      <c r="BA1385" s="6"/>
      <c r="BB1385" s="6"/>
      <c r="BC1385" s="6"/>
      <c r="BD1385" s="6"/>
      <c r="BE1385" s="6"/>
      <c r="BF1385" s="6"/>
      <c r="BG1385" s="6"/>
      <c r="BH1385" s="6"/>
      <c r="BI1385" s="6"/>
      <c r="BJ1385" s="6"/>
      <c r="BK1385" s="6"/>
      <c r="BL1385" s="6"/>
      <c r="BM1385" s="6"/>
      <c r="BN1385" s="6"/>
      <c r="BO1385" s="6"/>
      <c r="BP1385" s="6"/>
      <c r="BQ1385" s="6"/>
      <c r="BR1385" s="6"/>
      <c r="BS1385" s="6"/>
      <c r="BT1385" s="6"/>
      <c r="BU1385" s="6"/>
      <c r="BV1385" s="6"/>
      <c r="BW1385" s="6"/>
      <c r="BX1385" s="6"/>
      <c r="BY1385" s="6"/>
      <c r="BZ1385" s="6"/>
      <c r="CA1385" s="6"/>
      <c r="CB1385" s="6"/>
      <c r="CC1385" s="6"/>
    </row>
    <row r="1386" spans="2:81" x14ac:dyDescent="0.2">
      <c r="B1386" s="68"/>
      <c r="C1386" s="69"/>
      <c r="D1386" s="70"/>
      <c r="F1386" s="68"/>
      <c r="G1386" s="69"/>
      <c r="H1386" s="70"/>
      <c r="J1386" s="71"/>
      <c r="K1386" s="71"/>
      <c r="L1386" s="67"/>
      <c r="N1386" s="71"/>
      <c r="O1386" s="71"/>
      <c r="P1386" s="67"/>
      <c r="R1386" s="67"/>
      <c r="S1386" s="6"/>
      <c r="T1386" s="6"/>
      <c r="U1386" s="6"/>
      <c r="V1386" s="6"/>
      <c r="W1386" s="6"/>
      <c r="X1386" s="6"/>
      <c r="Y1386" s="6"/>
      <c r="Z1386" s="6"/>
      <c r="AA1386" s="6"/>
      <c r="AB1386" s="6"/>
      <c r="AC1386" s="6"/>
      <c r="AD1386" s="6"/>
      <c r="AE1386" s="6"/>
      <c r="AF1386" s="6"/>
      <c r="AG1386" s="6"/>
      <c r="AH1386" s="6"/>
      <c r="AI1386" s="6"/>
      <c r="AJ1386" s="6"/>
      <c r="AK1386" s="6"/>
      <c r="AL1386" s="6"/>
      <c r="AM1386" s="6"/>
      <c r="AN1386" s="6"/>
      <c r="AO1386" s="6"/>
      <c r="AP1386" s="6"/>
      <c r="AQ1386" s="6"/>
      <c r="AR1386" s="6"/>
      <c r="AS1386" s="6"/>
      <c r="AT1386" s="6"/>
      <c r="AU1386" s="6"/>
      <c r="AV1386" s="6"/>
      <c r="AW1386" s="6"/>
      <c r="AX1386" s="6"/>
      <c r="AY1386" s="6"/>
      <c r="AZ1386" s="6"/>
      <c r="BA1386" s="6"/>
      <c r="BB1386" s="6"/>
      <c r="BC1386" s="6"/>
      <c r="BD1386" s="6"/>
      <c r="BE1386" s="6"/>
      <c r="BF1386" s="6"/>
      <c r="BG1386" s="6"/>
      <c r="BH1386" s="6"/>
      <c r="BI1386" s="6"/>
      <c r="BJ1386" s="6"/>
      <c r="BK1386" s="6"/>
      <c r="BL1386" s="6"/>
      <c r="BM1386" s="6"/>
      <c r="BN1386" s="6"/>
      <c r="BO1386" s="6"/>
      <c r="BP1386" s="6"/>
      <c r="BQ1386" s="6"/>
      <c r="BR1386" s="6"/>
      <c r="BS1386" s="6"/>
      <c r="BT1386" s="6"/>
      <c r="BU1386" s="6"/>
      <c r="BV1386" s="6"/>
      <c r="BW1386" s="6"/>
      <c r="BX1386" s="6"/>
      <c r="BY1386" s="6"/>
      <c r="BZ1386" s="6"/>
      <c r="CA1386" s="6"/>
      <c r="CB1386" s="6"/>
      <c r="CC1386" s="6"/>
    </row>
    <row r="1387" spans="2:81" x14ac:dyDescent="0.2">
      <c r="B1387" s="68"/>
      <c r="C1387" s="69"/>
      <c r="D1387" s="70"/>
      <c r="F1387" s="68"/>
      <c r="G1387" s="69"/>
      <c r="H1387" s="70"/>
      <c r="J1387" s="71"/>
      <c r="K1387" s="71"/>
      <c r="L1387" s="67"/>
      <c r="N1387" s="71"/>
      <c r="O1387" s="71"/>
      <c r="P1387" s="67"/>
      <c r="R1387" s="67"/>
      <c r="S1387" s="6"/>
      <c r="T1387" s="6"/>
      <c r="U1387" s="6"/>
      <c r="V1387" s="6"/>
      <c r="W1387" s="6"/>
      <c r="X1387" s="6"/>
      <c r="Y1387" s="6"/>
      <c r="Z1387" s="6"/>
      <c r="AA1387" s="6"/>
      <c r="AB1387" s="6"/>
      <c r="AC1387" s="6"/>
      <c r="AD1387" s="6"/>
      <c r="AE1387" s="6"/>
      <c r="AF1387" s="6"/>
      <c r="AG1387" s="6"/>
      <c r="AH1387" s="6"/>
      <c r="AI1387" s="6"/>
      <c r="AJ1387" s="6"/>
      <c r="AK1387" s="6"/>
      <c r="AL1387" s="6"/>
      <c r="AM1387" s="6"/>
      <c r="AN1387" s="6"/>
      <c r="AO1387" s="6"/>
      <c r="AP1387" s="6"/>
      <c r="AQ1387" s="6"/>
      <c r="AR1387" s="6"/>
      <c r="AS1387" s="6"/>
      <c r="AT1387" s="6"/>
      <c r="AU1387" s="6"/>
      <c r="AV1387" s="6"/>
      <c r="AW1387" s="6"/>
      <c r="AX1387" s="6"/>
      <c r="AY1387" s="6"/>
      <c r="AZ1387" s="6"/>
      <c r="BA1387" s="6"/>
      <c r="BB1387" s="6"/>
      <c r="BC1387" s="6"/>
      <c r="BD1387" s="6"/>
      <c r="BE1387" s="6"/>
      <c r="BF1387" s="6"/>
      <c r="BG1387" s="6"/>
      <c r="BH1387" s="6"/>
      <c r="BI1387" s="6"/>
      <c r="BJ1387" s="6"/>
      <c r="BK1387" s="6"/>
      <c r="BL1387" s="6"/>
      <c r="BM1387" s="6"/>
      <c r="BN1387" s="6"/>
      <c r="BO1387" s="6"/>
      <c r="BP1387" s="6"/>
      <c r="BQ1387" s="6"/>
      <c r="BR1387" s="6"/>
      <c r="BS1387" s="6"/>
      <c r="BT1387" s="6"/>
      <c r="BU1387" s="6"/>
      <c r="BV1387" s="6"/>
      <c r="BW1387" s="6"/>
      <c r="BX1387" s="6"/>
      <c r="BY1387" s="6"/>
      <c r="BZ1387" s="6"/>
      <c r="CA1387" s="6"/>
      <c r="CB1387" s="6"/>
      <c r="CC1387" s="6"/>
    </row>
    <row r="1388" spans="2:81" x14ac:dyDescent="0.2">
      <c r="B1388" s="68"/>
      <c r="C1388" s="69"/>
      <c r="D1388" s="70"/>
      <c r="F1388" s="68"/>
      <c r="G1388" s="69"/>
      <c r="H1388" s="70"/>
      <c r="J1388" s="71"/>
      <c r="K1388" s="71"/>
      <c r="L1388" s="67"/>
      <c r="N1388" s="71"/>
      <c r="O1388" s="71"/>
      <c r="P1388" s="67"/>
      <c r="R1388" s="67"/>
      <c r="S1388" s="6"/>
      <c r="T1388" s="6"/>
      <c r="U1388" s="6"/>
      <c r="V1388" s="6"/>
      <c r="W1388" s="6"/>
      <c r="X1388" s="6"/>
      <c r="Y1388" s="6"/>
      <c r="Z1388" s="6"/>
      <c r="AA1388" s="6"/>
      <c r="AB1388" s="6"/>
      <c r="AC1388" s="6"/>
      <c r="AD1388" s="6"/>
      <c r="AE1388" s="6"/>
      <c r="AF1388" s="6"/>
      <c r="AG1388" s="6"/>
      <c r="AH1388" s="6"/>
      <c r="AI1388" s="6"/>
      <c r="AJ1388" s="6"/>
      <c r="AK1388" s="6"/>
      <c r="AL1388" s="6"/>
      <c r="AM1388" s="6"/>
      <c r="AN1388" s="6"/>
      <c r="AO1388" s="6"/>
      <c r="AP1388" s="6"/>
      <c r="AQ1388" s="6"/>
      <c r="AR1388" s="6"/>
      <c r="AS1388" s="6"/>
      <c r="AT1388" s="6"/>
      <c r="AU1388" s="6"/>
      <c r="AV1388" s="6"/>
      <c r="AW1388" s="6"/>
      <c r="AX1388" s="6"/>
      <c r="AY1388" s="6"/>
      <c r="AZ1388" s="6"/>
      <c r="BA1388" s="6"/>
      <c r="BB1388" s="6"/>
      <c r="BC1388" s="6"/>
      <c r="BD1388" s="6"/>
      <c r="BE1388" s="6"/>
      <c r="BF1388" s="6"/>
      <c r="BG1388" s="6"/>
      <c r="BH1388" s="6"/>
      <c r="BI1388" s="6"/>
      <c r="BJ1388" s="6"/>
      <c r="BK1388" s="6"/>
      <c r="BL1388" s="6"/>
      <c r="BM1388" s="6"/>
      <c r="BN1388" s="6"/>
      <c r="BO1388" s="6"/>
      <c r="BP1388" s="6"/>
      <c r="BQ1388" s="6"/>
      <c r="BR1388" s="6"/>
      <c r="BS1388" s="6"/>
      <c r="BT1388" s="6"/>
      <c r="BU1388" s="6"/>
      <c r="BV1388" s="6"/>
      <c r="BW1388" s="6"/>
      <c r="BX1388" s="6"/>
      <c r="BY1388" s="6"/>
      <c r="BZ1388" s="6"/>
      <c r="CA1388" s="6"/>
      <c r="CB1388" s="6"/>
      <c r="CC1388" s="6"/>
    </row>
    <row r="1389" spans="2:81" x14ac:dyDescent="0.2">
      <c r="B1389" s="68"/>
      <c r="C1389" s="69"/>
      <c r="D1389" s="70"/>
      <c r="F1389" s="68"/>
      <c r="G1389" s="69"/>
      <c r="H1389" s="70"/>
      <c r="J1389" s="71"/>
      <c r="K1389" s="71"/>
      <c r="L1389" s="67"/>
      <c r="N1389" s="71"/>
      <c r="O1389" s="71"/>
      <c r="P1389" s="67"/>
      <c r="R1389" s="67"/>
      <c r="S1389" s="6"/>
      <c r="T1389" s="6"/>
      <c r="U1389" s="6"/>
      <c r="V1389" s="6"/>
      <c r="W1389" s="6"/>
      <c r="X1389" s="6"/>
      <c r="Y1389" s="6"/>
      <c r="Z1389" s="6"/>
      <c r="AA1389" s="6"/>
      <c r="AB1389" s="6"/>
      <c r="AC1389" s="6"/>
      <c r="AD1389" s="6"/>
      <c r="AE1389" s="6"/>
      <c r="AF1389" s="6"/>
      <c r="AG1389" s="6"/>
      <c r="AH1389" s="6"/>
      <c r="AI1389" s="6"/>
      <c r="AJ1389" s="6"/>
      <c r="AK1389" s="6"/>
      <c r="AL1389" s="6"/>
      <c r="AM1389" s="6"/>
      <c r="AN1389" s="6"/>
      <c r="AO1389" s="6"/>
      <c r="AP1389" s="6"/>
      <c r="AQ1389" s="6"/>
      <c r="AR1389" s="6"/>
      <c r="AS1389" s="6"/>
      <c r="AT1389" s="6"/>
      <c r="AU1389" s="6"/>
      <c r="AV1389" s="6"/>
      <c r="AW1389" s="6"/>
      <c r="AX1389" s="6"/>
      <c r="AY1389" s="6"/>
      <c r="AZ1389" s="6"/>
      <c r="BA1389" s="6"/>
      <c r="BB1389" s="6"/>
      <c r="BC1389" s="6"/>
      <c r="BD1389" s="6"/>
      <c r="BE1389" s="6"/>
      <c r="BF1389" s="6"/>
      <c r="BG1389" s="6"/>
      <c r="BH1389" s="6"/>
      <c r="BI1389" s="6"/>
      <c r="BJ1389" s="6"/>
      <c r="BK1389" s="6"/>
      <c r="BL1389" s="6"/>
      <c r="BM1389" s="6"/>
      <c r="BN1389" s="6"/>
      <c r="BO1389" s="6"/>
      <c r="BP1389" s="6"/>
      <c r="BQ1389" s="6"/>
      <c r="BR1389" s="6"/>
      <c r="BS1389" s="6"/>
      <c r="BT1389" s="6"/>
      <c r="BU1389" s="6"/>
      <c r="BV1389" s="6"/>
      <c r="BW1389" s="6"/>
      <c r="BX1389" s="6"/>
      <c r="BY1389" s="6"/>
      <c r="BZ1389" s="6"/>
      <c r="CA1389" s="6"/>
      <c r="CB1389" s="6"/>
      <c r="CC1389" s="6"/>
    </row>
    <row r="1390" spans="2:81" x14ac:dyDescent="0.2">
      <c r="B1390" s="68"/>
      <c r="C1390" s="69"/>
      <c r="D1390" s="70"/>
      <c r="F1390" s="68"/>
      <c r="G1390" s="69"/>
      <c r="H1390" s="70"/>
      <c r="J1390" s="71"/>
      <c r="K1390" s="71"/>
      <c r="L1390" s="67"/>
      <c r="N1390" s="71"/>
      <c r="O1390" s="71"/>
      <c r="P1390" s="67"/>
      <c r="R1390" s="67"/>
      <c r="S1390" s="6"/>
      <c r="T1390" s="6"/>
      <c r="U1390" s="6"/>
      <c r="V1390" s="6"/>
      <c r="W1390" s="6"/>
      <c r="X1390" s="6"/>
      <c r="Y1390" s="6"/>
      <c r="Z1390" s="6"/>
      <c r="AA1390" s="6"/>
      <c r="AB1390" s="6"/>
      <c r="AC1390" s="6"/>
      <c r="AD1390" s="6"/>
      <c r="AE1390" s="6"/>
      <c r="AF1390" s="6"/>
      <c r="AG1390" s="6"/>
      <c r="AH1390" s="6"/>
      <c r="AI1390" s="6"/>
      <c r="AJ1390" s="6"/>
      <c r="AK1390" s="6"/>
      <c r="AL1390" s="6"/>
      <c r="AM1390" s="6"/>
      <c r="AN1390" s="6"/>
      <c r="AO1390" s="6"/>
      <c r="AP1390" s="6"/>
      <c r="AQ1390" s="6"/>
      <c r="AR1390" s="6"/>
      <c r="AS1390" s="6"/>
      <c r="AT1390" s="6"/>
      <c r="AU1390" s="6"/>
      <c r="AV1390" s="6"/>
      <c r="AW1390" s="6"/>
      <c r="AX1390" s="6"/>
      <c r="AY1390" s="6"/>
      <c r="AZ1390" s="6"/>
      <c r="BA1390" s="6"/>
      <c r="BB1390" s="6"/>
      <c r="BC1390" s="6"/>
      <c r="BD1390" s="6"/>
      <c r="BE1390" s="6"/>
      <c r="BF1390" s="6"/>
      <c r="BG1390" s="6"/>
      <c r="BH1390" s="6"/>
      <c r="BI1390" s="6"/>
      <c r="BJ1390" s="6"/>
      <c r="BK1390" s="6"/>
      <c r="BL1390" s="6"/>
      <c r="BM1390" s="6"/>
      <c r="BN1390" s="6"/>
      <c r="BO1390" s="6"/>
      <c r="BP1390" s="6"/>
      <c r="BQ1390" s="6"/>
      <c r="BR1390" s="6"/>
      <c r="BS1390" s="6"/>
      <c r="BT1390" s="6"/>
      <c r="BU1390" s="6"/>
      <c r="BV1390" s="6"/>
      <c r="BW1390" s="6"/>
      <c r="BX1390" s="6"/>
      <c r="BY1390" s="6"/>
      <c r="BZ1390" s="6"/>
      <c r="CA1390" s="6"/>
      <c r="CB1390" s="6"/>
      <c r="CC1390" s="6"/>
    </row>
    <row r="1391" spans="2:81" x14ac:dyDescent="0.2">
      <c r="B1391" s="68"/>
      <c r="C1391" s="69"/>
      <c r="D1391" s="70"/>
      <c r="F1391" s="68"/>
      <c r="G1391" s="69"/>
      <c r="H1391" s="70"/>
      <c r="J1391" s="71"/>
      <c r="K1391" s="71"/>
      <c r="L1391" s="67"/>
      <c r="N1391" s="71"/>
      <c r="O1391" s="71"/>
      <c r="P1391" s="67"/>
      <c r="R1391" s="67"/>
      <c r="S1391" s="6"/>
      <c r="T1391" s="6"/>
      <c r="U1391" s="6"/>
      <c r="V1391" s="6"/>
      <c r="W1391" s="6"/>
      <c r="X1391" s="6"/>
      <c r="Y1391" s="6"/>
      <c r="Z1391" s="6"/>
      <c r="AA1391" s="6"/>
      <c r="AB1391" s="6"/>
      <c r="AC1391" s="6"/>
      <c r="AD1391" s="6"/>
      <c r="AE1391" s="6"/>
      <c r="AF1391" s="6"/>
      <c r="AG1391" s="6"/>
      <c r="AH1391" s="6"/>
      <c r="AI1391" s="6"/>
      <c r="AJ1391" s="6"/>
      <c r="AK1391" s="6"/>
      <c r="AL1391" s="6"/>
      <c r="AM1391" s="6"/>
      <c r="AN1391" s="6"/>
      <c r="AO1391" s="6"/>
      <c r="AP1391" s="6"/>
      <c r="AQ1391" s="6"/>
      <c r="AR1391" s="6"/>
      <c r="AS1391" s="6"/>
      <c r="AT1391" s="6"/>
      <c r="AU1391" s="6"/>
      <c r="AV1391" s="6"/>
      <c r="AW1391" s="6"/>
      <c r="AX1391" s="6"/>
      <c r="AY1391" s="6"/>
      <c r="AZ1391" s="6"/>
      <c r="BA1391" s="6"/>
      <c r="BB1391" s="6"/>
      <c r="BC1391" s="6"/>
      <c r="BD1391" s="6"/>
      <c r="BE1391" s="6"/>
      <c r="BF1391" s="6"/>
      <c r="BG1391" s="6"/>
      <c r="BH1391" s="6"/>
      <c r="BI1391" s="6"/>
      <c r="BJ1391" s="6"/>
      <c r="BK1391" s="6"/>
      <c r="BL1391" s="6"/>
      <c r="BM1391" s="6"/>
      <c r="BN1391" s="6"/>
      <c r="BO1391" s="6"/>
      <c r="BP1391" s="6"/>
      <c r="BQ1391" s="6"/>
      <c r="BR1391" s="6"/>
      <c r="BS1391" s="6"/>
      <c r="BT1391" s="6"/>
      <c r="BU1391" s="6"/>
      <c r="BV1391" s="6"/>
      <c r="BW1391" s="6"/>
      <c r="BX1391" s="6"/>
      <c r="BY1391" s="6"/>
      <c r="BZ1391" s="6"/>
      <c r="CA1391" s="6"/>
      <c r="CB1391" s="6"/>
      <c r="CC1391" s="6"/>
    </row>
    <row r="1392" spans="2:81" x14ac:dyDescent="0.2">
      <c r="B1392" s="68"/>
      <c r="C1392" s="69"/>
      <c r="D1392" s="70"/>
      <c r="F1392" s="68"/>
      <c r="G1392" s="69"/>
      <c r="H1392" s="70"/>
      <c r="J1392" s="71"/>
      <c r="K1392" s="71"/>
      <c r="L1392" s="67"/>
      <c r="N1392" s="71"/>
      <c r="O1392" s="71"/>
      <c r="P1392" s="67"/>
      <c r="R1392" s="67"/>
      <c r="S1392" s="6"/>
      <c r="T1392" s="6"/>
      <c r="U1392" s="6"/>
      <c r="V1392" s="6"/>
      <c r="W1392" s="6"/>
      <c r="X1392" s="6"/>
      <c r="Y1392" s="6"/>
      <c r="Z1392" s="6"/>
      <c r="AA1392" s="6"/>
      <c r="AB1392" s="6"/>
      <c r="AC1392" s="6"/>
      <c r="AD1392" s="6"/>
      <c r="AE1392" s="6"/>
      <c r="AF1392" s="6"/>
      <c r="AG1392" s="6"/>
      <c r="AH1392" s="6"/>
      <c r="AI1392" s="6"/>
      <c r="AJ1392" s="6"/>
      <c r="AK1392" s="6"/>
      <c r="AL1392" s="6"/>
      <c r="AM1392" s="6"/>
      <c r="AN1392" s="6"/>
      <c r="AO1392" s="6"/>
      <c r="AP1392" s="6"/>
      <c r="AQ1392" s="6"/>
      <c r="AR1392" s="6"/>
      <c r="AS1392" s="6"/>
      <c r="AT1392" s="6"/>
      <c r="AU1392" s="6"/>
      <c r="AV1392" s="6"/>
      <c r="AW1392" s="6"/>
      <c r="AX1392" s="6"/>
      <c r="AY1392" s="6"/>
      <c r="AZ1392" s="6"/>
      <c r="BA1392" s="6"/>
      <c r="BB1392" s="6"/>
      <c r="BC1392" s="6"/>
      <c r="BD1392" s="6"/>
      <c r="BE1392" s="6"/>
      <c r="BF1392" s="6"/>
      <c r="BG1392" s="6"/>
      <c r="BH1392" s="6"/>
      <c r="BI1392" s="6"/>
      <c r="BJ1392" s="6"/>
      <c r="BK1392" s="6"/>
      <c r="BL1392" s="6"/>
      <c r="BM1392" s="6"/>
      <c r="BN1392" s="6"/>
      <c r="BO1392" s="6"/>
      <c r="BP1392" s="6"/>
      <c r="BQ1392" s="6"/>
      <c r="BR1392" s="6"/>
      <c r="BS1392" s="6"/>
      <c r="BT1392" s="6"/>
      <c r="BU1392" s="6"/>
      <c r="BV1392" s="6"/>
      <c r="BW1392" s="6"/>
      <c r="BX1392" s="6"/>
      <c r="BY1392" s="6"/>
      <c r="BZ1392" s="6"/>
      <c r="CA1392" s="6"/>
      <c r="CB1392" s="6"/>
      <c r="CC1392" s="6"/>
    </row>
    <row r="1393" spans="2:81" x14ac:dyDescent="0.2">
      <c r="B1393" s="68"/>
      <c r="C1393" s="69"/>
      <c r="D1393" s="70"/>
      <c r="F1393" s="68"/>
      <c r="G1393" s="69"/>
      <c r="H1393" s="70"/>
      <c r="J1393" s="71"/>
      <c r="K1393" s="71"/>
      <c r="L1393" s="67"/>
      <c r="N1393" s="71"/>
      <c r="O1393" s="71"/>
      <c r="P1393" s="67"/>
      <c r="R1393" s="67"/>
      <c r="S1393" s="6"/>
      <c r="T1393" s="6"/>
      <c r="U1393" s="6"/>
      <c r="V1393" s="6"/>
      <c r="W1393" s="6"/>
      <c r="X1393" s="6"/>
      <c r="Y1393" s="6"/>
      <c r="Z1393" s="6"/>
      <c r="AA1393" s="6"/>
      <c r="AB1393" s="6"/>
      <c r="AC1393" s="6"/>
      <c r="AD1393" s="6"/>
      <c r="AE1393" s="6"/>
      <c r="AF1393" s="6"/>
      <c r="AG1393" s="6"/>
      <c r="AH1393" s="6"/>
      <c r="AI1393" s="6"/>
      <c r="AJ1393" s="6"/>
      <c r="AK1393" s="6"/>
      <c r="AL1393" s="6"/>
      <c r="AM1393" s="6"/>
      <c r="AN1393" s="6"/>
      <c r="AO1393" s="6"/>
      <c r="AP1393" s="6"/>
      <c r="AQ1393" s="6"/>
      <c r="AR1393" s="6"/>
      <c r="AS1393" s="6"/>
      <c r="AT1393" s="6"/>
      <c r="AU1393" s="6"/>
      <c r="AV1393" s="6"/>
      <c r="AW1393" s="6"/>
      <c r="AX1393" s="6"/>
      <c r="AY1393" s="6"/>
      <c r="AZ1393" s="6"/>
      <c r="BA1393" s="6"/>
      <c r="BB1393" s="6"/>
      <c r="BC1393" s="6"/>
      <c r="BD1393" s="6"/>
      <c r="BE1393" s="6"/>
      <c r="BF1393" s="6"/>
      <c r="BG1393" s="6"/>
      <c r="BH1393" s="6"/>
      <c r="BI1393" s="6"/>
      <c r="BJ1393" s="6"/>
      <c r="BK1393" s="6"/>
      <c r="BL1393" s="6"/>
      <c r="BM1393" s="6"/>
      <c r="BN1393" s="6"/>
      <c r="BO1393" s="6"/>
      <c r="BP1393" s="6"/>
      <c r="BQ1393" s="6"/>
      <c r="BR1393" s="6"/>
      <c r="BS1393" s="6"/>
      <c r="BT1393" s="6"/>
      <c r="BU1393" s="6"/>
      <c r="BV1393" s="6"/>
      <c r="BW1393" s="6"/>
      <c r="BX1393" s="6"/>
      <c r="BY1393" s="6"/>
      <c r="BZ1393" s="6"/>
      <c r="CA1393" s="6"/>
      <c r="CB1393" s="6"/>
      <c r="CC1393" s="6"/>
    </row>
    <row r="1394" spans="2:81" x14ac:dyDescent="0.2">
      <c r="B1394" s="68"/>
      <c r="C1394" s="69"/>
      <c r="D1394" s="70"/>
      <c r="F1394" s="68"/>
      <c r="G1394" s="69"/>
      <c r="H1394" s="70"/>
      <c r="J1394" s="71"/>
      <c r="K1394" s="71"/>
      <c r="L1394" s="67"/>
      <c r="N1394" s="71"/>
      <c r="O1394" s="71"/>
      <c r="P1394" s="67"/>
      <c r="R1394" s="67"/>
      <c r="S1394" s="6"/>
      <c r="T1394" s="6"/>
      <c r="U1394" s="6"/>
      <c r="V1394" s="6"/>
      <c r="W1394" s="6"/>
      <c r="X1394" s="6"/>
      <c r="Y1394" s="6"/>
      <c r="Z1394" s="6"/>
      <c r="AA1394" s="6"/>
      <c r="AB1394" s="6"/>
      <c r="AC1394" s="6"/>
      <c r="AD1394" s="6"/>
      <c r="AE1394" s="6"/>
      <c r="AF1394" s="6"/>
      <c r="AG1394" s="6"/>
      <c r="AH1394" s="6"/>
      <c r="AI1394" s="6"/>
      <c r="AJ1394" s="6"/>
      <c r="AK1394" s="6"/>
      <c r="AL1394" s="6"/>
      <c r="AM1394" s="6"/>
      <c r="AN1394" s="6"/>
      <c r="AO1394" s="6"/>
      <c r="AP1394" s="6"/>
      <c r="AQ1394" s="6"/>
      <c r="AR1394" s="6"/>
      <c r="AS1394" s="6"/>
      <c r="AT1394" s="6"/>
      <c r="AU1394" s="6"/>
      <c r="AV1394" s="6"/>
      <c r="AW1394" s="6"/>
      <c r="AX1394" s="6"/>
      <c r="AY1394" s="6"/>
      <c r="AZ1394" s="6"/>
      <c r="BA1394" s="6"/>
      <c r="BB1394" s="6"/>
      <c r="BC1394" s="6"/>
      <c r="BD1394" s="6"/>
      <c r="BE1394" s="6"/>
      <c r="BF1394" s="6"/>
      <c r="BG1394" s="6"/>
      <c r="BH1394" s="6"/>
      <c r="BI1394" s="6"/>
      <c r="BJ1394" s="6"/>
      <c r="BK1394" s="6"/>
      <c r="BL1394" s="6"/>
      <c r="BM1394" s="6"/>
      <c r="BN1394" s="6"/>
      <c r="BO1394" s="6"/>
      <c r="BP1394" s="6"/>
      <c r="BQ1394" s="6"/>
      <c r="BR1394" s="6"/>
      <c r="BS1394" s="6"/>
      <c r="BT1394" s="6"/>
      <c r="BU1394" s="6"/>
      <c r="BV1394" s="6"/>
      <c r="BW1394" s="6"/>
      <c r="BX1394" s="6"/>
      <c r="BY1394" s="6"/>
      <c r="BZ1394" s="6"/>
      <c r="CA1394" s="6"/>
      <c r="CB1394" s="6"/>
      <c r="CC1394" s="6"/>
    </row>
    <row r="1395" spans="2:81" x14ac:dyDescent="0.2">
      <c r="B1395" s="68"/>
      <c r="C1395" s="69"/>
      <c r="D1395" s="70"/>
      <c r="F1395" s="68"/>
      <c r="G1395" s="69"/>
      <c r="H1395" s="70"/>
      <c r="J1395" s="71"/>
      <c r="K1395" s="71"/>
      <c r="L1395" s="67"/>
      <c r="N1395" s="71"/>
      <c r="O1395" s="71"/>
      <c r="P1395" s="67"/>
      <c r="R1395" s="67"/>
      <c r="S1395" s="6"/>
      <c r="T1395" s="6"/>
      <c r="U1395" s="6"/>
      <c r="V1395" s="6"/>
      <c r="W1395" s="6"/>
      <c r="X1395" s="6"/>
      <c r="Y1395" s="6"/>
      <c r="Z1395" s="6"/>
      <c r="AA1395" s="6"/>
      <c r="AB1395" s="6"/>
      <c r="AC1395" s="6"/>
      <c r="AD1395" s="6"/>
      <c r="AE1395" s="6"/>
      <c r="AF1395" s="6"/>
      <c r="AG1395" s="6"/>
      <c r="AH1395" s="6"/>
      <c r="AI1395" s="6"/>
      <c r="AJ1395" s="6"/>
      <c r="AK1395" s="6"/>
      <c r="AL1395" s="6"/>
      <c r="AM1395" s="6"/>
      <c r="AN1395" s="6"/>
      <c r="AO1395" s="6"/>
      <c r="AP1395" s="6"/>
      <c r="AQ1395" s="6"/>
      <c r="AR1395" s="6"/>
      <c r="AS1395" s="6"/>
      <c r="AT1395" s="6"/>
      <c r="AU1395" s="6"/>
      <c r="AV1395" s="6"/>
      <c r="AW1395" s="6"/>
      <c r="AX1395" s="6"/>
      <c r="AY1395" s="6"/>
      <c r="AZ1395" s="6"/>
      <c r="BA1395" s="6"/>
      <c r="BB1395" s="6"/>
      <c r="BC1395" s="6"/>
      <c r="BD1395" s="6"/>
      <c r="BE1395" s="6"/>
      <c r="BF1395" s="6"/>
      <c r="BG1395" s="6"/>
      <c r="BH1395" s="6"/>
      <c r="BI1395" s="6"/>
      <c r="BJ1395" s="6"/>
      <c r="BK1395" s="6"/>
      <c r="BL1395" s="6"/>
      <c r="BM1395" s="6"/>
      <c r="BN1395" s="6"/>
      <c r="BO1395" s="6"/>
      <c r="BP1395" s="6"/>
      <c r="BQ1395" s="6"/>
      <c r="BR1395" s="6"/>
      <c r="BS1395" s="6"/>
      <c r="BT1395" s="6"/>
      <c r="BU1395" s="6"/>
      <c r="BV1395" s="6"/>
      <c r="BW1395" s="6"/>
      <c r="BX1395" s="6"/>
      <c r="BY1395" s="6"/>
      <c r="BZ1395" s="6"/>
      <c r="CA1395" s="6"/>
      <c r="CB1395" s="6"/>
      <c r="CC1395" s="6"/>
    </row>
    <row r="1396" spans="2:81" x14ac:dyDescent="0.2">
      <c r="B1396" s="68"/>
      <c r="C1396" s="69"/>
      <c r="D1396" s="70"/>
      <c r="F1396" s="68"/>
      <c r="G1396" s="69"/>
      <c r="H1396" s="70"/>
      <c r="J1396" s="71"/>
      <c r="K1396" s="71"/>
      <c r="L1396" s="67"/>
      <c r="N1396" s="71"/>
      <c r="O1396" s="71"/>
      <c r="P1396" s="67"/>
      <c r="R1396" s="67"/>
      <c r="S1396" s="6"/>
      <c r="T1396" s="6"/>
      <c r="U1396" s="6"/>
      <c r="V1396" s="6"/>
      <c r="W1396" s="6"/>
      <c r="X1396" s="6"/>
      <c r="Y1396" s="6"/>
      <c r="Z1396" s="6"/>
      <c r="AA1396" s="6"/>
      <c r="AB1396" s="6"/>
      <c r="AC1396" s="6"/>
      <c r="AD1396" s="6"/>
      <c r="AE1396" s="6"/>
      <c r="AF1396" s="6"/>
      <c r="AG1396" s="6"/>
      <c r="AH1396" s="6"/>
      <c r="AI1396" s="6"/>
      <c r="AJ1396" s="6"/>
      <c r="AK1396" s="6"/>
      <c r="AL1396" s="6"/>
      <c r="AM1396" s="6"/>
      <c r="AN1396" s="6"/>
      <c r="AO1396" s="6"/>
      <c r="AP1396" s="6"/>
      <c r="AQ1396" s="6"/>
      <c r="AR1396" s="6"/>
      <c r="AS1396" s="6"/>
      <c r="AT1396" s="6"/>
      <c r="AU1396" s="6"/>
      <c r="AV1396" s="6"/>
      <c r="AW1396" s="6"/>
      <c r="AX1396" s="6"/>
      <c r="AY1396" s="6"/>
      <c r="AZ1396" s="6"/>
      <c r="BA1396" s="6"/>
      <c r="BB1396" s="6"/>
      <c r="BC1396" s="6"/>
      <c r="BD1396" s="6"/>
      <c r="BE1396" s="6"/>
      <c r="BF1396" s="6"/>
      <c r="BG1396" s="6"/>
      <c r="BH1396" s="6"/>
      <c r="BI1396" s="6"/>
      <c r="BJ1396" s="6"/>
      <c r="BK1396" s="6"/>
      <c r="BL1396" s="6"/>
      <c r="BM1396" s="6"/>
      <c r="BN1396" s="6"/>
      <c r="BO1396" s="6"/>
      <c r="BP1396" s="6"/>
      <c r="BQ1396" s="6"/>
      <c r="BR1396" s="6"/>
      <c r="BS1396" s="6"/>
      <c r="BT1396" s="6"/>
      <c r="BU1396" s="6"/>
      <c r="BV1396" s="6"/>
      <c r="BW1396" s="6"/>
      <c r="BX1396" s="6"/>
      <c r="BY1396" s="6"/>
      <c r="BZ1396" s="6"/>
      <c r="CA1396" s="6"/>
      <c r="CB1396" s="6"/>
      <c r="CC1396" s="6"/>
    </row>
    <row r="1397" spans="2:81" x14ac:dyDescent="0.2">
      <c r="B1397" s="68"/>
      <c r="C1397" s="69"/>
      <c r="D1397" s="70"/>
      <c r="F1397" s="68"/>
      <c r="G1397" s="69"/>
      <c r="H1397" s="70"/>
      <c r="J1397" s="71"/>
      <c r="K1397" s="71"/>
      <c r="L1397" s="67"/>
      <c r="N1397" s="71"/>
      <c r="O1397" s="71"/>
      <c r="P1397" s="67"/>
      <c r="R1397" s="67"/>
      <c r="S1397" s="6"/>
      <c r="T1397" s="6"/>
      <c r="U1397" s="6"/>
      <c r="V1397" s="6"/>
      <c r="W1397" s="6"/>
      <c r="X1397" s="6"/>
      <c r="Y1397" s="6"/>
      <c r="Z1397" s="6"/>
      <c r="AA1397" s="6"/>
      <c r="AB1397" s="6"/>
      <c r="AC1397" s="6"/>
      <c r="AD1397" s="6"/>
      <c r="AE1397" s="6"/>
      <c r="AF1397" s="6"/>
      <c r="AG1397" s="6"/>
      <c r="AH1397" s="6"/>
      <c r="AI1397" s="6"/>
      <c r="AJ1397" s="6"/>
      <c r="AK1397" s="6"/>
      <c r="AL1397" s="6"/>
      <c r="AM1397" s="6"/>
      <c r="AN1397" s="6"/>
      <c r="AO1397" s="6"/>
      <c r="AP1397" s="6"/>
      <c r="AQ1397" s="6"/>
      <c r="AR1397" s="6"/>
      <c r="AS1397" s="6"/>
      <c r="AT1397" s="6"/>
      <c r="AU1397" s="6"/>
      <c r="AV1397" s="6"/>
      <c r="AW1397" s="6"/>
      <c r="AX1397" s="6"/>
      <c r="AY1397" s="6"/>
      <c r="AZ1397" s="6"/>
      <c r="BA1397" s="6"/>
      <c r="BB1397" s="6"/>
      <c r="BC1397" s="6"/>
      <c r="BD1397" s="6"/>
      <c r="BE1397" s="6"/>
      <c r="BF1397" s="6"/>
      <c r="BG1397" s="6"/>
      <c r="BH1397" s="6"/>
      <c r="BI1397" s="6"/>
      <c r="BJ1397" s="6"/>
      <c r="BK1397" s="6"/>
      <c r="BL1397" s="6"/>
      <c r="BM1397" s="6"/>
      <c r="BN1397" s="6"/>
      <c r="BO1397" s="6"/>
      <c r="BP1397" s="6"/>
      <c r="BQ1397" s="6"/>
      <c r="BR1397" s="6"/>
      <c r="BS1397" s="6"/>
      <c r="BT1397" s="6"/>
      <c r="BU1397" s="6"/>
      <c r="BV1397" s="6"/>
      <c r="BW1397" s="6"/>
      <c r="BX1397" s="6"/>
      <c r="BY1397" s="6"/>
      <c r="BZ1397" s="6"/>
      <c r="CA1397" s="6"/>
      <c r="CB1397" s="6"/>
      <c r="CC1397" s="6"/>
    </row>
    <row r="1398" spans="2:81" x14ac:dyDescent="0.2">
      <c r="B1398" s="68"/>
      <c r="C1398" s="69"/>
      <c r="D1398" s="70"/>
      <c r="F1398" s="68"/>
      <c r="G1398" s="69"/>
      <c r="H1398" s="70"/>
      <c r="J1398" s="71"/>
      <c r="K1398" s="71"/>
      <c r="L1398" s="67"/>
      <c r="N1398" s="71"/>
      <c r="O1398" s="71"/>
      <c r="P1398" s="67"/>
      <c r="R1398" s="67"/>
      <c r="S1398" s="6"/>
      <c r="T1398" s="6"/>
      <c r="U1398" s="6"/>
      <c r="V1398" s="6"/>
      <c r="W1398" s="6"/>
      <c r="X1398" s="6"/>
      <c r="Y1398" s="6"/>
      <c r="Z1398" s="6"/>
      <c r="AA1398" s="6"/>
      <c r="AB1398" s="6"/>
      <c r="AC1398" s="6"/>
      <c r="AD1398" s="6"/>
      <c r="AE1398" s="6"/>
      <c r="AF1398" s="6"/>
      <c r="AG1398" s="6"/>
      <c r="AH1398" s="6"/>
      <c r="AI1398" s="6"/>
      <c r="AJ1398" s="6"/>
      <c r="AK1398" s="6"/>
      <c r="AL1398" s="6"/>
      <c r="AM1398" s="6"/>
      <c r="AN1398" s="6"/>
      <c r="AO1398" s="6"/>
      <c r="AP1398" s="6"/>
      <c r="AQ1398" s="6"/>
      <c r="AR1398" s="6"/>
      <c r="AS1398" s="6"/>
      <c r="AT1398" s="6"/>
      <c r="AU1398" s="6"/>
      <c r="AV1398" s="6"/>
      <c r="AW1398" s="6"/>
      <c r="AX1398" s="6"/>
      <c r="AY1398" s="6"/>
      <c r="AZ1398" s="6"/>
      <c r="BA1398" s="6"/>
      <c r="BB1398" s="6"/>
      <c r="BC1398" s="6"/>
      <c r="BD1398" s="6"/>
      <c r="BE1398" s="6"/>
      <c r="BF1398" s="6"/>
      <c r="BG1398" s="6"/>
      <c r="BH1398" s="6"/>
      <c r="BI1398" s="6"/>
      <c r="BJ1398" s="6"/>
      <c r="BK1398" s="6"/>
      <c r="BL1398" s="6"/>
      <c r="BM1398" s="6"/>
      <c r="BN1398" s="6"/>
      <c r="BO1398" s="6"/>
      <c r="BP1398" s="6"/>
      <c r="BQ1398" s="6"/>
      <c r="BR1398" s="6"/>
      <c r="BS1398" s="6"/>
      <c r="BT1398" s="6"/>
      <c r="BU1398" s="6"/>
      <c r="BV1398" s="6"/>
      <c r="BW1398" s="6"/>
      <c r="BX1398" s="6"/>
      <c r="BY1398" s="6"/>
      <c r="BZ1398" s="6"/>
      <c r="CA1398" s="6"/>
      <c r="CB1398" s="6"/>
      <c r="CC1398" s="6"/>
    </row>
    <row r="1399" spans="2:81" x14ac:dyDescent="0.2">
      <c r="B1399" s="68"/>
      <c r="C1399" s="69"/>
      <c r="D1399" s="70"/>
      <c r="F1399" s="68"/>
      <c r="G1399" s="69"/>
      <c r="H1399" s="70"/>
      <c r="J1399" s="71"/>
      <c r="K1399" s="71"/>
      <c r="L1399" s="67"/>
      <c r="N1399" s="71"/>
      <c r="O1399" s="71"/>
      <c r="P1399" s="67"/>
      <c r="R1399" s="67"/>
      <c r="S1399" s="6"/>
      <c r="T1399" s="6"/>
      <c r="U1399" s="6"/>
      <c r="V1399" s="6"/>
      <c r="W1399" s="6"/>
      <c r="X1399" s="6"/>
      <c r="Y1399" s="6"/>
      <c r="Z1399" s="6"/>
      <c r="AA1399" s="6"/>
      <c r="AB1399" s="6"/>
      <c r="AC1399" s="6"/>
      <c r="AD1399" s="6"/>
      <c r="AE1399" s="6"/>
      <c r="AF1399" s="6"/>
      <c r="AG1399" s="6"/>
      <c r="AH1399" s="6"/>
      <c r="AI1399" s="6"/>
      <c r="AJ1399" s="6"/>
      <c r="AK1399" s="6"/>
      <c r="AL1399" s="6"/>
      <c r="AM1399" s="6"/>
      <c r="AN1399" s="6"/>
      <c r="AO1399" s="6"/>
      <c r="AP1399" s="6"/>
      <c r="AQ1399" s="6"/>
      <c r="AR1399" s="6"/>
      <c r="AS1399" s="6"/>
      <c r="AT1399" s="6"/>
      <c r="AU1399" s="6"/>
      <c r="AV1399" s="6"/>
      <c r="AW1399" s="6"/>
      <c r="AX1399" s="6"/>
      <c r="AY1399" s="6"/>
      <c r="AZ1399" s="6"/>
      <c r="BA1399" s="6"/>
      <c r="BB1399" s="6"/>
      <c r="BC1399" s="6"/>
      <c r="BD1399" s="6"/>
      <c r="BE1399" s="6"/>
      <c r="BF1399" s="6"/>
      <c r="BG1399" s="6"/>
      <c r="BH1399" s="6"/>
      <c r="BI1399" s="6"/>
      <c r="BJ1399" s="6"/>
      <c r="BK1399" s="6"/>
      <c r="BL1399" s="6"/>
      <c r="BM1399" s="6"/>
      <c r="BN1399" s="6"/>
      <c r="BO1399" s="6"/>
      <c r="BP1399" s="6"/>
      <c r="BQ1399" s="6"/>
      <c r="BR1399" s="6"/>
      <c r="BS1399" s="6"/>
      <c r="BT1399" s="6"/>
      <c r="BU1399" s="6"/>
      <c r="BV1399" s="6"/>
      <c r="BW1399" s="6"/>
      <c r="BX1399" s="6"/>
      <c r="BY1399" s="6"/>
      <c r="BZ1399" s="6"/>
      <c r="CA1399" s="6"/>
      <c r="CB1399" s="6"/>
      <c r="CC1399" s="6"/>
    </row>
    <row r="1400" spans="2:81" x14ac:dyDescent="0.2">
      <c r="B1400" s="68"/>
      <c r="C1400" s="69"/>
      <c r="D1400" s="70"/>
      <c r="F1400" s="68"/>
      <c r="G1400" s="69"/>
      <c r="H1400" s="70"/>
      <c r="J1400" s="71"/>
      <c r="K1400" s="71"/>
      <c r="L1400" s="67"/>
      <c r="N1400" s="71"/>
      <c r="O1400" s="71"/>
      <c r="P1400" s="67"/>
      <c r="R1400" s="67"/>
      <c r="S1400" s="6"/>
      <c r="T1400" s="6"/>
      <c r="U1400" s="6"/>
      <c r="V1400" s="6"/>
      <c r="W1400" s="6"/>
      <c r="X1400" s="6"/>
      <c r="Y1400" s="6"/>
      <c r="Z1400" s="6"/>
      <c r="AA1400" s="6"/>
      <c r="AB1400" s="6"/>
      <c r="AC1400" s="6"/>
      <c r="AD1400" s="6"/>
      <c r="AE1400" s="6"/>
      <c r="AF1400" s="6"/>
      <c r="AG1400" s="6"/>
      <c r="AH1400" s="6"/>
      <c r="AI1400" s="6"/>
      <c r="AJ1400" s="6"/>
      <c r="AK1400" s="6"/>
      <c r="AL1400" s="6"/>
      <c r="AM1400" s="6"/>
      <c r="AN1400" s="6"/>
      <c r="AO1400" s="6"/>
      <c r="AP1400" s="6"/>
      <c r="AQ1400" s="6"/>
      <c r="AR1400" s="6"/>
      <c r="AS1400" s="6"/>
      <c r="AT1400" s="6"/>
      <c r="AU1400" s="6"/>
      <c r="AV1400" s="6"/>
      <c r="AW1400" s="6"/>
      <c r="AX1400" s="6"/>
      <c r="AY1400" s="6"/>
      <c r="AZ1400" s="6"/>
      <c r="BA1400" s="6"/>
      <c r="BB1400" s="6"/>
      <c r="BC1400" s="6"/>
      <c r="BD1400" s="6"/>
      <c r="BE1400" s="6"/>
      <c r="BF1400" s="6"/>
      <c r="BG1400" s="6"/>
      <c r="BH1400" s="6"/>
      <c r="BI1400" s="6"/>
      <c r="BJ1400" s="6"/>
      <c r="BK1400" s="6"/>
      <c r="BL1400" s="6"/>
      <c r="BM1400" s="6"/>
      <c r="BN1400" s="6"/>
      <c r="BO1400" s="6"/>
      <c r="BP1400" s="6"/>
      <c r="BQ1400" s="6"/>
      <c r="BR1400" s="6"/>
      <c r="BS1400" s="6"/>
      <c r="BT1400" s="6"/>
      <c r="BU1400" s="6"/>
      <c r="BV1400" s="6"/>
      <c r="BW1400" s="6"/>
      <c r="BX1400" s="6"/>
      <c r="BY1400" s="6"/>
      <c r="BZ1400" s="6"/>
      <c r="CA1400" s="6"/>
      <c r="CB1400" s="6"/>
      <c r="CC1400" s="6"/>
    </row>
    <row r="1401" spans="2:81" x14ac:dyDescent="0.2">
      <c r="B1401" s="68"/>
      <c r="C1401" s="69"/>
      <c r="D1401" s="70"/>
      <c r="F1401" s="68"/>
      <c r="G1401" s="69"/>
      <c r="H1401" s="70"/>
      <c r="J1401" s="71"/>
      <c r="K1401" s="71"/>
      <c r="L1401" s="67"/>
      <c r="N1401" s="71"/>
      <c r="O1401" s="71"/>
      <c r="P1401" s="67"/>
      <c r="R1401" s="67"/>
      <c r="S1401" s="6"/>
      <c r="T1401" s="6"/>
      <c r="U1401" s="6"/>
      <c r="V1401" s="6"/>
      <c r="W1401" s="6"/>
      <c r="X1401" s="6"/>
      <c r="Y1401" s="6"/>
      <c r="Z1401" s="6"/>
      <c r="AA1401" s="6"/>
      <c r="AB1401" s="6"/>
      <c r="AC1401" s="6"/>
      <c r="AD1401" s="6"/>
      <c r="AE1401" s="6"/>
      <c r="AF1401" s="6"/>
      <c r="AG1401" s="6"/>
      <c r="AH1401" s="6"/>
      <c r="AI1401" s="6"/>
      <c r="AJ1401" s="6"/>
      <c r="AK1401" s="6"/>
      <c r="AL1401" s="6"/>
      <c r="AM1401" s="6"/>
      <c r="AN1401" s="6"/>
      <c r="AO1401" s="6"/>
      <c r="AP1401" s="6"/>
      <c r="AQ1401" s="6"/>
      <c r="AR1401" s="6"/>
      <c r="AS1401" s="6"/>
      <c r="AT1401" s="6"/>
      <c r="AU1401" s="6"/>
      <c r="AV1401" s="6"/>
      <c r="AW1401" s="6"/>
      <c r="AX1401" s="6"/>
      <c r="AY1401" s="6"/>
      <c r="AZ1401" s="6"/>
      <c r="BA1401" s="6"/>
      <c r="BB1401" s="6"/>
      <c r="BC1401" s="6"/>
      <c r="BD1401" s="6"/>
      <c r="BE1401" s="6"/>
      <c r="BF1401" s="6"/>
      <c r="BG1401" s="6"/>
      <c r="BH1401" s="6"/>
      <c r="BI1401" s="6"/>
      <c r="BJ1401" s="6"/>
      <c r="BK1401" s="6"/>
      <c r="BL1401" s="6"/>
      <c r="BM1401" s="6"/>
      <c r="BN1401" s="6"/>
      <c r="BO1401" s="6"/>
      <c r="BP1401" s="6"/>
      <c r="BQ1401" s="6"/>
      <c r="BR1401" s="6"/>
      <c r="BS1401" s="6"/>
      <c r="BT1401" s="6"/>
      <c r="BU1401" s="6"/>
      <c r="BV1401" s="6"/>
      <c r="BW1401" s="6"/>
      <c r="BX1401" s="6"/>
      <c r="BY1401" s="6"/>
      <c r="BZ1401" s="6"/>
      <c r="CA1401" s="6"/>
      <c r="CB1401" s="6"/>
      <c r="CC1401" s="6"/>
    </row>
    <row r="1402" spans="2:81" x14ac:dyDescent="0.2">
      <c r="B1402" s="68"/>
      <c r="C1402" s="69"/>
      <c r="D1402" s="70"/>
      <c r="F1402" s="68"/>
      <c r="G1402" s="69"/>
      <c r="H1402" s="70"/>
      <c r="J1402" s="71"/>
      <c r="K1402" s="71"/>
      <c r="L1402" s="67"/>
      <c r="N1402" s="71"/>
      <c r="O1402" s="71"/>
      <c r="P1402" s="67"/>
      <c r="R1402" s="67"/>
      <c r="S1402" s="6"/>
      <c r="T1402" s="6"/>
      <c r="U1402" s="6"/>
      <c r="V1402" s="6"/>
      <c r="W1402" s="6"/>
      <c r="X1402" s="6"/>
      <c r="Y1402" s="6"/>
      <c r="Z1402" s="6"/>
      <c r="AA1402" s="6"/>
      <c r="AB1402" s="6"/>
      <c r="AC1402" s="6"/>
      <c r="AD1402" s="6"/>
      <c r="AE1402" s="6"/>
      <c r="AF1402" s="6"/>
      <c r="AG1402" s="6"/>
      <c r="AH1402" s="6"/>
      <c r="AI1402" s="6"/>
      <c r="AJ1402" s="6"/>
      <c r="AK1402" s="6"/>
      <c r="AL1402" s="6"/>
      <c r="AM1402" s="6"/>
      <c r="AN1402" s="6"/>
      <c r="AO1402" s="6"/>
      <c r="AP1402" s="6"/>
      <c r="AQ1402" s="6"/>
      <c r="AR1402" s="6"/>
      <c r="AS1402" s="6"/>
      <c r="AT1402" s="6"/>
      <c r="AU1402" s="6"/>
      <c r="AV1402" s="6"/>
      <c r="AW1402" s="6"/>
      <c r="AX1402" s="6"/>
      <c r="AY1402" s="6"/>
      <c r="AZ1402" s="6"/>
      <c r="BA1402" s="6"/>
      <c r="BB1402" s="6"/>
      <c r="BC1402" s="6"/>
      <c r="BD1402" s="6"/>
      <c r="BE1402" s="6"/>
      <c r="BF1402" s="6"/>
      <c r="BG1402" s="6"/>
      <c r="BH1402" s="6"/>
      <c r="BI1402" s="6"/>
      <c r="BJ1402" s="6"/>
      <c r="BK1402" s="6"/>
      <c r="BL1402" s="6"/>
      <c r="BM1402" s="6"/>
      <c r="BN1402" s="6"/>
      <c r="BO1402" s="6"/>
      <c r="BP1402" s="6"/>
      <c r="BQ1402" s="6"/>
      <c r="BR1402" s="6"/>
      <c r="BS1402" s="6"/>
      <c r="BT1402" s="6"/>
      <c r="BU1402" s="6"/>
      <c r="BV1402" s="6"/>
      <c r="BW1402" s="6"/>
      <c r="BX1402" s="6"/>
      <c r="BY1402" s="6"/>
      <c r="BZ1402" s="6"/>
      <c r="CA1402" s="6"/>
      <c r="CB1402" s="6"/>
      <c r="CC1402" s="6"/>
    </row>
    <row r="1403" spans="2:81" x14ac:dyDescent="0.2">
      <c r="B1403" s="68"/>
      <c r="C1403" s="69"/>
      <c r="D1403" s="70"/>
      <c r="F1403" s="68"/>
      <c r="G1403" s="69"/>
      <c r="H1403" s="70"/>
      <c r="J1403" s="71"/>
      <c r="K1403" s="71"/>
      <c r="L1403" s="67"/>
      <c r="N1403" s="71"/>
      <c r="O1403" s="71"/>
      <c r="P1403" s="67"/>
      <c r="R1403" s="67"/>
      <c r="S1403" s="6"/>
      <c r="T1403" s="6"/>
      <c r="U1403" s="6"/>
      <c r="V1403" s="6"/>
      <c r="W1403" s="6"/>
      <c r="X1403" s="6"/>
      <c r="Y1403" s="6"/>
      <c r="Z1403" s="6"/>
      <c r="AA1403" s="6"/>
      <c r="AB1403" s="6"/>
      <c r="AC1403" s="6"/>
      <c r="AD1403" s="6"/>
      <c r="AE1403" s="6"/>
      <c r="AF1403" s="6"/>
      <c r="AG1403" s="6"/>
      <c r="AH1403" s="6"/>
      <c r="AI1403" s="6"/>
      <c r="AJ1403" s="6"/>
      <c r="AK1403" s="6"/>
      <c r="AL1403" s="6"/>
      <c r="AM1403" s="6"/>
      <c r="AN1403" s="6"/>
      <c r="AO1403" s="6"/>
      <c r="AP1403" s="6"/>
      <c r="AQ1403" s="6"/>
      <c r="AR1403" s="6"/>
      <c r="AS1403" s="6"/>
      <c r="AT1403" s="6"/>
      <c r="AU1403" s="6"/>
      <c r="AV1403" s="6"/>
      <c r="AW1403" s="6"/>
      <c r="AX1403" s="6"/>
      <c r="AY1403" s="6"/>
      <c r="AZ1403" s="6"/>
      <c r="BA1403" s="6"/>
      <c r="BB1403" s="6"/>
      <c r="BC1403" s="6"/>
      <c r="BD1403" s="6"/>
      <c r="BE1403" s="6"/>
      <c r="BF1403" s="6"/>
      <c r="BG1403" s="6"/>
      <c r="BH1403" s="6"/>
      <c r="BI1403" s="6"/>
      <c r="BJ1403" s="6"/>
      <c r="BK1403" s="6"/>
      <c r="BL1403" s="6"/>
      <c r="BM1403" s="6"/>
      <c r="BN1403" s="6"/>
      <c r="BO1403" s="6"/>
      <c r="BP1403" s="6"/>
      <c r="BQ1403" s="6"/>
      <c r="BR1403" s="6"/>
      <c r="BS1403" s="6"/>
      <c r="BT1403" s="6"/>
      <c r="BU1403" s="6"/>
      <c r="BV1403" s="6"/>
      <c r="BW1403" s="6"/>
      <c r="BX1403" s="6"/>
      <c r="BY1403" s="6"/>
      <c r="BZ1403" s="6"/>
      <c r="CA1403" s="6"/>
      <c r="CB1403" s="6"/>
      <c r="CC1403" s="6"/>
    </row>
    <row r="1404" spans="2:81" x14ac:dyDescent="0.2">
      <c r="B1404" s="68"/>
      <c r="C1404" s="69"/>
      <c r="D1404" s="70"/>
      <c r="F1404" s="68"/>
      <c r="G1404" s="69"/>
      <c r="H1404" s="70"/>
      <c r="J1404" s="71"/>
      <c r="K1404" s="71"/>
      <c r="L1404" s="67"/>
      <c r="N1404" s="71"/>
      <c r="O1404" s="71"/>
      <c r="P1404" s="67"/>
      <c r="R1404" s="67"/>
      <c r="S1404" s="6"/>
      <c r="T1404" s="6"/>
      <c r="U1404" s="6"/>
      <c r="V1404" s="6"/>
      <c r="W1404" s="6"/>
      <c r="X1404" s="6"/>
      <c r="Y1404" s="6"/>
      <c r="Z1404" s="6"/>
      <c r="AA1404" s="6"/>
      <c r="AB1404" s="6"/>
      <c r="AC1404" s="6"/>
      <c r="AD1404" s="6"/>
      <c r="AE1404" s="6"/>
      <c r="AF1404" s="6"/>
      <c r="AG1404" s="6"/>
      <c r="AH1404" s="6"/>
      <c r="AI1404" s="6"/>
      <c r="AJ1404" s="6"/>
      <c r="AK1404" s="6"/>
      <c r="AL1404" s="6"/>
      <c r="AM1404" s="6"/>
      <c r="AN1404" s="6"/>
      <c r="AO1404" s="6"/>
      <c r="AP1404" s="6"/>
      <c r="AQ1404" s="6"/>
      <c r="AR1404" s="6"/>
      <c r="AS1404" s="6"/>
      <c r="AT1404" s="6"/>
      <c r="AU1404" s="6"/>
      <c r="AV1404" s="6"/>
      <c r="AW1404" s="6"/>
      <c r="AX1404" s="6"/>
      <c r="AY1404" s="6"/>
      <c r="AZ1404" s="6"/>
      <c r="BA1404" s="6"/>
      <c r="BB1404" s="6"/>
      <c r="BC1404" s="6"/>
      <c r="BD1404" s="6"/>
      <c r="BE1404" s="6"/>
      <c r="BF1404" s="6"/>
      <c r="BG1404" s="6"/>
      <c r="BH1404" s="6"/>
      <c r="BI1404" s="6"/>
      <c r="BJ1404" s="6"/>
      <c r="BK1404" s="6"/>
      <c r="BL1404" s="6"/>
      <c r="BM1404" s="6"/>
      <c r="BN1404" s="6"/>
      <c r="BO1404" s="6"/>
      <c r="BP1404" s="6"/>
      <c r="BQ1404" s="6"/>
      <c r="BR1404" s="6"/>
      <c r="BS1404" s="6"/>
      <c r="BT1404" s="6"/>
      <c r="BU1404" s="6"/>
      <c r="BV1404" s="6"/>
      <c r="BW1404" s="6"/>
      <c r="BX1404" s="6"/>
      <c r="BY1404" s="6"/>
      <c r="BZ1404" s="6"/>
      <c r="CA1404" s="6"/>
      <c r="CB1404" s="6"/>
      <c r="CC1404" s="6"/>
    </row>
    <row r="1405" spans="2:81" x14ac:dyDescent="0.2">
      <c r="B1405" s="68"/>
      <c r="C1405" s="69"/>
      <c r="D1405" s="70"/>
      <c r="F1405" s="68"/>
      <c r="G1405" s="69"/>
      <c r="H1405" s="70"/>
      <c r="J1405" s="71"/>
      <c r="K1405" s="71"/>
      <c r="L1405" s="67"/>
      <c r="N1405" s="71"/>
      <c r="O1405" s="71"/>
      <c r="P1405" s="67"/>
      <c r="R1405" s="67"/>
      <c r="S1405" s="6"/>
      <c r="T1405" s="6"/>
      <c r="U1405" s="6"/>
      <c r="V1405" s="6"/>
      <c r="W1405" s="6"/>
      <c r="X1405" s="6"/>
      <c r="Y1405" s="6"/>
      <c r="Z1405" s="6"/>
      <c r="AA1405" s="6"/>
      <c r="AB1405" s="6"/>
      <c r="AC1405" s="6"/>
      <c r="AD1405" s="6"/>
      <c r="AE1405" s="6"/>
      <c r="AF1405" s="6"/>
      <c r="AG1405" s="6"/>
      <c r="AH1405" s="6"/>
      <c r="AI1405" s="6"/>
      <c r="AJ1405" s="6"/>
      <c r="AK1405" s="6"/>
      <c r="AL1405" s="6"/>
      <c r="AM1405" s="6"/>
      <c r="AN1405" s="6"/>
      <c r="AO1405" s="6"/>
      <c r="AP1405" s="6"/>
      <c r="AQ1405" s="6"/>
      <c r="AR1405" s="6"/>
      <c r="AS1405" s="6"/>
      <c r="AT1405" s="6"/>
      <c r="AU1405" s="6"/>
      <c r="AV1405" s="6"/>
      <c r="AW1405" s="6"/>
      <c r="AX1405" s="6"/>
      <c r="AY1405" s="6"/>
      <c r="AZ1405" s="6"/>
      <c r="BA1405" s="6"/>
      <c r="BB1405" s="6"/>
      <c r="BC1405" s="6"/>
      <c r="BD1405" s="6"/>
      <c r="BE1405" s="6"/>
      <c r="BF1405" s="6"/>
      <c r="BG1405" s="6"/>
      <c r="BH1405" s="6"/>
      <c r="BI1405" s="6"/>
      <c r="BJ1405" s="6"/>
      <c r="BK1405" s="6"/>
      <c r="BL1405" s="6"/>
      <c r="BM1405" s="6"/>
      <c r="BN1405" s="6"/>
      <c r="BO1405" s="6"/>
      <c r="BP1405" s="6"/>
      <c r="BQ1405" s="6"/>
      <c r="BR1405" s="6"/>
      <c r="BS1405" s="6"/>
      <c r="BT1405" s="6"/>
      <c r="BU1405" s="6"/>
      <c r="BV1405" s="6"/>
      <c r="BW1405" s="6"/>
      <c r="BX1405" s="6"/>
      <c r="BY1405" s="6"/>
      <c r="BZ1405" s="6"/>
      <c r="CA1405" s="6"/>
      <c r="CB1405" s="6"/>
      <c r="CC1405" s="6"/>
    </row>
    <row r="1406" spans="2:81" x14ac:dyDescent="0.2">
      <c r="B1406" s="68"/>
      <c r="C1406" s="69"/>
      <c r="D1406" s="70"/>
      <c r="F1406" s="68"/>
      <c r="G1406" s="69"/>
      <c r="H1406" s="70"/>
      <c r="J1406" s="71"/>
      <c r="K1406" s="71"/>
      <c r="L1406" s="67"/>
      <c r="N1406" s="71"/>
      <c r="O1406" s="71"/>
      <c r="P1406" s="67"/>
      <c r="R1406" s="67"/>
      <c r="S1406" s="6"/>
      <c r="T1406" s="6"/>
      <c r="U1406" s="6"/>
      <c r="V1406" s="6"/>
      <c r="W1406" s="6"/>
      <c r="X1406" s="6"/>
      <c r="Y1406" s="6"/>
      <c r="Z1406" s="6"/>
      <c r="AA1406" s="6"/>
      <c r="AB1406" s="6"/>
      <c r="AC1406" s="6"/>
      <c r="AD1406" s="6"/>
      <c r="AE1406" s="6"/>
      <c r="AF1406" s="6"/>
      <c r="AG1406" s="6"/>
      <c r="AH1406" s="6"/>
      <c r="AI1406" s="6"/>
      <c r="AJ1406" s="6"/>
      <c r="AK1406" s="6"/>
      <c r="AL1406" s="6"/>
      <c r="AM1406" s="6"/>
      <c r="AN1406" s="6"/>
      <c r="AO1406" s="6"/>
      <c r="AP1406" s="6"/>
      <c r="AQ1406" s="6"/>
      <c r="AR1406" s="6"/>
      <c r="AS1406" s="6"/>
      <c r="AT1406" s="6"/>
      <c r="AU1406" s="6"/>
      <c r="AV1406" s="6"/>
      <c r="AW1406" s="6"/>
      <c r="AX1406" s="6"/>
      <c r="AY1406" s="6"/>
      <c r="AZ1406" s="6"/>
      <c r="BA1406" s="6"/>
      <c r="BB1406" s="6"/>
      <c r="BC1406" s="6"/>
      <c r="BD1406" s="6"/>
      <c r="BE1406" s="6"/>
      <c r="BF1406" s="6"/>
      <c r="BG1406" s="6"/>
      <c r="BH1406" s="6"/>
      <c r="BI1406" s="6"/>
      <c r="BJ1406" s="6"/>
      <c r="BK1406" s="6"/>
      <c r="BL1406" s="6"/>
      <c r="BM1406" s="6"/>
      <c r="BN1406" s="6"/>
      <c r="BO1406" s="6"/>
      <c r="BP1406" s="6"/>
      <c r="BQ1406" s="6"/>
      <c r="BR1406" s="6"/>
      <c r="BS1406" s="6"/>
      <c r="BT1406" s="6"/>
      <c r="BU1406" s="6"/>
      <c r="BV1406" s="6"/>
      <c r="BW1406" s="6"/>
      <c r="BX1406" s="6"/>
      <c r="BY1406" s="6"/>
      <c r="BZ1406" s="6"/>
      <c r="CA1406" s="6"/>
      <c r="CB1406" s="6"/>
      <c r="CC1406" s="6"/>
    </row>
    <row r="1407" spans="2:81" x14ac:dyDescent="0.2">
      <c r="B1407" s="68"/>
      <c r="C1407" s="69"/>
      <c r="D1407" s="70"/>
      <c r="F1407" s="68"/>
      <c r="G1407" s="69"/>
      <c r="H1407" s="70"/>
      <c r="J1407" s="71"/>
      <c r="K1407" s="71"/>
      <c r="L1407" s="67"/>
      <c r="N1407" s="71"/>
      <c r="O1407" s="71"/>
      <c r="P1407" s="67"/>
      <c r="R1407" s="67"/>
      <c r="S1407" s="6"/>
      <c r="T1407" s="6"/>
      <c r="U1407" s="6"/>
      <c r="V1407" s="6"/>
      <c r="W1407" s="6"/>
      <c r="X1407" s="6"/>
      <c r="Y1407" s="6"/>
      <c r="Z1407" s="6"/>
      <c r="AA1407" s="6"/>
      <c r="AB1407" s="6"/>
      <c r="AC1407" s="6"/>
      <c r="AD1407" s="6"/>
      <c r="AE1407" s="6"/>
      <c r="AF1407" s="6"/>
      <c r="AG1407" s="6"/>
      <c r="AH1407" s="6"/>
      <c r="AI1407" s="6"/>
      <c r="AJ1407" s="6"/>
      <c r="AK1407" s="6"/>
      <c r="AL1407" s="6"/>
      <c r="AM1407" s="6"/>
      <c r="AN1407" s="6"/>
      <c r="AO1407" s="6"/>
      <c r="AP1407" s="6"/>
      <c r="AQ1407" s="6"/>
      <c r="AR1407" s="6"/>
      <c r="AS1407" s="6"/>
      <c r="AT1407" s="6"/>
      <c r="AU1407" s="6"/>
      <c r="AV1407" s="6"/>
      <c r="AW1407" s="6"/>
      <c r="AX1407" s="6"/>
      <c r="AY1407" s="6"/>
      <c r="AZ1407" s="6"/>
      <c r="BA1407" s="6"/>
      <c r="BB1407" s="6"/>
      <c r="BC1407" s="6"/>
      <c r="BD1407" s="6"/>
      <c r="BE1407" s="6"/>
      <c r="BF1407" s="6"/>
      <c r="BG1407" s="6"/>
      <c r="BH1407" s="6"/>
      <c r="BI1407" s="6"/>
      <c r="BJ1407" s="6"/>
      <c r="BK1407" s="6"/>
      <c r="BL1407" s="6"/>
      <c r="BM1407" s="6"/>
      <c r="BN1407" s="6"/>
      <c r="BO1407" s="6"/>
      <c r="BP1407" s="6"/>
      <c r="BQ1407" s="6"/>
      <c r="BR1407" s="6"/>
      <c r="BS1407" s="6"/>
      <c r="BT1407" s="6"/>
      <c r="BU1407" s="6"/>
      <c r="BV1407" s="6"/>
      <c r="BW1407" s="6"/>
      <c r="BX1407" s="6"/>
      <c r="BY1407" s="6"/>
      <c r="BZ1407" s="6"/>
      <c r="CA1407" s="6"/>
      <c r="CB1407" s="6"/>
      <c r="CC1407" s="6"/>
    </row>
    <row r="1408" spans="2:81" x14ac:dyDescent="0.2">
      <c r="B1408" s="68"/>
      <c r="C1408" s="69"/>
      <c r="D1408" s="70"/>
      <c r="F1408" s="68"/>
      <c r="G1408" s="69"/>
      <c r="H1408" s="70"/>
      <c r="J1408" s="71"/>
      <c r="K1408" s="71"/>
      <c r="L1408" s="67"/>
      <c r="N1408" s="71"/>
      <c r="O1408" s="71"/>
      <c r="P1408" s="67"/>
      <c r="R1408" s="67"/>
      <c r="S1408" s="6"/>
      <c r="T1408" s="6"/>
      <c r="U1408" s="6"/>
      <c r="V1408" s="6"/>
      <c r="W1408" s="6"/>
      <c r="X1408" s="6"/>
      <c r="Y1408" s="6"/>
      <c r="Z1408" s="6"/>
      <c r="AA1408" s="6"/>
      <c r="AB1408" s="6"/>
      <c r="AC1408" s="6"/>
      <c r="AD1408" s="6"/>
      <c r="AE1408" s="6"/>
      <c r="AF1408" s="6"/>
      <c r="AG1408" s="6"/>
      <c r="AH1408" s="6"/>
      <c r="AI1408" s="6"/>
      <c r="AJ1408" s="6"/>
      <c r="AK1408" s="6"/>
      <c r="AL1408" s="6"/>
      <c r="AM1408" s="6"/>
      <c r="AN1408" s="6"/>
      <c r="AO1408" s="6"/>
      <c r="AP1408" s="6"/>
      <c r="AQ1408" s="6"/>
      <c r="AR1408" s="6"/>
      <c r="AS1408" s="6"/>
      <c r="AT1408" s="6"/>
      <c r="AU1408" s="6"/>
      <c r="AV1408" s="6"/>
      <c r="AW1408" s="6"/>
      <c r="AX1408" s="6"/>
      <c r="AY1408" s="6"/>
      <c r="AZ1408" s="6"/>
      <c r="BA1408" s="6"/>
      <c r="BB1408" s="6"/>
      <c r="BC1408" s="6"/>
      <c r="BD1408" s="6"/>
      <c r="BE1408" s="6"/>
      <c r="BF1408" s="6"/>
      <c r="BG1408" s="6"/>
      <c r="BH1408" s="6"/>
      <c r="BI1408" s="6"/>
      <c r="BJ1408" s="6"/>
      <c r="BK1408" s="6"/>
      <c r="BL1408" s="6"/>
      <c r="BM1408" s="6"/>
      <c r="BN1408" s="6"/>
      <c r="BO1408" s="6"/>
      <c r="BP1408" s="6"/>
      <c r="BQ1408" s="6"/>
      <c r="BR1408" s="6"/>
      <c r="BS1408" s="6"/>
      <c r="BT1408" s="6"/>
      <c r="BU1408" s="6"/>
      <c r="BV1408" s="6"/>
      <c r="BW1408" s="6"/>
      <c r="BX1408" s="6"/>
      <c r="BY1408" s="6"/>
      <c r="BZ1408" s="6"/>
      <c r="CA1408" s="6"/>
      <c r="CB1408" s="6"/>
      <c r="CC1408" s="6"/>
    </row>
    <row r="1409" spans="2:81" x14ac:dyDescent="0.2">
      <c r="B1409" s="68"/>
      <c r="C1409" s="69"/>
      <c r="D1409" s="70"/>
      <c r="F1409" s="68"/>
      <c r="G1409" s="69"/>
      <c r="H1409" s="70"/>
      <c r="J1409" s="71"/>
      <c r="K1409" s="71"/>
      <c r="L1409" s="67"/>
      <c r="N1409" s="71"/>
      <c r="O1409" s="71"/>
      <c r="P1409" s="67"/>
      <c r="R1409" s="67"/>
      <c r="S1409" s="6"/>
      <c r="T1409" s="6"/>
      <c r="U1409" s="6"/>
      <c r="V1409" s="6"/>
      <c r="W1409" s="6"/>
      <c r="X1409" s="6"/>
      <c r="Y1409" s="6"/>
      <c r="Z1409" s="6"/>
      <c r="AA1409" s="6"/>
      <c r="AB1409" s="6"/>
      <c r="AC1409" s="6"/>
      <c r="AD1409" s="6"/>
      <c r="AE1409" s="6"/>
      <c r="AF1409" s="6"/>
      <c r="AG1409" s="6"/>
      <c r="AH1409" s="6"/>
      <c r="AI1409" s="6"/>
      <c r="AJ1409" s="6"/>
      <c r="AK1409" s="6"/>
      <c r="AL1409" s="6"/>
      <c r="AM1409" s="6"/>
      <c r="AN1409" s="6"/>
      <c r="AO1409" s="6"/>
      <c r="AP1409" s="6"/>
      <c r="AQ1409" s="6"/>
      <c r="AR1409" s="6"/>
      <c r="AS1409" s="6"/>
      <c r="AT1409" s="6"/>
      <c r="AU1409" s="6"/>
      <c r="AV1409" s="6"/>
      <c r="AW1409" s="6"/>
      <c r="AX1409" s="6"/>
      <c r="AY1409" s="6"/>
      <c r="AZ1409" s="6"/>
      <c r="BA1409" s="6"/>
      <c r="BB1409" s="6"/>
      <c r="BC1409" s="6"/>
      <c r="BD1409" s="6"/>
      <c r="BE1409" s="6"/>
      <c r="BF1409" s="6"/>
      <c r="BG1409" s="6"/>
      <c r="BH1409" s="6"/>
      <c r="BI1409" s="6"/>
      <c r="BJ1409" s="6"/>
      <c r="BK1409" s="6"/>
      <c r="BL1409" s="6"/>
      <c r="BM1409" s="6"/>
      <c r="BN1409" s="6"/>
      <c r="BO1409" s="6"/>
      <c r="BP1409" s="6"/>
      <c r="BQ1409" s="6"/>
      <c r="BR1409" s="6"/>
      <c r="BS1409" s="6"/>
      <c r="BT1409" s="6"/>
      <c r="BU1409" s="6"/>
      <c r="BV1409" s="6"/>
      <c r="BW1409" s="6"/>
      <c r="BX1409" s="6"/>
      <c r="BY1409" s="6"/>
      <c r="BZ1409" s="6"/>
      <c r="CA1409" s="6"/>
      <c r="CB1409" s="6"/>
      <c r="CC1409" s="6"/>
    </row>
    <row r="1410" spans="2:81" x14ac:dyDescent="0.2">
      <c r="B1410" s="68"/>
      <c r="C1410" s="69"/>
      <c r="D1410" s="70"/>
      <c r="F1410" s="68"/>
      <c r="G1410" s="69"/>
      <c r="H1410" s="70"/>
      <c r="J1410" s="71"/>
      <c r="K1410" s="71"/>
      <c r="L1410" s="67"/>
      <c r="N1410" s="71"/>
      <c r="O1410" s="71"/>
      <c r="P1410" s="67"/>
      <c r="R1410" s="67"/>
      <c r="S1410" s="6"/>
      <c r="T1410" s="6"/>
      <c r="U1410" s="6"/>
      <c r="V1410" s="6"/>
      <c r="W1410" s="6"/>
      <c r="X1410" s="6"/>
      <c r="Y1410" s="6"/>
      <c r="Z1410" s="6"/>
      <c r="AA1410" s="6"/>
      <c r="AB1410" s="6"/>
      <c r="AC1410" s="6"/>
      <c r="AD1410" s="6"/>
      <c r="AE1410" s="6"/>
      <c r="AF1410" s="6"/>
      <c r="AG1410" s="6"/>
      <c r="AH1410" s="6"/>
      <c r="AI1410" s="6"/>
      <c r="AJ1410" s="6"/>
      <c r="AK1410" s="6"/>
      <c r="AL1410" s="6"/>
      <c r="AM1410" s="6"/>
      <c r="AN1410" s="6"/>
      <c r="AO1410" s="6"/>
      <c r="AP1410" s="6"/>
      <c r="AQ1410" s="6"/>
      <c r="AR1410" s="6"/>
      <c r="AS1410" s="6"/>
      <c r="AT1410" s="6"/>
      <c r="AU1410" s="6"/>
      <c r="AV1410" s="6"/>
      <c r="AW1410" s="6"/>
      <c r="AX1410" s="6"/>
      <c r="AY1410" s="6"/>
      <c r="AZ1410" s="6"/>
      <c r="BA1410" s="6"/>
      <c r="BB1410" s="6"/>
      <c r="BC1410" s="6"/>
      <c r="BD1410" s="6"/>
      <c r="BE1410" s="6"/>
      <c r="BF1410" s="6"/>
      <c r="BG1410" s="6"/>
      <c r="BH1410" s="6"/>
      <c r="BI1410" s="6"/>
      <c r="BJ1410" s="6"/>
      <c r="BK1410" s="6"/>
      <c r="BL1410" s="6"/>
      <c r="BM1410" s="6"/>
      <c r="BN1410" s="6"/>
      <c r="BO1410" s="6"/>
      <c r="BP1410" s="6"/>
      <c r="BQ1410" s="6"/>
      <c r="BR1410" s="6"/>
      <c r="BS1410" s="6"/>
      <c r="BT1410" s="6"/>
      <c r="BU1410" s="6"/>
      <c r="BV1410" s="6"/>
      <c r="BW1410" s="6"/>
      <c r="BX1410" s="6"/>
      <c r="BY1410" s="6"/>
      <c r="BZ1410" s="6"/>
      <c r="CA1410" s="6"/>
      <c r="CB1410" s="6"/>
      <c r="CC1410" s="6"/>
    </row>
    <row r="1411" spans="2:81" x14ac:dyDescent="0.2">
      <c r="B1411" s="68"/>
      <c r="C1411" s="69"/>
      <c r="D1411" s="70"/>
      <c r="F1411" s="68"/>
      <c r="G1411" s="69"/>
      <c r="H1411" s="70"/>
      <c r="J1411" s="71"/>
      <c r="K1411" s="71"/>
      <c r="L1411" s="67"/>
      <c r="N1411" s="71"/>
      <c r="O1411" s="71"/>
      <c r="P1411" s="67"/>
      <c r="R1411" s="67"/>
      <c r="S1411" s="6"/>
      <c r="T1411" s="6"/>
      <c r="U1411" s="6"/>
      <c r="V1411" s="6"/>
      <c r="W1411" s="6"/>
      <c r="X1411" s="6"/>
      <c r="Y1411" s="6"/>
      <c r="Z1411" s="6"/>
      <c r="AA1411" s="6"/>
      <c r="AB1411" s="6"/>
      <c r="AC1411" s="6"/>
      <c r="AD1411" s="6"/>
      <c r="AE1411" s="6"/>
      <c r="AF1411" s="6"/>
      <c r="AG1411" s="6"/>
      <c r="AH1411" s="6"/>
      <c r="AI1411" s="6"/>
      <c r="AJ1411" s="6"/>
      <c r="AK1411" s="6"/>
      <c r="AL1411" s="6"/>
      <c r="AM1411" s="6"/>
      <c r="AN1411" s="6"/>
      <c r="AO1411" s="6"/>
      <c r="AP1411" s="6"/>
      <c r="AQ1411" s="6"/>
      <c r="AR1411" s="6"/>
      <c r="AS1411" s="6"/>
      <c r="AT1411" s="6"/>
      <c r="AU1411" s="6"/>
      <c r="AV1411" s="6"/>
      <c r="AW1411" s="6"/>
      <c r="AX1411" s="6"/>
      <c r="AY1411" s="6"/>
      <c r="AZ1411" s="6"/>
      <c r="BA1411" s="6"/>
      <c r="BB1411" s="6"/>
      <c r="BC1411" s="6"/>
      <c r="BD1411" s="6"/>
      <c r="BE1411" s="6"/>
      <c r="BF1411" s="6"/>
      <c r="BG1411" s="6"/>
      <c r="BH1411" s="6"/>
      <c r="BI1411" s="6"/>
      <c r="BJ1411" s="6"/>
      <c r="BK1411" s="6"/>
      <c r="BL1411" s="6"/>
      <c r="BM1411" s="6"/>
      <c r="BN1411" s="6"/>
      <c r="BO1411" s="6"/>
      <c r="BP1411" s="6"/>
      <c r="BQ1411" s="6"/>
      <c r="BR1411" s="6"/>
      <c r="BS1411" s="6"/>
      <c r="BT1411" s="6"/>
      <c r="BU1411" s="6"/>
      <c r="BV1411" s="6"/>
      <c r="BW1411" s="6"/>
      <c r="BX1411" s="6"/>
      <c r="BY1411" s="6"/>
      <c r="BZ1411" s="6"/>
      <c r="CA1411" s="6"/>
      <c r="CB1411" s="6"/>
      <c r="CC1411" s="6"/>
    </row>
    <row r="1412" spans="2:81" x14ac:dyDescent="0.2">
      <c r="B1412" s="68"/>
      <c r="C1412" s="69"/>
      <c r="D1412" s="70"/>
      <c r="F1412" s="68"/>
      <c r="G1412" s="69"/>
      <c r="H1412" s="70"/>
      <c r="J1412" s="71"/>
      <c r="K1412" s="71"/>
      <c r="L1412" s="67"/>
      <c r="N1412" s="71"/>
      <c r="O1412" s="71"/>
      <c r="P1412" s="67"/>
      <c r="R1412" s="67"/>
      <c r="S1412" s="6"/>
      <c r="T1412" s="6"/>
      <c r="U1412" s="6"/>
      <c r="V1412" s="6"/>
      <c r="W1412" s="6"/>
      <c r="X1412" s="6"/>
      <c r="Y1412" s="6"/>
      <c r="Z1412" s="6"/>
      <c r="AA1412" s="6"/>
      <c r="AB1412" s="6"/>
      <c r="AC1412" s="6"/>
      <c r="AD1412" s="6"/>
      <c r="AE1412" s="6"/>
      <c r="AF1412" s="6"/>
      <c r="AG1412" s="6"/>
      <c r="AH1412" s="6"/>
      <c r="AI1412" s="6"/>
      <c r="AJ1412" s="6"/>
      <c r="AK1412" s="6"/>
      <c r="AL1412" s="6"/>
      <c r="AM1412" s="6"/>
      <c r="AN1412" s="6"/>
      <c r="AO1412" s="6"/>
      <c r="AP1412" s="6"/>
      <c r="AQ1412" s="6"/>
      <c r="AR1412" s="6"/>
      <c r="AS1412" s="6"/>
      <c r="AT1412" s="6"/>
      <c r="AU1412" s="6"/>
      <c r="AV1412" s="6"/>
      <c r="AW1412" s="6"/>
      <c r="AX1412" s="6"/>
      <c r="AY1412" s="6"/>
      <c r="AZ1412" s="6"/>
      <c r="BA1412" s="6"/>
      <c r="BB1412" s="6"/>
      <c r="BC1412" s="6"/>
      <c r="BD1412" s="6"/>
      <c r="BE1412" s="6"/>
      <c r="BF1412" s="6"/>
      <c r="BG1412" s="6"/>
      <c r="BH1412" s="6"/>
      <c r="BI1412" s="6"/>
      <c r="BJ1412" s="6"/>
      <c r="BK1412" s="6"/>
      <c r="BL1412" s="6"/>
      <c r="BM1412" s="6"/>
      <c r="BN1412" s="6"/>
      <c r="BO1412" s="6"/>
      <c r="BP1412" s="6"/>
      <c r="BQ1412" s="6"/>
      <c r="BR1412" s="6"/>
      <c r="BS1412" s="6"/>
      <c r="BT1412" s="6"/>
      <c r="BU1412" s="6"/>
      <c r="BV1412" s="6"/>
      <c r="BW1412" s="6"/>
      <c r="BX1412" s="6"/>
      <c r="BY1412" s="6"/>
      <c r="BZ1412" s="6"/>
      <c r="CA1412" s="6"/>
      <c r="CB1412" s="6"/>
      <c r="CC1412" s="6"/>
    </row>
    <row r="1413" spans="2:81" x14ac:dyDescent="0.2">
      <c r="B1413" s="68"/>
      <c r="C1413" s="69"/>
      <c r="D1413" s="70"/>
      <c r="F1413" s="68"/>
      <c r="G1413" s="69"/>
      <c r="H1413" s="70"/>
      <c r="J1413" s="71"/>
      <c r="K1413" s="71"/>
      <c r="L1413" s="67"/>
      <c r="N1413" s="71"/>
      <c r="O1413" s="71"/>
      <c r="P1413" s="67"/>
      <c r="R1413" s="67"/>
      <c r="S1413" s="6"/>
      <c r="T1413" s="6"/>
      <c r="U1413" s="6"/>
      <c r="V1413" s="6"/>
      <c r="W1413" s="6"/>
      <c r="X1413" s="6"/>
      <c r="Y1413" s="6"/>
      <c r="Z1413" s="6"/>
      <c r="AA1413" s="6"/>
      <c r="AB1413" s="6"/>
      <c r="AC1413" s="6"/>
      <c r="AD1413" s="6"/>
      <c r="AE1413" s="6"/>
      <c r="AF1413" s="6"/>
      <c r="AG1413" s="6"/>
      <c r="AH1413" s="6"/>
      <c r="AI1413" s="6"/>
      <c r="AJ1413" s="6"/>
      <c r="AK1413" s="6"/>
      <c r="AL1413" s="6"/>
      <c r="AM1413" s="6"/>
      <c r="AN1413" s="6"/>
      <c r="AO1413" s="6"/>
      <c r="AP1413" s="6"/>
      <c r="AQ1413" s="6"/>
      <c r="AR1413" s="6"/>
      <c r="AS1413" s="6"/>
      <c r="AT1413" s="6"/>
      <c r="AU1413" s="6"/>
      <c r="AV1413" s="6"/>
      <c r="AW1413" s="6"/>
      <c r="AX1413" s="6"/>
      <c r="AY1413" s="6"/>
      <c r="AZ1413" s="6"/>
      <c r="BA1413" s="6"/>
      <c r="BB1413" s="6"/>
      <c r="BC1413" s="6"/>
      <c r="BD1413" s="6"/>
      <c r="BE1413" s="6"/>
      <c r="BF1413" s="6"/>
      <c r="BG1413" s="6"/>
      <c r="BH1413" s="6"/>
      <c r="BI1413" s="6"/>
      <c r="BJ1413" s="6"/>
      <c r="BK1413" s="6"/>
      <c r="BL1413" s="6"/>
      <c r="BM1413" s="6"/>
      <c r="BN1413" s="6"/>
      <c r="BO1413" s="6"/>
      <c r="BP1413" s="6"/>
      <c r="BQ1413" s="6"/>
      <c r="BR1413" s="6"/>
      <c r="BS1413" s="6"/>
      <c r="BT1413" s="6"/>
      <c r="BU1413" s="6"/>
      <c r="BV1413" s="6"/>
      <c r="BW1413" s="6"/>
      <c r="BX1413" s="6"/>
      <c r="BY1413" s="6"/>
      <c r="BZ1413" s="6"/>
      <c r="CA1413" s="6"/>
      <c r="CB1413" s="6"/>
      <c r="CC1413" s="6"/>
    </row>
    <row r="1414" spans="2:81" x14ac:dyDescent="0.2">
      <c r="B1414" s="68"/>
      <c r="C1414" s="69"/>
      <c r="D1414" s="70"/>
      <c r="F1414" s="68"/>
      <c r="G1414" s="69"/>
      <c r="H1414" s="70"/>
      <c r="J1414" s="71"/>
      <c r="K1414" s="71"/>
      <c r="L1414" s="67"/>
      <c r="N1414" s="71"/>
      <c r="O1414" s="71"/>
      <c r="P1414" s="67"/>
      <c r="R1414" s="67"/>
      <c r="S1414" s="6"/>
      <c r="T1414" s="6"/>
      <c r="U1414" s="6"/>
      <c r="V1414" s="6"/>
      <c r="W1414" s="6"/>
      <c r="X1414" s="6"/>
      <c r="Y1414" s="6"/>
      <c r="Z1414" s="6"/>
      <c r="AA1414" s="6"/>
      <c r="AB1414" s="6"/>
      <c r="AC1414" s="6"/>
      <c r="AD1414" s="6"/>
      <c r="AE1414" s="6"/>
      <c r="AF1414" s="6"/>
      <c r="AG1414" s="6"/>
      <c r="AH1414" s="6"/>
      <c r="AI1414" s="6"/>
      <c r="AJ1414" s="6"/>
      <c r="AK1414" s="6"/>
      <c r="AL1414" s="6"/>
      <c r="AM1414" s="6"/>
      <c r="AN1414" s="6"/>
      <c r="AO1414" s="6"/>
      <c r="AP1414" s="6"/>
      <c r="AQ1414" s="6"/>
      <c r="AR1414" s="6"/>
      <c r="AS1414" s="6"/>
      <c r="AT1414" s="6"/>
      <c r="AU1414" s="6"/>
      <c r="AV1414" s="6"/>
      <c r="AW1414" s="6"/>
      <c r="AX1414" s="6"/>
      <c r="AY1414" s="6"/>
      <c r="AZ1414" s="6"/>
      <c r="BA1414" s="6"/>
      <c r="BB1414" s="6"/>
      <c r="BC1414" s="6"/>
      <c r="BD1414" s="6"/>
      <c r="BE1414" s="6"/>
      <c r="BF1414" s="6"/>
      <c r="BG1414" s="6"/>
      <c r="BH1414" s="6"/>
      <c r="BI1414" s="6"/>
      <c r="BJ1414" s="6"/>
      <c r="BK1414" s="6"/>
      <c r="BL1414" s="6"/>
      <c r="BM1414" s="6"/>
      <c r="BN1414" s="6"/>
      <c r="BO1414" s="6"/>
      <c r="BP1414" s="6"/>
      <c r="BQ1414" s="6"/>
      <c r="BR1414" s="6"/>
      <c r="BS1414" s="6"/>
      <c r="BT1414" s="6"/>
      <c r="BU1414" s="6"/>
      <c r="BV1414" s="6"/>
      <c r="BW1414" s="6"/>
      <c r="BX1414" s="6"/>
      <c r="BY1414" s="6"/>
      <c r="BZ1414" s="6"/>
      <c r="CA1414" s="6"/>
      <c r="CB1414" s="6"/>
      <c r="CC1414" s="6"/>
    </row>
    <row r="1415" spans="2:81" x14ac:dyDescent="0.2">
      <c r="B1415" s="68"/>
      <c r="C1415" s="69"/>
      <c r="D1415" s="70"/>
      <c r="F1415" s="68"/>
      <c r="G1415" s="69"/>
      <c r="H1415" s="70"/>
      <c r="J1415" s="71"/>
      <c r="K1415" s="71"/>
      <c r="L1415" s="67"/>
      <c r="N1415" s="71"/>
      <c r="O1415" s="71"/>
      <c r="P1415" s="67"/>
      <c r="R1415" s="67"/>
      <c r="S1415" s="6"/>
      <c r="T1415" s="6"/>
      <c r="U1415" s="6"/>
      <c r="V1415" s="6"/>
      <c r="W1415" s="6"/>
      <c r="X1415" s="6"/>
      <c r="Y1415" s="6"/>
      <c r="Z1415" s="6"/>
      <c r="AA1415" s="6"/>
      <c r="AB1415" s="6"/>
      <c r="AC1415" s="6"/>
      <c r="AD1415" s="6"/>
      <c r="AE1415" s="6"/>
      <c r="AF1415" s="6"/>
      <c r="AG1415" s="6"/>
      <c r="AH1415" s="6"/>
      <c r="AI1415" s="6"/>
      <c r="AJ1415" s="6"/>
      <c r="AK1415" s="6"/>
      <c r="AL1415" s="6"/>
      <c r="AM1415" s="6"/>
      <c r="AN1415" s="6"/>
      <c r="AO1415" s="6"/>
      <c r="AP1415" s="6"/>
      <c r="AQ1415" s="6"/>
      <c r="AR1415" s="6"/>
      <c r="AS1415" s="6"/>
      <c r="AT1415" s="6"/>
      <c r="AU1415" s="6"/>
      <c r="AV1415" s="6"/>
      <c r="AW1415" s="6"/>
      <c r="AX1415" s="6"/>
      <c r="AY1415" s="6"/>
      <c r="AZ1415" s="6"/>
      <c r="BA1415" s="6"/>
      <c r="BB1415" s="6"/>
      <c r="BC1415" s="6"/>
      <c r="BD1415" s="6"/>
      <c r="BE1415" s="6"/>
      <c r="BF1415" s="6"/>
      <c r="BG1415" s="6"/>
      <c r="BH1415" s="6"/>
      <c r="BI1415" s="6"/>
      <c r="BJ1415" s="6"/>
      <c r="BK1415" s="6"/>
      <c r="BL1415" s="6"/>
      <c r="BM1415" s="6"/>
      <c r="BN1415" s="6"/>
      <c r="BO1415" s="6"/>
      <c r="BP1415" s="6"/>
      <c r="BQ1415" s="6"/>
      <c r="BR1415" s="6"/>
      <c r="BS1415" s="6"/>
      <c r="BT1415" s="6"/>
      <c r="BU1415" s="6"/>
      <c r="BV1415" s="6"/>
      <c r="BW1415" s="6"/>
      <c r="BX1415" s="6"/>
      <c r="BY1415" s="6"/>
      <c r="BZ1415" s="6"/>
      <c r="CA1415" s="6"/>
      <c r="CB1415" s="6"/>
      <c r="CC1415" s="6"/>
    </row>
    <row r="1416" spans="2:81" x14ac:dyDescent="0.2">
      <c r="B1416" s="68"/>
      <c r="C1416" s="69"/>
      <c r="D1416" s="70"/>
      <c r="F1416" s="68"/>
      <c r="G1416" s="69"/>
      <c r="H1416" s="70"/>
      <c r="J1416" s="71"/>
      <c r="K1416" s="71"/>
      <c r="L1416" s="67"/>
      <c r="N1416" s="71"/>
      <c r="O1416" s="71"/>
      <c r="P1416" s="67"/>
      <c r="R1416" s="67"/>
      <c r="S1416" s="6"/>
      <c r="T1416" s="6"/>
      <c r="U1416" s="6"/>
      <c r="V1416" s="6"/>
      <c r="W1416" s="6"/>
      <c r="X1416" s="6"/>
      <c r="Y1416" s="6"/>
      <c r="Z1416" s="6"/>
      <c r="AA1416" s="6"/>
      <c r="AB1416" s="6"/>
      <c r="AC1416" s="6"/>
      <c r="AD1416" s="6"/>
      <c r="AE1416" s="6"/>
      <c r="AF1416" s="6"/>
      <c r="AG1416" s="6"/>
      <c r="AH1416" s="6"/>
      <c r="AI1416" s="6"/>
      <c r="AJ1416" s="6"/>
      <c r="AK1416" s="6"/>
      <c r="AL1416" s="6"/>
      <c r="AM1416" s="6"/>
      <c r="AN1416" s="6"/>
      <c r="AO1416" s="6"/>
      <c r="AP1416" s="6"/>
      <c r="AQ1416" s="6"/>
      <c r="AR1416" s="6"/>
      <c r="AS1416" s="6"/>
      <c r="AT1416" s="6"/>
      <c r="AU1416" s="6"/>
      <c r="AV1416" s="6"/>
      <c r="AW1416" s="6"/>
      <c r="AX1416" s="6"/>
      <c r="AY1416" s="6"/>
      <c r="AZ1416" s="6"/>
      <c r="BA1416" s="6"/>
      <c r="BB1416" s="6"/>
      <c r="BC1416" s="6"/>
      <c r="BD1416" s="6"/>
      <c r="BE1416" s="6"/>
      <c r="BF1416" s="6"/>
      <c r="BG1416" s="6"/>
      <c r="BH1416" s="6"/>
      <c r="BI1416" s="6"/>
      <c r="BJ1416" s="6"/>
      <c r="BK1416" s="6"/>
      <c r="BL1416" s="6"/>
      <c r="BM1416" s="6"/>
      <c r="BN1416" s="6"/>
      <c r="BO1416" s="6"/>
      <c r="BP1416" s="6"/>
      <c r="BQ1416" s="6"/>
      <c r="BR1416" s="6"/>
      <c r="BS1416" s="6"/>
      <c r="BT1416" s="6"/>
      <c r="BU1416" s="6"/>
      <c r="BV1416" s="6"/>
      <c r="BW1416" s="6"/>
      <c r="BX1416" s="6"/>
      <c r="BY1416" s="6"/>
      <c r="BZ1416" s="6"/>
      <c r="CA1416" s="6"/>
      <c r="CB1416" s="6"/>
      <c r="CC1416" s="6"/>
    </row>
    <row r="1417" spans="2:81" x14ac:dyDescent="0.2">
      <c r="B1417" s="68"/>
      <c r="C1417" s="69"/>
      <c r="D1417" s="70"/>
      <c r="F1417" s="68"/>
      <c r="G1417" s="69"/>
      <c r="H1417" s="70"/>
      <c r="J1417" s="71"/>
      <c r="K1417" s="71"/>
      <c r="L1417" s="67"/>
      <c r="N1417" s="71"/>
      <c r="O1417" s="71"/>
      <c r="P1417" s="67"/>
      <c r="R1417" s="67"/>
      <c r="S1417" s="6"/>
      <c r="T1417" s="6"/>
      <c r="U1417" s="6"/>
      <c r="V1417" s="6"/>
      <c r="W1417" s="6"/>
      <c r="X1417" s="6"/>
      <c r="Y1417" s="6"/>
      <c r="Z1417" s="6"/>
      <c r="AA1417" s="6"/>
      <c r="AB1417" s="6"/>
      <c r="AC1417" s="6"/>
      <c r="AD1417" s="6"/>
      <c r="AE1417" s="6"/>
      <c r="AF1417" s="6"/>
      <c r="AG1417" s="6"/>
      <c r="AH1417" s="6"/>
      <c r="AI1417" s="6"/>
      <c r="AJ1417" s="6"/>
      <c r="AK1417" s="6"/>
      <c r="AL1417" s="6"/>
      <c r="AM1417" s="6"/>
      <c r="AN1417" s="6"/>
      <c r="AO1417" s="6"/>
      <c r="AP1417" s="6"/>
      <c r="AQ1417" s="6"/>
      <c r="AR1417" s="6"/>
      <c r="AS1417" s="6"/>
      <c r="AT1417" s="6"/>
      <c r="AU1417" s="6"/>
      <c r="AV1417" s="6"/>
      <c r="AW1417" s="6"/>
      <c r="AX1417" s="6"/>
      <c r="AY1417" s="6"/>
      <c r="AZ1417" s="6"/>
      <c r="BA1417" s="6"/>
      <c r="BB1417" s="6"/>
      <c r="BC1417" s="6"/>
      <c r="BD1417" s="6"/>
      <c r="BE1417" s="6"/>
      <c r="BF1417" s="6"/>
      <c r="BG1417" s="6"/>
      <c r="BH1417" s="6"/>
      <c r="BI1417" s="6"/>
      <c r="BJ1417" s="6"/>
      <c r="BK1417" s="6"/>
      <c r="BL1417" s="6"/>
      <c r="BM1417" s="6"/>
      <c r="BN1417" s="6"/>
      <c r="BO1417" s="6"/>
      <c r="BP1417" s="6"/>
      <c r="BQ1417" s="6"/>
      <c r="BR1417" s="6"/>
      <c r="BS1417" s="6"/>
      <c r="BT1417" s="6"/>
      <c r="BU1417" s="6"/>
      <c r="BV1417" s="6"/>
      <c r="BW1417" s="6"/>
      <c r="BX1417" s="6"/>
      <c r="BY1417" s="6"/>
      <c r="BZ1417" s="6"/>
      <c r="CA1417" s="6"/>
      <c r="CB1417" s="6"/>
      <c r="CC1417" s="6"/>
    </row>
    <row r="1418" spans="2:81" x14ac:dyDescent="0.2">
      <c r="B1418" s="68"/>
      <c r="C1418" s="69"/>
      <c r="D1418" s="70"/>
      <c r="F1418" s="68"/>
      <c r="G1418" s="69"/>
      <c r="H1418" s="70"/>
      <c r="J1418" s="71"/>
      <c r="K1418" s="71"/>
      <c r="L1418" s="67"/>
      <c r="N1418" s="71"/>
      <c r="O1418" s="71"/>
      <c r="P1418" s="67"/>
      <c r="R1418" s="67"/>
      <c r="S1418" s="6"/>
      <c r="T1418" s="6"/>
      <c r="U1418" s="6"/>
      <c r="V1418" s="6"/>
      <c r="W1418" s="6"/>
      <c r="X1418" s="6"/>
      <c r="Y1418" s="6"/>
      <c r="Z1418" s="6"/>
      <c r="AA1418" s="6"/>
      <c r="AB1418" s="6"/>
      <c r="AC1418" s="6"/>
      <c r="AD1418" s="6"/>
      <c r="AE1418" s="6"/>
      <c r="AF1418" s="6"/>
      <c r="AG1418" s="6"/>
      <c r="AH1418" s="6"/>
      <c r="AI1418" s="6"/>
      <c r="AJ1418" s="6"/>
      <c r="AK1418" s="6"/>
      <c r="AL1418" s="6"/>
      <c r="AM1418" s="6"/>
      <c r="AN1418" s="6"/>
      <c r="AO1418" s="6"/>
      <c r="AP1418" s="6"/>
      <c r="AQ1418" s="6"/>
      <c r="AR1418" s="6"/>
      <c r="AS1418" s="6"/>
      <c r="AT1418" s="6"/>
      <c r="AU1418" s="6"/>
      <c r="AV1418" s="6"/>
      <c r="AW1418" s="6"/>
      <c r="AX1418" s="6"/>
      <c r="AY1418" s="6"/>
      <c r="AZ1418" s="6"/>
      <c r="BA1418" s="6"/>
      <c r="BB1418" s="6"/>
      <c r="BC1418" s="6"/>
      <c r="BD1418" s="6"/>
      <c r="BE1418" s="6"/>
      <c r="BF1418" s="6"/>
      <c r="BG1418" s="6"/>
      <c r="BH1418" s="6"/>
      <c r="BI1418" s="6"/>
      <c r="BJ1418" s="6"/>
      <c r="BK1418" s="6"/>
      <c r="BL1418" s="6"/>
      <c r="BM1418" s="6"/>
      <c r="BN1418" s="6"/>
      <c r="BO1418" s="6"/>
      <c r="BP1418" s="6"/>
      <c r="BQ1418" s="6"/>
      <c r="BR1418" s="6"/>
      <c r="BS1418" s="6"/>
      <c r="BT1418" s="6"/>
      <c r="BU1418" s="6"/>
      <c r="BV1418" s="6"/>
      <c r="BW1418" s="6"/>
      <c r="BX1418" s="6"/>
      <c r="BY1418" s="6"/>
      <c r="BZ1418" s="6"/>
      <c r="CA1418" s="6"/>
      <c r="CB1418" s="6"/>
      <c r="CC1418" s="6"/>
    </row>
    <row r="1419" spans="2:81" x14ac:dyDescent="0.2">
      <c r="B1419" s="68"/>
      <c r="C1419" s="69"/>
      <c r="D1419" s="70"/>
      <c r="F1419" s="68"/>
      <c r="G1419" s="69"/>
      <c r="H1419" s="70"/>
      <c r="J1419" s="71"/>
      <c r="K1419" s="71"/>
      <c r="L1419" s="67"/>
      <c r="N1419" s="71"/>
      <c r="O1419" s="71"/>
      <c r="P1419" s="67"/>
      <c r="R1419" s="67"/>
      <c r="S1419" s="6"/>
      <c r="T1419" s="6"/>
      <c r="U1419" s="6"/>
      <c r="V1419" s="6"/>
      <c r="W1419" s="6"/>
      <c r="X1419" s="6"/>
      <c r="Y1419" s="6"/>
      <c r="Z1419" s="6"/>
      <c r="AA1419" s="6"/>
      <c r="AB1419" s="6"/>
      <c r="AC1419" s="6"/>
      <c r="AD1419" s="6"/>
      <c r="AE1419" s="6"/>
      <c r="AF1419" s="6"/>
      <c r="AG1419" s="6"/>
      <c r="AH1419" s="6"/>
      <c r="AI1419" s="6"/>
      <c r="AJ1419" s="6"/>
      <c r="AK1419" s="6"/>
      <c r="AL1419" s="6"/>
      <c r="AM1419" s="6"/>
      <c r="AN1419" s="6"/>
      <c r="AO1419" s="6"/>
      <c r="AP1419" s="6"/>
      <c r="AQ1419" s="6"/>
      <c r="AR1419" s="6"/>
      <c r="AS1419" s="6"/>
      <c r="AT1419" s="6"/>
      <c r="AU1419" s="6"/>
      <c r="AV1419" s="6"/>
      <c r="AW1419" s="6"/>
      <c r="AX1419" s="6"/>
      <c r="AY1419" s="6"/>
      <c r="AZ1419" s="6"/>
      <c r="BA1419" s="6"/>
      <c r="BB1419" s="6"/>
      <c r="BC1419" s="6"/>
      <c r="BD1419" s="6"/>
      <c r="BE1419" s="6"/>
      <c r="BF1419" s="6"/>
      <c r="BG1419" s="6"/>
      <c r="BH1419" s="6"/>
      <c r="BI1419" s="6"/>
      <c r="BJ1419" s="6"/>
      <c r="BK1419" s="6"/>
      <c r="BL1419" s="6"/>
      <c r="BM1419" s="6"/>
      <c r="BN1419" s="6"/>
      <c r="BO1419" s="6"/>
      <c r="BP1419" s="6"/>
      <c r="BQ1419" s="6"/>
      <c r="BR1419" s="6"/>
      <c r="BS1419" s="6"/>
      <c r="BT1419" s="6"/>
      <c r="BU1419" s="6"/>
      <c r="BV1419" s="6"/>
      <c r="BW1419" s="6"/>
      <c r="BX1419" s="6"/>
      <c r="BY1419" s="6"/>
      <c r="BZ1419" s="6"/>
      <c r="CA1419" s="6"/>
      <c r="CB1419" s="6"/>
      <c r="CC1419" s="6"/>
    </row>
    <row r="1420" spans="2:81" x14ac:dyDescent="0.2">
      <c r="B1420" s="68"/>
      <c r="C1420" s="69"/>
      <c r="D1420" s="70"/>
      <c r="F1420" s="68"/>
      <c r="G1420" s="69"/>
      <c r="H1420" s="70"/>
      <c r="J1420" s="71"/>
      <c r="K1420" s="71"/>
      <c r="L1420" s="67"/>
      <c r="N1420" s="71"/>
      <c r="O1420" s="71"/>
      <c r="P1420" s="67"/>
      <c r="R1420" s="67"/>
      <c r="S1420" s="6"/>
      <c r="T1420" s="6"/>
      <c r="U1420" s="6"/>
      <c r="V1420" s="6"/>
      <c r="W1420" s="6"/>
      <c r="X1420" s="6"/>
      <c r="Y1420" s="6"/>
      <c r="Z1420" s="6"/>
      <c r="AA1420" s="6"/>
      <c r="AB1420" s="6"/>
      <c r="AC1420" s="6"/>
      <c r="AD1420" s="6"/>
      <c r="AE1420" s="6"/>
      <c r="AF1420" s="6"/>
      <c r="AG1420" s="6"/>
      <c r="AH1420" s="6"/>
      <c r="AI1420" s="6"/>
      <c r="AJ1420" s="6"/>
      <c r="AK1420" s="6"/>
      <c r="AL1420" s="6"/>
      <c r="AM1420" s="6"/>
      <c r="AN1420" s="6"/>
      <c r="AO1420" s="6"/>
      <c r="AP1420" s="6"/>
      <c r="AQ1420" s="6"/>
      <c r="AR1420" s="6"/>
      <c r="AS1420" s="6"/>
      <c r="AT1420" s="6"/>
      <c r="AU1420" s="6"/>
      <c r="AV1420" s="6"/>
      <c r="AW1420" s="6"/>
      <c r="AX1420" s="6"/>
      <c r="AY1420" s="6"/>
      <c r="AZ1420" s="6"/>
      <c r="BA1420" s="6"/>
      <c r="BB1420" s="6"/>
      <c r="BC1420" s="6"/>
      <c r="BD1420" s="6"/>
      <c r="BE1420" s="6"/>
      <c r="BF1420" s="6"/>
      <c r="BG1420" s="6"/>
      <c r="BH1420" s="6"/>
      <c r="BI1420" s="6"/>
      <c r="BJ1420" s="6"/>
      <c r="BK1420" s="6"/>
      <c r="BL1420" s="6"/>
      <c r="BM1420" s="6"/>
      <c r="BN1420" s="6"/>
      <c r="BO1420" s="6"/>
      <c r="BP1420" s="6"/>
      <c r="BQ1420" s="6"/>
      <c r="BR1420" s="6"/>
      <c r="BS1420" s="6"/>
      <c r="BT1420" s="6"/>
      <c r="BU1420" s="6"/>
      <c r="BV1420" s="6"/>
      <c r="BW1420" s="6"/>
      <c r="BX1420" s="6"/>
      <c r="BY1420" s="6"/>
      <c r="BZ1420" s="6"/>
      <c r="CA1420" s="6"/>
      <c r="CB1420" s="6"/>
      <c r="CC1420" s="6"/>
    </row>
    <row r="1421" spans="2:81" x14ac:dyDescent="0.2">
      <c r="B1421" s="68"/>
      <c r="C1421" s="69"/>
      <c r="D1421" s="70"/>
      <c r="F1421" s="68"/>
      <c r="G1421" s="69"/>
      <c r="H1421" s="70"/>
      <c r="J1421" s="71"/>
      <c r="K1421" s="71"/>
      <c r="L1421" s="67"/>
      <c r="N1421" s="71"/>
      <c r="O1421" s="71"/>
      <c r="P1421" s="67"/>
      <c r="R1421" s="67"/>
      <c r="S1421" s="6"/>
      <c r="T1421" s="6"/>
      <c r="U1421" s="6"/>
      <c r="V1421" s="6"/>
      <c r="W1421" s="6"/>
      <c r="X1421" s="6"/>
      <c r="Y1421" s="6"/>
      <c r="Z1421" s="6"/>
      <c r="AA1421" s="6"/>
      <c r="AB1421" s="6"/>
      <c r="AC1421" s="6"/>
      <c r="AD1421" s="6"/>
      <c r="AE1421" s="6"/>
      <c r="AF1421" s="6"/>
      <c r="AG1421" s="6"/>
      <c r="AH1421" s="6"/>
      <c r="AI1421" s="6"/>
      <c r="AJ1421" s="6"/>
      <c r="AK1421" s="6"/>
      <c r="AL1421" s="6"/>
      <c r="AM1421" s="6"/>
      <c r="AN1421" s="6"/>
      <c r="AO1421" s="6"/>
      <c r="AP1421" s="6"/>
      <c r="AQ1421" s="6"/>
      <c r="AR1421" s="6"/>
      <c r="AS1421" s="6"/>
      <c r="AT1421" s="6"/>
      <c r="AU1421" s="6"/>
      <c r="AV1421" s="6"/>
      <c r="AW1421" s="6"/>
      <c r="AX1421" s="6"/>
      <c r="AY1421" s="6"/>
      <c r="AZ1421" s="6"/>
      <c r="BA1421" s="6"/>
      <c r="BB1421" s="6"/>
      <c r="BC1421" s="6"/>
      <c r="BD1421" s="6"/>
      <c r="BE1421" s="6"/>
      <c r="BF1421" s="6"/>
      <c r="BG1421" s="6"/>
      <c r="BH1421" s="6"/>
      <c r="BI1421" s="6"/>
      <c r="BJ1421" s="6"/>
      <c r="BK1421" s="6"/>
      <c r="BL1421" s="6"/>
      <c r="BM1421" s="6"/>
      <c r="BN1421" s="6"/>
      <c r="BO1421" s="6"/>
      <c r="BP1421" s="6"/>
      <c r="BQ1421" s="6"/>
      <c r="BR1421" s="6"/>
      <c r="BS1421" s="6"/>
      <c r="BT1421" s="6"/>
      <c r="BU1421" s="6"/>
      <c r="BV1421" s="6"/>
      <c r="BW1421" s="6"/>
      <c r="BX1421" s="6"/>
      <c r="BY1421" s="6"/>
      <c r="BZ1421" s="6"/>
      <c r="CA1421" s="6"/>
      <c r="CB1421" s="6"/>
      <c r="CC1421" s="6"/>
    </row>
    <row r="1422" spans="2:81" x14ac:dyDescent="0.2">
      <c r="B1422" s="68"/>
      <c r="C1422" s="69"/>
      <c r="D1422" s="70"/>
      <c r="F1422" s="68"/>
      <c r="G1422" s="69"/>
      <c r="H1422" s="70"/>
      <c r="J1422" s="71"/>
      <c r="K1422" s="71"/>
      <c r="L1422" s="67"/>
      <c r="N1422" s="71"/>
      <c r="O1422" s="71"/>
      <c r="P1422" s="67"/>
      <c r="R1422" s="67"/>
      <c r="S1422" s="6"/>
      <c r="T1422" s="6"/>
      <c r="U1422" s="6"/>
      <c r="V1422" s="6"/>
      <c r="W1422" s="6"/>
      <c r="X1422" s="6"/>
      <c r="Y1422" s="6"/>
      <c r="Z1422" s="6"/>
      <c r="AA1422" s="6"/>
      <c r="AB1422" s="6"/>
      <c r="AC1422" s="6"/>
      <c r="AD1422" s="6"/>
      <c r="AE1422" s="6"/>
      <c r="AF1422" s="6"/>
      <c r="AG1422" s="6"/>
      <c r="AH1422" s="6"/>
      <c r="AI1422" s="6"/>
      <c r="AJ1422" s="6"/>
      <c r="AK1422" s="6"/>
      <c r="AL1422" s="6"/>
      <c r="AM1422" s="6"/>
      <c r="AN1422" s="6"/>
      <c r="AO1422" s="6"/>
      <c r="AP1422" s="6"/>
      <c r="AQ1422" s="6"/>
      <c r="AR1422" s="6"/>
      <c r="AS1422" s="6"/>
      <c r="AT1422" s="6"/>
      <c r="AU1422" s="6"/>
      <c r="AV1422" s="6"/>
      <c r="AW1422" s="6"/>
      <c r="AX1422" s="6"/>
      <c r="AY1422" s="6"/>
      <c r="AZ1422" s="6"/>
      <c r="BA1422" s="6"/>
      <c r="BB1422" s="6"/>
      <c r="BC1422" s="6"/>
      <c r="BD1422" s="6"/>
      <c r="BE1422" s="6"/>
      <c r="BF1422" s="6"/>
      <c r="BG1422" s="6"/>
      <c r="BH1422" s="6"/>
      <c r="BI1422" s="6"/>
      <c r="BJ1422" s="6"/>
      <c r="BK1422" s="6"/>
      <c r="BL1422" s="6"/>
      <c r="BM1422" s="6"/>
      <c r="BN1422" s="6"/>
      <c r="BO1422" s="6"/>
      <c r="BP1422" s="6"/>
      <c r="BQ1422" s="6"/>
      <c r="BR1422" s="6"/>
      <c r="BS1422" s="6"/>
      <c r="BT1422" s="6"/>
      <c r="BU1422" s="6"/>
      <c r="BV1422" s="6"/>
      <c r="BW1422" s="6"/>
      <c r="BX1422" s="6"/>
      <c r="BY1422" s="6"/>
      <c r="BZ1422" s="6"/>
      <c r="CA1422" s="6"/>
      <c r="CB1422" s="6"/>
      <c r="CC1422" s="6"/>
    </row>
    <row r="1423" spans="2:81" x14ac:dyDescent="0.2">
      <c r="B1423" s="68"/>
      <c r="C1423" s="69"/>
      <c r="D1423" s="70"/>
      <c r="F1423" s="68"/>
      <c r="G1423" s="69"/>
      <c r="H1423" s="70"/>
      <c r="J1423" s="71"/>
      <c r="K1423" s="71"/>
      <c r="L1423" s="67"/>
      <c r="N1423" s="71"/>
      <c r="O1423" s="71"/>
      <c r="P1423" s="67"/>
      <c r="R1423" s="67"/>
      <c r="S1423" s="6"/>
      <c r="T1423" s="6"/>
      <c r="U1423" s="6"/>
      <c r="V1423" s="6"/>
      <c r="W1423" s="6"/>
      <c r="X1423" s="6"/>
      <c r="Y1423" s="6"/>
      <c r="Z1423" s="6"/>
      <c r="AA1423" s="6"/>
      <c r="AB1423" s="6"/>
      <c r="AC1423" s="6"/>
      <c r="AD1423" s="6"/>
      <c r="AE1423" s="6"/>
      <c r="AF1423" s="6"/>
      <c r="AG1423" s="6"/>
      <c r="AH1423" s="6"/>
      <c r="AI1423" s="6"/>
      <c r="AJ1423" s="6"/>
      <c r="AK1423" s="6"/>
      <c r="AL1423" s="6"/>
      <c r="AM1423" s="6"/>
      <c r="AN1423" s="6"/>
      <c r="AO1423" s="6"/>
      <c r="AP1423" s="6"/>
      <c r="AQ1423" s="6"/>
      <c r="AR1423" s="6"/>
      <c r="AS1423" s="6"/>
      <c r="AT1423" s="6"/>
      <c r="AU1423" s="6"/>
      <c r="AV1423" s="6"/>
      <c r="AW1423" s="6"/>
      <c r="AX1423" s="6"/>
      <c r="AY1423" s="6"/>
      <c r="AZ1423" s="6"/>
      <c r="BA1423" s="6"/>
      <c r="BB1423" s="6"/>
      <c r="BC1423" s="6"/>
      <c r="BD1423" s="6"/>
      <c r="BE1423" s="6"/>
      <c r="BF1423" s="6"/>
      <c r="BG1423" s="6"/>
      <c r="BH1423" s="6"/>
      <c r="BI1423" s="6"/>
      <c r="BJ1423" s="6"/>
      <c r="BK1423" s="6"/>
      <c r="BL1423" s="6"/>
      <c r="BM1423" s="6"/>
      <c r="BN1423" s="6"/>
      <c r="BO1423" s="6"/>
      <c r="BP1423" s="6"/>
      <c r="BQ1423" s="6"/>
      <c r="BR1423" s="6"/>
      <c r="BS1423" s="6"/>
      <c r="BT1423" s="6"/>
      <c r="BU1423" s="6"/>
      <c r="BV1423" s="6"/>
      <c r="BW1423" s="6"/>
      <c r="BX1423" s="6"/>
      <c r="BY1423" s="6"/>
      <c r="BZ1423" s="6"/>
      <c r="CA1423" s="6"/>
      <c r="CB1423" s="6"/>
      <c r="CC1423" s="6"/>
    </row>
    <row r="1424" spans="2:81" x14ac:dyDescent="0.2">
      <c r="B1424" s="68"/>
      <c r="C1424" s="69"/>
      <c r="D1424" s="70"/>
      <c r="F1424" s="68"/>
      <c r="G1424" s="69"/>
      <c r="H1424" s="70"/>
      <c r="J1424" s="71"/>
      <c r="K1424" s="71"/>
      <c r="L1424" s="67"/>
      <c r="N1424" s="71"/>
      <c r="O1424" s="71"/>
      <c r="P1424" s="67"/>
      <c r="R1424" s="67"/>
      <c r="S1424" s="6"/>
      <c r="T1424" s="6"/>
      <c r="U1424" s="6"/>
      <c r="V1424" s="6"/>
      <c r="W1424" s="6"/>
      <c r="X1424" s="6"/>
      <c r="Y1424" s="6"/>
      <c r="Z1424" s="6"/>
      <c r="AA1424" s="6"/>
      <c r="AB1424" s="6"/>
      <c r="AC1424" s="6"/>
      <c r="AD1424" s="6"/>
      <c r="AE1424" s="6"/>
      <c r="AF1424" s="6"/>
      <c r="AG1424" s="6"/>
      <c r="AH1424" s="6"/>
      <c r="AI1424" s="6"/>
      <c r="AJ1424" s="6"/>
      <c r="AK1424" s="6"/>
      <c r="AL1424" s="6"/>
      <c r="AM1424" s="6"/>
      <c r="AN1424" s="6"/>
      <c r="AO1424" s="6"/>
      <c r="AP1424" s="6"/>
      <c r="AQ1424" s="6"/>
      <c r="AR1424" s="6"/>
      <c r="AS1424" s="6"/>
      <c r="AT1424" s="6"/>
      <c r="AU1424" s="6"/>
      <c r="AV1424" s="6"/>
      <c r="AW1424" s="6"/>
      <c r="AX1424" s="6"/>
      <c r="AY1424" s="6"/>
      <c r="AZ1424" s="6"/>
      <c r="BA1424" s="6"/>
      <c r="BB1424" s="6"/>
      <c r="BC1424" s="6"/>
      <c r="BD1424" s="6"/>
      <c r="BE1424" s="6"/>
      <c r="BF1424" s="6"/>
      <c r="BG1424" s="6"/>
      <c r="BH1424" s="6"/>
      <c r="BI1424" s="6"/>
      <c r="BJ1424" s="6"/>
      <c r="BK1424" s="6"/>
      <c r="BL1424" s="6"/>
      <c r="BM1424" s="6"/>
      <c r="BN1424" s="6"/>
      <c r="BO1424" s="6"/>
      <c r="BP1424" s="6"/>
      <c r="BQ1424" s="6"/>
      <c r="BR1424" s="6"/>
      <c r="BS1424" s="6"/>
      <c r="BT1424" s="6"/>
      <c r="BU1424" s="6"/>
      <c r="BV1424" s="6"/>
      <c r="BW1424" s="6"/>
      <c r="BX1424" s="6"/>
      <c r="BY1424" s="6"/>
      <c r="BZ1424" s="6"/>
      <c r="CA1424" s="6"/>
      <c r="CB1424" s="6"/>
      <c r="CC1424" s="6"/>
    </row>
    <row r="1425" spans="2:81" x14ac:dyDescent="0.2">
      <c r="B1425" s="68"/>
      <c r="C1425" s="69"/>
      <c r="D1425" s="70"/>
      <c r="F1425" s="68"/>
      <c r="G1425" s="69"/>
      <c r="H1425" s="70"/>
      <c r="J1425" s="71"/>
      <c r="K1425" s="71"/>
      <c r="L1425" s="67"/>
      <c r="N1425" s="71"/>
      <c r="O1425" s="71"/>
      <c r="P1425" s="67"/>
      <c r="R1425" s="67"/>
      <c r="S1425" s="6"/>
      <c r="T1425" s="6"/>
      <c r="U1425" s="6"/>
      <c r="V1425" s="6"/>
      <c r="W1425" s="6"/>
      <c r="X1425" s="6"/>
      <c r="Y1425" s="6"/>
      <c r="Z1425" s="6"/>
      <c r="AA1425" s="6"/>
      <c r="AB1425" s="6"/>
      <c r="AC1425" s="6"/>
      <c r="AD1425" s="6"/>
      <c r="AE1425" s="6"/>
      <c r="AF1425" s="6"/>
      <c r="AG1425" s="6"/>
      <c r="AH1425" s="6"/>
      <c r="AI1425" s="6"/>
      <c r="AJ1425" s="6"/>
      <c r="AK1425" s="6"/>
      <c r="AL1425" s="6"/>
      <c r="AM1425" s="6"/>
      <c r="AN1425" s="6"/>
      <c r="AO1425" s="6"/>
      <c r="AP1425" s="6"/>
      <c r="AQ1425" s="6"/>
      <c r="AR1425" s="6"/>
      <c r="AS1425" s="6"/>
      <c r="AT1425" s="6"/>
      <c r="AU1425" s="6"/>
      <c r="AV1425" s="6"/>
      <c r="AW1425" s="6"/>
      <c r="AX1425" s="6"/>
      <c r="AY1425" s="6"/>
      <c r="AZ1425" s="6"/>
      <c r="BA1425" s="6"/>
      <c r="BB1425" s="6"/>
      <c r="BC1425" s="6"/>
      <c r="BD1425" s="6"/>
      <c r="BE1425" s="6"/>
      <c r="BF1425" s="6"/>
      <c r="BG1425" s="6"/>
      <c r="BH1425" s="6"/>
      <c r="BI1425" s="6"/>
      <c r="BJ1425" s="6"/>
      <c r="BK1425" s="6"/>
      <c r="BL1425" s="6"/>
      <c r="BM1425" s="6"/>
      <c r="BN1425" s="6"/>
      <c r="BO1425" s="6"/>
      <c r="BP1425" s="6"/>
      <c r="BQ1425" s="6"/>
      <c r="BR1425" s="6"/>
      <c r="BS1425" s="6"/>
      <c r="BT1425" s="6"/>
      <c r="BU1425" s="6"/>
      <c r="BV1425" s="6"/>
      <c r="BW1425" s="6"/>
      <c r="BX1425" s="6"/>
      <c r="BY1425" s="6"/>
      <c r="BZ1425" s="6"/>
      <c r="CA1425" s="6"/>
      <c r="CB1425" s="6"/>
      <c r="CC1425" s="6"/>
    </row>
    <row r="1426" spans="2:81" x14ac:dyDescent="0.2">
      <c r="B1426" s="68"/>
      <c r="C1426" s="69"/>
      <c r="D1426" s="70"/>
      <c r="F1426" s="68"/>
      <c r="G1426" s="69"/>
      <c r="H1426" s="70"/>
      <c r="J1426" s="71"/>
      <c r="K1426" s="71"/>
      <c r="L1426" s="67"/>
      <c r="N1426" s="71"/>
      <c r="O1426" s="71"/>
      <c r="P1426" s="67"/>
      <c r="R1426" s="67"/>
      <c r="S1426" s="6"/>
      <c r="T1426" s="6"/>
      <c r="U1426" s="6"/>
      <c r="V1426" s="6"/>
      <c r="W1426" s="6"/>
      <c r="X1426" s="6"/>
      <c r="Y1426" s="6"/>
      <c r="Z1426" s="6"/>
      <c r="AA1426" s="6"/>
      <c r="AB1426" s="6"/>
      <c r="AC1426" s="6"/>
      <c r="AD1426" s="6"/>
      <c r="AE1426" s="6"/>
      <c r="AF1426" s="6"/>
      <c r="AG1426" s="6"/>
      <c r="AH1426" s="6"/>
      <c r="AI1426" s="6"/>
      <c r="AJ1426" s="6"/>
      <c r="AK1426" s="6"/>
      <c r="AL1426" s="6"/>
      <c r="AM1426" s="6"/>
      <c r="AN1426" s="6"/>
      <c r="AO1426" s="6"/>
      <c r="AP1426" s="6"/>
      <c r="AQ1426" s="6"/>
      <c r="AR1426" s="6"/>
      <c r="AS1426" s="6"/>
      <c r="AT1426" s="6"/>
      <c r="AU1426" s="6"/>
      <c r="AV1426" s="6"/>
      <c r="AW1426" s="6"/>
      <c r="AX1426" s="6"/>
      <c r="AY1426" s="6"/>
      <c r="AZ1426" s="6"/>
      <c r="BA1426" s="6"/>
      <c r="BB1426" s="6"/>
      <c r="BC1426" s="6"/>
      <c r="BD1426" s="6"/>
      <c r="BE1426" s="6"/>
      <c r="BF1426" s="6"/>
      <c r="BG1426" s="6"/>
      <c r="BH1426" s="6"/>
      <c r="BI1426" s="6"/>
      <c r="BJ1426" s="6"/>
      <c r="BK1426" s="6"/>
      <c r="BL1426" s="6"/>
      <c r="BM1426" s="6"/>
      <c r="BN1426" s="6"/>
      <c r="BO1426" s="6"/>
      <c r="BP1426" s="6"/>
      <c r="BQ1426" s="6"/>
      <c r="BR1426" s="6"/>
      <c r="BS1426" s="6"/>
      <c r="BT1426" s="6"/>
      <c r="BU1426" s="6"/>
      <c r="BV1426" s="6"/>
      <c r="BW1426" s="6"/>
      <c r="BX1426" s="6"/>
      <c r="BY1426" s="6"/>
      <c r="BZ1426" s="6"/>
      <c r="CA1426" s="6"/>
      <c r="CB1426" s="6"/>
      <c r="CC1426" s="6"/>
    </row>
    <row r="1427" spans="2:81" x14ac:dyDescent="0.2">
      <c r="B1427" s="68"/>
      <c r="C1427" s="69"/>
      <c r="D1427" s="70"/>
      <c r="F1427" s="68"/>
      <c r="G1427" s="69"/>
      <c r="H1427" s="70"/>
      <c r="J1427" s="71"/>
      <c r="K1427" s="71"/>
      <c r="L1427" s="67"/>
      <c r="N1427" s="71"/>
      <c r="O1427" s="71"/>
      <c r="P1427" s="67"/>
      <c r="R1427" s="67"/>
      <c r="S1427" s="6"/>
      <c r="T1427" s="6"/>
      <c r="U1427" s="6"/>
      <c r="V1427" s="6"/>
      <c r="W1427" s="6"/>
      <c r="X1427" s="6"/>
      <c r="Y1427" s="6"/>
      <c r="Z1427" s="6"/>
      <c r="AA1427" s="6"/>
      <c r="AB1427" s="6"/>
      <c r="AC1427" s="6"/>
      <c r="AD1427" s="6"/>
      <c r="AE1427" s="6"/>
      <c r="AF1427" s="6"/>
      <c r="AG1427" s="6"/>
      <c r="AH1427" s="6"/>
      <c r="AI1427" s="6"/>
      <c r="AJ1427" s="6"/>
      <c r="AK1427" s="6"/>
      <c r="AL1427" s="6"/>
      <c r="AM1427" s="6"/>
      <c r="AN1427" s="6"/>
      <c r="AO1427" s="6"/>
      <c r="AP1427" s="6"/>
      <c r="AQ1427" s="6"/>
      <c r="AR1427" s="6"/>
      <c r="AS1427" s="6"/>
      <c r="AT1427" s="6"/>
      <c r="AU1427" s="6"/>
      <c r="AV1427" s="6"/>
      <c r="AW1427" s="6"/>
      <c r="AX1427" s="6"/>
      <c r="AY1427" s="6"/>
      <c r="AZ1427" s="6"/>
      <c r="BA1427" s="6"/>
      <c r="BB1427" s="6"/>
      <c r="BC1427" s="6"/>
      <c r="BD1427" s="6"/>
      <c r="BE1427" s="6"/>
      <c r="BF1427" s="6"/>
      <c r="BG1427" s="6"/>
      <c r="BH1427" s="6"/>
      <c r="BI1427" s="6"/>
      <c r="BJ1427" s="6"/>
      <c r="BK1427" s="6"/>
      <c r="BL1427" s="6"/>
      <c r="BM1427" s="6"/>
      <c r="BN1427" s="6"/>
      <c r="BO1427" s="6"/>
      <c r="BP1427" s="6"/>
      <c r="BQ1427" s="6"/>
      <c r="BR1427" s="6"/>
      <c r="BS1427" s="6"/>
      <c r="BT1427" s="6"/>
      <c r="BU1427" s="6"/>
      <c r="BV1427" s="6"/>
      <c r="BW1427" s="6"/>
      <c r="BX1427" s="6"/>
      <c r="BY1427" s="6"/>
      <c r="BZ1427" s="6"/>
      <c r="CA1427" s="6"/>
      <c r="CB1427" s="6"/>
      <c r="CC1427" s="6"/>
    </row>
    <row r="1428" spans="2:81" x14ac:dyDescent="0.2">
      <c r="B1428" s="68"/>
      <c r="C1428" s="69"/>
      <c r="D1428" s="70"/>
      <c r="F1428" s="68"/>
      <c r="G1428" s="69"/>
      <c r="H1428" s="70"/>
      <c r="J1428" s="71"/>
      <c r="K1428" s="71"/>
      <c r="L1428" s="67"/>
      <c r="N1428" s="71"/>
      <c r="O1428" s="71"/>
      <c r="P1428" s="67"/>
      <c r="R1428" s="67"/>
      <c r="S1428" s="6"/>
      <c r="T1428" s="6"/>
      <c r="U1428" s="6"/>
      <c r="V1428" s="6"/>
      <c r="W1428" s="6"/>
      <c r="X1428" s="6"/>
      <c r="Y1428" s="6"/>
      <c r="Z1428" s="6"/>
      <c r="AA1428" s="6"/>
      <c r="AB1428" s="6"/>
      <c r="AC1428" s="6"/>
      <c r="AD1428" s="6"/>
      <c r="AE1428" s="6"/>
      <c r="AF1428" s="6"/>
      <c r="AG1428" s="6"/>
      <c r="AH1428" s="6"/>
      <c r="AI1428" s="6"/>
      <c r="AJ1428" s="6"/>
      <c r="AK1428" s="6"/>
      <c r="AL1428" s="6"/>
      <c r="AM1428" s="6"/>
      <c r="AN1428" s="6"/>
      <c r="AO1428" s="6"/>
      <c r="AP1428" s="6"/>
      <c r="AQ1428" s="6"/>
      <c r="AR1428" s="6"/>
      <c r="AS1428" s="6"/>
      <c r="AT1428" s="6"/>
      <c r="AU1428" s="6"/>
      <c r="AV1428" s="6"/>
      <c r="AW1428" s="6"/>
      <c r="AX1428" s="6"/>
      <c r="AY1428" s="6"/>
      <c r="AZ1428" s="6"/>
      <c r="BA1428" s="6"/>
      <c r="BB1428" s="6"/>
      <c r="BC1428" s="6"/>
      <c r="BD1428" s="6"/>
      <c r="BE1428" s="6"/>
      <c r="BF1428" s="6"/>
      <c r="BG1428" s="6"/>
      <c r="BH1428" s="6"/>
      <c r="BI1428" s="6"/>
      <c r="BJ1428" s="6"/>
      <c r="BK1428" s="6"/>
      <c r="BL1428" s="6"/>
      <c r="BM1428" s="6"/>
      <c r="BN1428" s="6"/>
      <c r="BO1428" s="6"/>
      <c r="BP1428" s="6"/>
      <c r="BQ1428" s="6"/>
      <c r="BR1428" s="6"/>
      <c r="BS1428" s="6"/>
      <c r="BT1428" s="6"/>
      <c r="BU1428" s="6"/>
      <c r="BV1428" s="6"/>
      <c r="BW1428" s="6"/>
      <c r="BX1428" s="6"/>
      <c r="BY1428" s="6"/>
      <c r="BZ1428" s="6"/>
      <c r="CA1428" s="6"/>
      <c r="CB1428" s="6"/>
      <c r="CC1428" s="6"/>
    </row>
    <row r="1429" spans="2:81" x14ac:dyDescent="0.2">
      <c r="B1429" s="68"/>
      <c r="C1429" s="69"/>
      <c r="D1429" s="70"/>
      <c r="F1429" s="68"/>
      <c r="G1429" s="69"/>
      <c r="H1429" s="70"/>
      <c r="J1429" s="71"/>
      <c r="K1429" s="71"/>
      <c r="L1429" s="67"/>
      <c r="N1429" s="71"/>
      <c r="O1429" s="71"/>
      <c r="P1429" s="67"/>
      <c r="R1429" s="67"/>
      <c r="S1429" s="6"/>
      <c r="T1429" s="6"/>
      <c r="U1429" s="6"/>
      <c r="V1429" s="6"/>
      <c r="W1429" s="6"/>
      <c r="X1429" s="6"/>
      <c r="Y1429" s="6"/>
      <c r="Z1429" s="6"/>
      <c r="AA1429" s="6"/>
      <c r="AB1429" s="6"/>
      <c r="AC1429" s="6"/>
      <c r="AD1429" s="6"/>
      <c r="AE1429" s="6"/>
      <c r="AF1429" s="6"/>
      <c r="AG1429" s="6"/>
      <c r="AH1429" s="6"/>
      <c r="AI1429" s="6"/>
      <c r="AJ1429" s="6"/>
      <c r="AK1429" s="6"/>
      <c r="AL1429" s="6"/>
      <c r="AM1429" s="6"/>
      <c r="AN1429" s="6"/>
      <c r="AO1429" s="6"/>
      <c r="AP1429" s="6"/>
      <c r="AQ1429" s="6"/>
      <c r="AR1429" s="6"/>
      <c r="AS1429" s="6"/>
      <c r="AT1429" s="6"/>
      <c r="AU1429" s="6"/>
      <c r="AV1429" s="6"/>
      <c r="AW1429" s="6"/>
      <c r="AX1429" s="6"/>
      <c r="AY1429" s="6"/>
      <c r="AZ1429" s="6"/>
      <c r="BA1429" s="6"/>
      <c r="BB1429" s="6"/>
      <c r="BC1429" s="6"/>
      <c r="BD1429" s="6"/>
      <c r="BE1429" s="6"/>
      <c r="BF1429" s="6"/>
      <c r="BG1429" s="6"/>
      <c r="BH1429" s="6"/>
      <c r="BI1429" s="6"/>
      <c r="BJ1429" s="6"/>
      <c r="BK1429" s="6"/>
      <c r="BL1429" s="6"/>
      <c r="BM1429" s="6"/>
      <c r="BN1429" s="6"/>
      <c r="BO1429" s="6"/>
      <c r="BP1429" s="6"/>
      <c r="BQ1429" s="6"/>
      <c r="BR1429" s="6"/>
      <c r="BS1429" s="6"/>
      <c r="BT1429" s="6"/>
      <c r="BU1429" s="6"/>
      <c r="BV1429" s="6"/>
      <c r="BW1429" s="6"/>
      <c r="BX1429" s="6"/>
      <c r="BY1429" s="6"/>
      <c r="BZ1429" s="6"/>
      <c r="CA1429" s="6"/>
      <c r="CB1429" s="6"/>
      <c r="CC1429" s="6"/>
    </row>
    <row r="1430" spans="2:81" x14ac:dyDescent="0.2">
      <c r="B1430" s="68"/>
      <c r="C1430" s="69"/>
      <c r="D1430" s="70"/>
      <c r="F1430" s="68"/>
      <c r="G1430" s="69"/>
      <c r="H1430" s="70"/>
      <c r="J1430" s="71"/>
      <c r="K1430" s="71"/>
      <c r="L1430" s="67"/>
      <c r="N1430" s="71"/>
      <c r="O1430" s="71"/>
      <c r="P1430" s="67"/>
      <c r="R1430" s="67"/>
      <c r="S1430" s="6"/>
      <c r="T1430" s="6"/>
      <c r="U1430" s="6"/>
      <c r="V1430" s="6"/>
      <c r="W1430" s="6"/>
      <c r="X1430" s="6"/>
      <c r="Y1430" s="6"/>
      <c r="Z1430" s="6"/>
      <c r="AA1430" s="6"/>
      <c r="AB1430" s="6"/>
      <c r="AC1430" s="6"/>
      <c r="AD1430" s="6"/>
      <c r="AE1430" s="6"/>
      <c r="AF1430" s="6"/>
      <c r="AG1430" s="6"/>
      <c r="AH1430" s="6"/>
      <c r="AI1430" s="6"/>
      <c r="AJ1430" s="6"/>
      <c r="AK1430" s="6"/>
      <c r="AL1430" s="6"/>
      <c r="AM1430" s="6"/>
      <c r="AN1430" s="6"/>
      <c r="AO1430" s="6"/>
      <c r="AP1430" s="6"/>
      <c r="AQ1430" s="6"/>
      <c r="AR1430" s="6"/>
      <c r="AS1430" s="6"/>
      <c r="AT1430" s="6"/>
      <c r="AU1430" s="6"/>
      <c r="AV1430" s="6"/>
      <c r="AW1430" s="6"/>
      <c r="AX1430" s="6"/>
      <c r="AY1430" s="6"/>
      <c r="AZ1430" s="6"/>
      <c r="BA1430" s="6"/>
      <c r="BB1430" s="6"/>
      <c r="BC1430" s="6"/>
      <c r="BD1430" s="6"/>
      <c r="BE1430" s="6"/>
      <c r="BF1430" s="6"/>
      <c r="BG1430" s="6"/>
      <c r="BH1430" s="6"/>
      <c r="BI1430" s="6"/>
      <c r="BJ1430" s="6"/>
      <c r="BK1430" s="6"/>
      <c r="BL1430" s="6"/>
      <c r="BM1430" s="6"/>
      <c r="BN1430" s="6"/>
      <c r="BO1430" s="6"/>
      <c r="BP1430" s="6"/>
      <c r="BQ1430" s="6"/>
      <c r="BR1430" s="6"/>
      <c r="BS1430" s="6"/>
      <c r="BT1430" s="6"/>
      <c r="BU1430" s="6"/>
      <c r="BV1430" s="6"/>
      <c r="BW1430" s="6"/>
      <c r="BX1430" s="6"/>
      <c r="BY1430" s="6"/>
      <c r="BZ1430" s="6"/>
      <c r="CA1430" s="6"/>
      <c r="CB1430" s="6"/>
      <c r="CC1430" s="6"/>
    </row>
    <row r="1431" spans="2:81" x14ac:dyDescent="0.2">
      <c r="B1431" s="68"/>
      <c r="C1431" s="69"/>
      <c r="D1431" s="70"/>
      <c r="F1431" s="68"/>
      <c r="G1431" s="69"/>
      <c r="H1431" s="70"/>
      <c r="J1431" s="71"/>
      <c r="K1431" s="71"/>
      <c r="L1431" s="67"/>
      <c r="N1431" s="71"/>
      <c r="O1431" s="71"/>
      <c r="P1431" s="67"/>
      <c r="R1431" s="67"/>
      <c r="S1431" s="6"/>
      <c r="T1431" s="6"/>
      <c r="U1431" s="6"/>
      <c r="V1431" s="6"/>
      <c r="W1431" s="6"/>
      <c r="X1431" s="6"/>
      <c r="Y1431" s="6"/>
      <c r="Z1431" s="6"/>
      <c r="AA1431" s="6"/>
      <c r="AB1431" s="6"/>
      <c r="AC1431" s="6"/>
      <c r="AD1431" s="6"/>
      <c r="AE1431" s="6"/>
      <c r="AF1431" s="6"/>
      <c r="AG1431" s="6"/>
      <c r="AH1431" s="6"/>
      <c r="AI1431" s="6"/>
      <c r="AJ1431" s="6"/>
      <c r="AK1431" s="6"/>
      <c r="AL1431" s="6"/>
      <c r="AM1431" s="6"/>
      <c r="AN1431" s="6"/>
      <c r="AO1431" s="6"/>
      <c r="AP1431" s="6"/>
      <c r="AQ1431" s="6"/>
      <c r="AR1431" s="6"/>
      <c r="AS1431" s="6"/>
      <c r="AT1431" s="6"/>
      <c r="AU1431" s="6"/>
      <c r="AV1431" s="6"/>
      <c r="AW1431" s="6"/>
      <c r="AX1431" s="6"/>
      <c r="AY1431" s="6"/>
      <c r="AZ1431" s="6"/>
      <c r="BA1431" s="6"/>
      <c r="BB1431" s="6"/>
      <c r="BC1431" s="6"/>
      <c r="BD1431" s="6"/>
      <c r="BE1431" s="6"/>
      <c r="BF1431" s="6"/>
      <c r="BG1431" s="6"/>
      <c r="BH1431" s="6"/>
      <c r="BI1431" s="6"/>
      <c r="BJ1431" s="6"/>
      <c r="BK1431" s="6"/>
      <c r="BL1431" s="6"/>
      <c r="BM1431" s="6"/>
      <c r="BN1431" s="6"/>
      <c r="BO1431" s="6"/>
      <c r="BP1431" s="6"/>
      <c r="BQ1431" s="6"/>
      <c r="BR1431" s="6"/>
      <c r="BS1431" s="6"/>
      <c r="BT1431" s="6"/>
      <c r="BU1431" s="6"/>
      <c r="BV1431" s="6"/>
      <c r="BW1431" s="6"/>
      <c r="BX1431" s="6"/>
      <c r="BY1431" s="6"/>
      <c r="BZ1431" s="6"/>
      <c r="CA1431" s="6"/>
      <c r="CB1431" s="6"/>
      <c r="CC1431" s="6"/>
    </row>
    <row r="1432" spans="2:81" x14ac:dyDescent="0.2">
      <c r="B1432" s="68"/>
      <c r="C1432" s="69"/>
      <c r="D1432" s="70"/>
      <c r="F1432" s="68"/>
      <c r="G1432" s="69"/>
      <c r="H1432" s="70"/>
      <c r="J1432" s="71"/>
      <c r="K1432" s="71"/>
      <c r="L1432" s="67"/>
      <c r="N1432" s="71"/>
      <c r="O1432" s="71"/>
      <c r="P1432" s="67"/>
      <c r="R1432" s="67"/>
      <c r="S1432" s="6"/>
      <c r="T1432" s="6"/>
      <c r="U1432" s="6"/>
      <c r="V1432" s="6"/>
      <c r="W1432" s="6"/>
      <c r="X1432" s="6"/>
      <c r="Y1432" s="6"/>
      <c r="Z1432" s="6"/>
      <c r="AA1432" s="6"/>
      <c r="AB1432" s="6"/>
      <c r="AC1432" s="6"/>
      <c r="AD1432" s="6"/>
      <c r="AE1432" s="6"/>
      <c r="AF1432" s="6"/>
      <c r="AG1432" s="6"/>
      <c r="AH1432" s="6"/>
      <c r="AI1432" s="6"/>
      <c r="AJ1432" s="6"/>
      <c r="AK1432" s="6"/>
      <c r="AL1432" s="6"/>
      <c r="AM1432" s="6"/>
      <c r="AN1432" s="6"/>
      <c r="AO1432" s="6"/>
      <c r="AP1432" s="6"/>
      <c r="AQ1432" s="6"/>
      <c r="AR1432" s="6"/>
      <c r="AS1432" s="6"/>
      <c r="AT1432" s="6"/>
      <c r="AU1432" s="6"/>
      <c r="AV1432" s="6"/>
      <c r="AW1432" s="6"/>
      <c r="AX1432" s="6"/>
      <c r="AY1432" s="6"/>
      <c r="AZ1432" s="6"/>
      <c r="BA1432" s="6"/>
      <c r="BB1432" s="6"/>
      <c r="BC1432" s="6"/>
      <c r="BD1432" s="6"/>
      <c r="BE1432" s="6"/>
      <c r="BF1432" s="6"/>
      <c r="BG1432" s="6"/>
      <c r="BH1432" s="6"/>
      <c r="BI1432" s="6"/>
      <c r="BJ1432" s="6"/>
      <c r="BK1432" s="6"/>
      <c r="BL1432" s="6"/>
      <c r="BM1432" s="6"/>
      <c r="BN1432" s="6"/>
      <c r="BO1432" s="6"/>
      <c r="BP1432" s="6"/>
      <c r="BQ1432" s="6"/>
      <c r="BR1432" s="6"/>
      <c r="BS1432" s="6"/>
      <c r="BT1432" s="6"/>
      <c r="BU1432" s="6"/>
      <c r="BV1432" s="6"/>
      <c r="BW1432" s="6"/>
      <c r="BX1432" s="6"/>
      <c r="BY1432" s="6"/>
      <c r="BZ1432" s="6"/>
      <c r="CA1432" s="6"/>
      <c r="CB1432" s="6"/>
      <c r="CC1432" s="6"/>
    </row>
    <row r="1433" spans="2:81" x14ac:dyDescent="0.2">
      <c r="B1433" s="68"/>
      <c r="C1433" s="69"/>
      <c r="D1433" s="70"/>
      <c r="F1433" s="68"/>
      <c r="G1433" s="69"/>
      <c r="H1433" s="70"/>
      <c r="J1433" s="71"/>
      <c r="K1433" s="71"/>
      <c r="L1433" s="67"/>
      <c r="N1433" s="71"/>
      <c r="O1433" s="71"/>
      <c r="P1433" s="67"/>
      <c r="R1433" s="67"/>
      <c r="S1433" s="6"/>
      <c r="T1433" s="6"/>
      <c r="U1433" s="6"/>
      <c r="V1433" s="6"/>
      <c r="W1433" s="6"/>
      <c r="X1433" s="6"/>
      <c r="Y1433" s="6"/>
      <c r="Z1433" s="6"/>
      <c r="AA1433" s="6"/>
      <c r="AB1433" s="6"/>
      <c r="AC1433" s="6"/>
      <c r="AD1433" s="6"/>
      <c r="AE1433" s="6"/>
      <c r="AF1433" s="6"/>
      <c r="AG1433" s="6"/>
      <c r="AH1433" s="6"/>
      <c r="AI1433" s="6"/>
      <c r="AJ1433" s="6"/>
      <c r="AK1433" s="6"/>
      <c r="AL1433" s="6"/>
      <c r="AM1433" s="6"/>
      <c r="AN1433" s="6"/>
      <c r="AO1433" s="6"/>
      <c r="AP1433" s="6"/>
      <c r="AQ1433" s="6"/>
      <c r="AR1433" s="6"/>
      <c r="AS1433" s="6"/>
      <c r="AT1433" s="6"/>
      <c r="AU1433" s="6"/>
      <c r="AV1433" s="6"/>
      <c r="AW1433" s="6"/>
      <c r="AX1433" s="6"/>
      <c r="AY1433" s="6"/>
      <c r="AZ1433" s="6"/>
      <c r="BA1433" s="6"/>
      <c r="BB1433" s="6"/>
      <c r="BC1433" s="6"/>
      <c r="BD1433" s="6"/>
      <c r="BE1433" s="6"/>
      <c r="BF1433" s="6"/>
      <c r="BG1433" s="6"/>
      <c r="BH1433" s="6"/>
      <c r="BI1433" s="6"/>
      <c r="BJ1433" s="6"/>
      <c r="BK1433" s="6"/>
      <c r="BL1433" s="6"/>
      <c r="BM1433" s="6"/>
      <c r="BN1433" s="6"/>
      <c r="BO1433" s="6"/>
      <c r="BP1433" s="6"/>
      <c r="BQ1433" s="6"/>
      <c r="BR1433" s="6"/>
      <c r="BS1433" s="6"/>
      <c r="BT1433" s="6"/>
      <c r="BU1433" s="6"/>
      <c r="BV1433" s="6"/>
      <c r="BW1433" s="6"/>
      <c r="BX1433" s="6"/>
      <c r="BY1433" s="6"/>
      <c r="BZ1433" s="6"/>
      <c r="CA1433" s="6"/>
      <c r="CB1433" s="6"/>
      <c r="CC1433" s="6"/>
    </row>
    <row r="1434" spans="2:81" x14ac:dyDescent="0.2">
      <c r="B1434" s="68"/>
      <c r="C1434" s="69"/>
      <c r="D1434" s="70"/>
      <c r="F1434" s="68"/>
      <c r="G1434" s="69"/>
      <c r="H1434" s="70"/>
      <c r="J1434" s="71"/>
      <c r="K1434" s="71"/>
      <c r="L1434" s="67"/>
      <c r="N1434" s="71"/>
      <c r="O1434" s="71"/>
      <c r="P1434" s="67"/>
      <c r="R1434" s="67"/>
      <c r="S1434" s="6"/>
      <c r="T1434" s="6"/>
      <c r="U1434" s="6"/>
      <c r="V1434" s="6"/>
      <c r="W1434" s="6"/>
      <c r="X1434" s="6"/>
      <c r="Y1434" s="6"/>
      <c r="Z1434" s="6"/>
      <c r="AA1434" s="6"/>
      <c r="AB1434" s="6"/>
      <c r="AC1434" s="6"/>
      <c r="AD1434" s="6"/>
      <c r="AE1434" s="6"/>
      <c r="AF1434" s="6"/>
      <c r="AG1434" s="6"/>
      <c r="AH1434" s="6"/>
      <c r="AI1434" s="6"/>
      <c r="AJ1434" s="6"/>
      <c r="AK1434" s="6"/>
      <c r="AL1434" s="6"/>
      <c r="AM1434" s="6"/>
      <c r="AN1434" s="6"/>
      <c r="AO1434" s="6"/>
      <c r="AP1434" s="6"/>
      <c r="AQ1434" s="6"/>
      <c r="AR1434" s="6"/>
      <c r="AS1434" s="6"/>
      <c r="AT1434" s="6"/>
      <c r="AU1434" s="6"/>
      <c r="AV1434" s="6"/>
      <c r="AW1434" s="6"/>
      <c r="AX1434" s="6"/>
      <c r="AY1434" s="6"/>
      <c r="AZ1434" s="6"/>
      <c r="BA1434" s="6"/>
      <c r="BB1434" s="6"/>
      <c r="BC1434" s="6"/>
      <c r="BD1434" s="6"/>
      <c r="BE1434" s="6"/>
      <c r="BF1434" s="6"/>
      <c r="BG1434" s="6"/>
      <c r="BH1434" s="6"/>
      <c r="BI1434" s="6"/>
      <c r="BJ1434" s="6"/>
      <c r="BK1434" s="6"/>
      <c r="BL1434" s="6"/>
      <c r="BM1434" s="6"/>
      <c r="BN1434" s="6"/>
      <c r="BO1434" s="6"/>
      <c r="BP1434" s="6"/>
      <c r="BQ1434" s="6"/>
      <c r="BR1434" s="6"/>
      <c r="BS1434" s="6"/>
      <c r="BT1434" s="6"/>
      <c r="BU1434" s="6"/>
      <c r="BV1434" s="6"/>
      <c r="BW1434" s="6"/>
      <c r="BX1434" s="6"/>
      <c r="BY1434" s="6"/>
      <c r="BZ1434" s="6"/>
      <c r="CA1434" s="6"/>
      <c r="CB1434" s="6"/>
      <c r="CC1434" s="6"/>
    </row>
    <row r="1435" spans="2:81" x14ac:dyDescent="0.2">
      <c r="B1435" s="68"/>
      <c r="C1435" s="69"/>
      <c r="D1435" s="70"/>
      <c r="F1435" s="68"/>
      <c r="G1435" s="69"/>
      <c r="H1435" s="70"/>
      <c r="J1435" s="71"/>
      <c r="K1435" s="71"/>
      <c r="L1435" s="67"/>
      <c r="N1435" s="71"/>
      <c r="O1435" s="71"/>
      <c r="P1435" s="67"/>
      <c r="R1435" s="67"/>
      <c r="S1435" s="6"/>
      <c r="T1435" s="6"/>
      <c r="U1435" s="6"/>
      <c r="V1435" s="6"/>
      <c r="W1435" s="6"/>
      <c r="X1435" s="6"/>
      <c r="Y1435" s="6"/>
      <c r="Z1435" s="6"/>
      <c r="AA1435" s="6"/>
      <c r="AB1435" s="6"/>
      <c r="AC1435" s="6"/>
      <c r="AD1435" s="6"/>
      <c r="AE1435" s="6"/>
      <c r="AF1435" s="6"/>
      <c r="AG1435" s="6"/>
      <c r="AH1435" s="6"/>
      <c r="AI1435" s="6"/>
      <c r="AJ1435" s="6"/>
      <c r="AK1435" s="6"/>
      <c r="AL1435" s="6"/>
      <c r="AM1435" s="6"/>
      <c r="AN1435" s="6"/>
      <c r="AO1435" s="6"/>
      <c r="AP1435" s="6"/>
      <c r="AQ1435" s="6"/>
      <c r="AR1435" s="6"/>
      <c r="AS1435" s="6"/>
      <c r="AT1435" s="6"/>
      <c r="AU1435" s="6"/>
      <c r="AV1435" s="6"/>
      <c r="AW1435" s="6"/>
      <c r="AX1435" s="6"/>
      <c r="AY1435" s="6"/>
      <c r="AZ1435" s="6"/>
      <c r="BA1435" s="6"/>
      <c r="BB1435" s="6"/>
      <c r="BC1435" s="6"/>
      <c r="BD1435" s="6"/>
      <c r="BE1435" s="6"/>
      <c r="BF1435" s="6"/>
      <c r="BG1435" s="6"/>
      <c r="BH1435" s="6"/>
      <c r="BI1435" s="6"/>
      <c r="BJ1435" s="6"/>
      <c r="BK1435" s="6"/>
      <c r="BL1435" s="6"/>
      <c r="BM1435" s="6"/>
      <c r="BN1435" s="6"/>
      <c r="BO1435" s="6"/>
      <c r="BP1435" s="6"/>
      <c r="BQ1435" s="6"/>
      <c r="BR1435" s="6"/>
      <c r="BS1435" s="6"/>
      <c r="BT1435" s="6"/>
      <c r="BU1435" s="6"/>
      <c r="BV1435" s="6"/>
      <c r="BW1435" s="6"/>
      <c r="BX1435" s="6"/>
      <c r="BY1435" s="6"/>
      <c r="BZ1435" s="6"/>
      <c r="CA1435" s="6"/>
      <c r="CB1435" s="6"/>
      <c r="CC1435" s="6"/>
    </row>
    <row r="1436" spans="2:81" x14ac:dyDescent="0.2">
      <c r="B1436" s="68"/>
      <c r="C1436" s="69"/>
      <c r="D1436" s="70"/>
      <c r="F1436" s="68"/>
      <c r="G1436" s="69"/>
      <c r="H1436" s="70"/>
      <c r="J1436" s="71"/>
      <c r="K1436" s="71"/>
      <c r="L1436" s="67"/>
      <c r="N1436" s="71"/>
      <c r="O1436" s="71"/>
      <c r="P1436" s="67"/>
      <c r="R1436" s="67"/>
      <c r="S1436" s="6"/>
      <c r="T1436" s="6"/>
      <c r="U1436" s="6"/>
      <c r="V1436" s="6"/>
      <c r="W1436" s="6"/>
      <c r="X1436" s="6"/>
      <c r="Y1436" s="6"/>
      <c r="Z1436" s="6"/>
      <c r="AA1436" s="6"/>
      <c r="AB1436" s="6"/>
      <c r="AC1436" s="6"/>
      <c r="AD1436" s="6"/>
      <c r="AE1436" s="6"/>
      <c r="AF1436" s="6"/>
      <c r="AG1436" s="6"/>
      <c r="AH1436" s="6"/>
      <c r="AI1436" s="6"/>
      <c r="AJ1436" s="6"/>
      <c r="AK1436" s="6"/>
      <c r="AL1436" s="6"/>
      <c r="AM1436" s="6"/>
      <c r="AN1436" s="6"/>
      <c r="AO1436" s="6"/>
      <c r="AP1436" s="6"/>
      <c r="AQ1436" s="6"/>
      <c r="AR1436" s="6"/>
      <c r="AS1436" s="6"/>
      <c r="AT1436" s="6"/>
      <c r="AU1436" s="6"/>
      <c r="AV1436" s="6"/>
      <c r="AW1436" s="6"/>
      <c r="AX1436" s="6"/>
      <c r="AY1436" s="6"/>
      <c r="AZ1436" s="6"/>
      <c r="BA1436" s="6"/>
      <c r="BB1436" s="6"/>
      <c r="BC1436" s="6"/>
      <c r="BD1436" s="6"/>
      <c r="BE1436" s="6"/>
      <c r="BF1436" s="6"/>
      <c r="BG1436" s="6"/>
      <c r="BH1436" s="6"/>
      <c r="BI1436" s="6"/>
      <c r="BJ1436" s="6"/>
      <c r="BK1436" s="6"/>
      <c r="BL1436" s="6"/>
      <c r="BM1436" s="6"/>
      <c r="BN1436" s="6"/>
      <c r="BO1436" s="6"/>
      <c r="BP1436" s="6"/>
      <c r="BQ1436" s="6"/>
      <c r="BR1436" s="6"/>
      <c r="BS1436" s="6"/>
      <c r="BT1436" s="6"/>
      <c r="BU1436" s="6"/>
      <c r="BV1436" s="6"/>
      <c r="BW1436" s="6"/>
      <c r="BX1436" s="6"/>
      <c r="BY1436" s="6"/>
      <c r="BZ1436" s="6"/>
      <c r="CA1436" s="6"/>
      <c r="CB1436" s="6"/>
      <c r="CC1436" s="6"/>
    </row>
    <row r="1437" spans="2:81" x14ac:dyDescent="0.2">
      <c r="B1437" s="68"/>
      <c r="C1437" s="69"/>
      <c r="D1437" s="70"/>
      <c r="F1437" s="68"/>
      <c r="G1437" s="69"/>
      <c r="H1437" s="70"/>
      <c r="J1437" s="71"/>
      <c r="K1437" s="71"/>
      <c r="L1437" s="67"/>
      <c r="N1437" s="71"/>
      <c r="O1437" s="71"/>
      <c r="P1437" s="67"/>
      <c r="R1437" s="67"/>
      <c r="S1437" s="6"/>
      <c r="T1437" s="6"/>
      <c r="U1437" s="6"/>
      <c r="V1437" s="6"/>
      <c r="W1437" s="6"/>
      <c r="X1437" s="6"/>
      <c r="Y1437" s="6"/>
      <c r="Z1437" s="6"/>
      <c r="AA1437" s="6"/>
      <c r="AB1437" s="6"/>
      <c r="AC1437" s="6"/>
      <c r="AD1437" s="6"/>
      <c r="AE1437" s="6"/>
      <c r="AF1437" s="6"/>
      <c r="AG1437" s="6"/>
      <c r="AH1437" s="6"/>
      <c r="AI1437" s="6"/>
      <c r="AJ1437" s="6"/>
      <c r="AK1437" s="6"/>
      <c r="AL1437" s="6"/>
      <c r="AM1437" s="6"/>
      <c r="AN1437" s="6"/>
      <c r="AO1437" s="6"/>
      <c r="AP1437" s="6"/>
      <c r="AQ1437" s="6"/>
      <c r="AR1437" s="6"/>
      <c r="AS1437" s="6"/>
      <c r="AT1437" s="6"/>
      <c r="AU1437" s="6"/>
      <c r="AV1437" s="6"/>
      <c r="AW1437" s="6"/>
      <c r="AX1437" s="6"/>
      <c r="AY1437" s="6"/>
      <c r="AZ1437" s="6"/>
      <c r="BA1437" s="6"/>
      <c r="BB1437" s="6"/>
      <c r="BC1437" s="6"/>
      <c r="BD1437" s="6"/>
      <c r="BE1437" s="6"/>
      <c r="BF1437" s="6"/>
      <c r="BG1437" s="6"/>
      <c r="BH1437" s="6"/>
      <c r="BI1437" s="6"/>
      <c r="BJ1437" s="6"/>
      <c r="BK1437" s="6"/>
      <c r="BL1437" s="6"/>
      <c r="BM1437" s="6"/>
      <c r="BN1437" s="6"/>
      <c r="BO1437" s="6"/>
      <c r="BP1437" s="6"/>
      <c r="BQ1437" s="6"/>
      <c r="BR1437" s="6"/>
      <c r="BS1437" s="6"/>
      <c r="BT1437" s="6"/>
      <c r="BU1437" s="6"/>
      <c r="BV1437" s="6"/>
      <c r="BW1437" s="6"/>
      <c r="BX1437" s="6"/>
      <c r="BY1437" s="6"/>
      <c r="BZ1437" s="6"/>
      <c r="CA1437" s="6"/>
      <c r="CB1437" s="6"/>
      <c r="CC1437" s="6"/>
    </row>
    <row r="1438" spans="2:81" x14ac:dyDescent="0.2">
      <c r="B1438" s="68"/>
      <c r="C1438" s="69"/>
      <c r="D1438" s="70"/>
      <c r="F1438" s="68"/>
      <c r="G1438" s="69"/>
      <c r="H1438" s="70"/>
      <c r="J1438" s="71"/>
      <c r="K1438" s="71"/>
      <c r="L1438" s="67"/>
      <c r="N1438" s="71"/>
      <c r="O1438" s="71"/>
      <c r="P1438" s="67"/>
      <c r="R1438" s="67"/>
      <c r="S1438" s="6"/>
      <c r="T1438" s="6"/>
      <c r="U1438" s="6"/>
      <c r="V1438" s="6"/>
      <c r="W1438" s="6"/>
      <c r="X1438" s="6"/>
      <c r="Y1438" s="6"/>
      <c r="Z1438" s="6"/>
      <c r="AA1438" s="6"/>
      <c r="AB1438" s="6"/>
      <c r="AC1438" s="6"/>
      <c r="AD1438" s="6"/>
      <c r="AE1438" s="6"/>
      <c r="AF1438" s="6"/>
      <c r="AG1438" s="6"/>
      <c r="AH1438" s="6"/>
      <c r="AI1438" s="6"/>
      <c r="AJ1438" s="6"/>
      <c r="AK1438" s="6"/>
      <c r="AL1438" s="6"/>
      <c r="AM1438" s="6"/>
      <c r="AN1438" s="6"/>
      <c r="AO1438" s="6"/>
      <c r="AP1438" s="6"/>
      <c r="AQ1438" s="6"/>
      <c r="AR1438" s="6"/>
      <c r="AS1438" s="6"/>
      <c r="AT1438" s="6"/>
      <c r="AU1438" s="6"/>
      <c r="AV1438" s="6"/>
      <c r="AW1438" s="6"/>
      <c r="AX1438" s="6"/>
      <c r="AY1438" s="6"/>
      <c r="AZ1438" s="6"/>
      <c r="BA1438" s="6"/>
      <c r="BB1438" s="6"/>
      <c r="BC1438" s="6"/>
      <c r="BD1438" s="6"/>
      <c r="BE1438" s="6"/>
      <c r="BF1438" s="6"/>
      <c r="BG1438" s="6"/>
      <c r="BH1438" s="6"/>
      <c r="BI1438" s="6"/>
      <c r="BJ1438" s="6"/>
      <c r="BK1438" s="6"/>
      <c r="BL1438" s="6"/>
      <c r="BM1438" s="6"/>
      <c r="BN1438" s="6"/>
      <c r="BO1438" s="6"/>
      <c r="BP1438" s="6"/>
      <c r="BQ1438" s="6"/>
      <c r="BR1438" s="6"/>
      <c r="BS1438" s="6"/>
      <c r="BT1438" s="6"/>
      <c r="BU1438" s="6"/>
      <c r="BV1438" s="6"/>
      <c r="BW1438" s="6"/>
      <c r="BX1438" s="6"/>
      <c r="BY1438" s="6"/>
      <c r="BZ1438" s="6"/>
      <c r="CA1438" s="6"/>
      <c r="CB1438" s="6"/>
      <c r="CC1438" s="6"/>
    </row>
    <row r="1439" spans="2:81" x14ac:dyDescent="0.2">
      <c r="B1439" s="68"/>
      <c r="C1439" s="69"/>
      <c r="D1439" s="70"/>
      <c r="F1439" s="68"/>
      <c r="G1439" s="69"/>
      <c r="H1439" s="70"/>
      <c r="J1439" s="71"/>
      <c r="K1439" s="71"/>
      <c r="L1439" s="67"/>
      <c r="N1439" s="71"/>
      <c r="O1439" s="71"/>
      <c r="P1439" s="67"/>
      <c r="R1439" s="67"/>
      <c r="S1439" s="6"/>
      <c r="T1439" s="6"/>
      <c r="U1439" s="6"/>
      <c r="V1439" s="6"/>
      <c r="W1439" s="6"/>
      <c r="X1439" s="6"/>
      <c r="Y1439" s="6"/>
      <c r="Z1439" s="6"/>
      <c r="AA1439" s="6"/>
      <c r="AB1439" s="6"/>
      <c r="AC1439" s="6"/>
      <c r="AD1439" s="6"/>
      <c r="AE1439" s="6"/>
      <c r="AF1439" s="6"/>
      <c r="AG1439" s="6"/>
      <c r="AH1439" s="6"/>
      <c r="AI1439" s="6"/>
      <c r="AJ1439" s="6"/>
      <c r="AK1439" s="6"/>
      <c r="AL1439" s="6"/>
      <c r="AM1439" s="6"/>
      <c r="AN1439" s="6"/>
      <c r="AO1439" s="6"/>
      <c r="AP1439" s="6"/>
      <c r="AQ1439" s="6"/>
      <c r="AR1439" s="6"/>
      <c r="AS1439" s="6"/>
      <c r="AT1439" s="6"/>
      <c r="AU1439" s="6"/>
      <c r="AV1439" s="6"/>
      <c r="AW1439" s="6"/>
      <c r="AX1439" s="6"/>
      <c r="AY1439" s="6"/>
      <c r="AZ1439" s="6"/>
      <c r="BA1439" s="6"/>
      <c r="BB1439" s="6"/>
      <c r="BC1439" s="6"/>
      <c r="BD1439" s="6"/>
      <c r="BE1439" s="6"/>
      <c r="BF1439" s="6"/>
      <c r="BG1439" s="6"/>
      <c r="BH1439" s="6"/>
      <c r="BI1439" s="6"/>
      <c r="BJ1439" s="6"/>
      <c r="BK1439" s="6"/>
      <c r="BL1439" s="6"/>
      <c r="BM1439" s="6"/>
      <c r="BN1439" s="6"/>
      <c r="BO1439" s="6"/>
      <c r="BP1439" s="6"/>
      <c r="BQ1439" s="6"/>
      <c r="BR1439" s="6"/>
      <c r="BS1439" s="6"/>
      <c r="BT1439" s="6"/>
      <c r="BU1439" s="6"/>
      <c r="BV1439" s="6"/>
      <c r="BW1439" s="6"/>
      <c r="BX1439" s="6"/>
      <c r="BY1439" s="6"/>
      <c r="BZ1439" s="6"/>
      <c r="CA1439" s="6"/>
      <c r="CB1439" s="6"/>
      <c r="CC1439" s="6"/>
    </row>
    <row r="1440" spans="2:81" x14ac:dyDescent="0.2">
      <c r="B1440" s="68"/>
      <c r="C1440" s="69"/>
      <c r="D1440" s="70"/>
      <c r="F1440" s="68"/>
      <c r="G1440" s="69"/>
      <c r="H1440" s="70"/>
      <c r="J1440" s="71"/>
      <c r="K1440" s="71"/>
      <c r="L1440" s="67"/>
      <c r="N1440" s="71"/>
      <c r="O1440" s="71"/>
      <c r="P1440" s="67"/>
      <c r="R1440" s="67"/>
      <c r="S1440" s="6"/>
      <c r="T1440" s="6"/>
      <c r="U1440" s="6"/>
      <c r="V1440" s="6"/>
      <c r="W1440" s="6"/>
      <c r="X1440" s="6"/>
      <c r="Y1440" s="6"/>
      <c r="Z1440" s="6"/>
      <c r="AA1440" s="6"/>
      <c r="AB1440" s="6"/>
      <c r="AC1440" s="6"/>
      <c r="AD1440" s="6"/>
      <c r="AE1440" s="6"/>
      <c r="AF1440" s="6"/>
      <c r="AG1440" s="6"/>
      <c r="AH1440" s="6"/>
      <c r="AI1440" s="6"/>
      <c r="AJ1440" s="6"/>
      <c r="AK1440" s="6"/>
      <c r="AL1440" s="6"/>
      <c r="AM1440" s="6"/>
      <c r="AN1440" s="6"/>
      <c r="AO1440" s="6"/>
      <c r="AP1440" s="6"/>
      <c r="AQ1440" s="6"/>
      <c r="AR1440" s="6"/>
      <c r="AS1440" s="6"/>
      <c r="AT1440" s="6"/>
      <c r="AU1440" s="6"/>
      <c r="AV1440" s="6"/>
      <c r="AW1440" s="6"/>
      <c r="AX1440" s="6"/>
      <c r="AY1440" s="6"/>
      <c r="AZ1440" s="6"/>
      <c r="BA1440" s="6"/>
      <c r="BB1440" s="6"/>
      <c r="BC1440" s="6"/>
      <c r="BD1440" s="6"/>
      <c r="BE1440" s="6"/>
      <c r="BF1440" s="6"/>
      <c r="BG1440" s="6"/>
      <c r="BH1440" s="6"/>
      <c r="BI1440" s="6"/>
      <c r="BJ1440" s="6"/>
      <c r="BK1440" s="6"/>
      <c r="BL1440" s="6"/>
      <c r="BM1440" s="6"/>
      <c r="BN1440" s="6"/>
      <c r="BO1440" s="6"/>
      <c r="BP1440" s="6"/>
      <c r="BQ1440" s="6"/>
      <c r="BR1440" s="6"/>
      <c r="BS1440" s="6"/>
      <c r="BT1440" s="6"/>
      <c r="BU1440" s="6"/>
      <c r="BV1440" s="6"/>
      <c r="BW1440" s="6"/>
      <c r="BX1440" s="6"/>
      <c r="BY1440" s="6"/>
      <c r="BZ1440" s="6"/>
      <c r="CA1440" s="6"/>
      <c r="CB1440" s="6"/>
      <c r="CC1440" s="6"/>
    </row>
    <row r="1441" spans="2:81" x14ac:dyDescent="0.2">
      <c r="B1441" s="68"/>
      <c r="C1441" s="69"/>
      <c r="D1441" s="70"/>
      <c r="F1441" s="68"/>
      <c r="G1441" s="69"/>
      <c r="H1441" s="70"/>
      <c r="J1441" s="71"/>
      <c r="K1441" s="71"/>
      <c r="L1441" s="67"/>
      <c r="N1441" s="71"/>
      <c r="O1441" s="71"/>
      <c r="P1441" s="67"/>
      <c r="R1441" s="67"/>
      <c r="S1441" s="6"/>
      <c r="T1441" s="6"/>
      <c r="U1441" s="6"/>
      <c r="V1441" s="6"/>
      <c r="W1441" s="6"/>
      <c r="X1441" s="6"/>
      <c r="Y1441" s="6"/>
      <c r="Z1441" s="6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  <c r="AN1441" s="6"/>
      <c r="AO1441" s="6"/>
      <c r="AP1441" s="6"/>
      <c r="AQ1441" s="6"/>
      <c r="AR1441" s="6"/>
      <c r="AS1441" s="6"/>
      <c r="AT1441" s="6"/>
      <c r="AU1441" s="6"/>
      <c r="AV1441" s="6"/>
      <c r="AW1441" s="6"/>
      <c r="AX1441" s="6"/>
      <c r="AY1441" s="6"/>
      <c r="AZ1441" s="6"/>
      <c r="BA1441" s="6"/>
      <c r="BB1441" s="6"/>
      <c r="BC1441" s="6"/>
      <c r="BD1441" s="6"/>
      <c r="BE1441" s="6"/>
      <c r="BF1441" s="6"/>
      <c r="BG1441" s="6"/>
      <c r="BH1441" s="6"/>
      <c r="BI1441" s="6"/>
      <c r="BJ1441" s="6"/>
      <c r="BK1441" s="6"/>
      <c r="BL1441" s="6"/>
      <c r="BM1441" s="6"/>
      <c r="BN1441" s="6"/>
      <c r="BO1441" s="6"/>
      <c r="BP1441" s="6"/>
      <c r="BQ1441" s="6"/>
      <c r="BR1441" s="6"/>
      <c r="BS1441" s="6"/>
      <c r="BT1441" s="6"/>
      <c r="BU1441" s="6"/>
      <c r="BV1441" s="6"/>
      <c r="BW1441" s="6"/>
      <c r="BX1441" s="6"/>
      <c r="BY1441" s="6"/>
      <c r="BZ1441" s="6"/>
      <c r="CA1441" s="6"/>
      <c r="CB1441" s="6"/>
      <c r="CC1441" s="6"/>
    </row>
    <row r="1442" spans="2:81" x14ac:dyDescent="0.2">
      <c r="B1442" s="68"/>
      <c r="C1442" s="69"/>
      <c r="D1442" s="70"/>
      <c r="F1442" s="68"/>
      <c r="G1442" s="69"/>
      <c r="H1442" s="70"/>
      <c r="J1442" s="71"/>
      <c r="K1442" s="71"/>
      <c r="L1442" s="67"/>
      <c r="N1442" s="71"/>
      <c r="O1442" s="71"/>
      <c r="P1442" s="67"/>
      <c r="R1442" s="67"/>
      <c r="S1442" s="6"/>
      <c r="T1442" s="6"/>
      <c r="U1442" s="6"/>
      <c r="V1442" s="6"/>
      <c r="W1442" s="6"/>
      <c r="X1442" s="6"/>
      <c r="Y1442" s="6"/>
      <c r="Z1442" s="6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  <c r="AN1442" s="6"/>
      <c r="AO1442" s="6"/>
      <c r="AP1442" s="6"/>
      <c r="AQ1442" s="6"/>
      <c r="AR1442" s="6"/>
      <c r="AS1442" s="6"/>
      <c r="AT1442" s="6"/>
      <c r="AU1442" s="6"/>
      <c r="AV1442" s="6"/>
      <c r="AW1442" s="6"/>
      <c r="AX1442" s="6"/>
      <c r="AY1442" s="6"/>
      <c r="AZ1442" s="6"/>
      <c r="BA1442" s="6"/>
      <c r="BB1442" s="6"/>
      <c r="BC1442" s="6"/>
      <c r="BD1442" s="6"/>
      <c r="BE1442" s="6"/>
      <c r="BF1442" s="6"/>
      <c r="BG1442" s="6"/>
      <c r="BH1442" s="6"/>
      <c r="BI1442" s="6"/>
      <c r="BJ1442" s="6"/>
      <c r="BK1442" s="6"/>
      <c r="BL1442" s="6"/>
      <c r="BM1442" s="6"/>
      <c r="BN1442" s="6"/>
      <c r="BO1442" s="6"/>
      <c r="BP1442" s="6"/>
      <c r="BQ1442" s="6"/>
      <c r="BR1442" s="6"/>
      <c r="BS1442" s="6"/>
      <c r="BT1442" s="6"/>
      <c r="BU1442" s="6"/>
      <c r="BV1442" s="6"/>
      <c r="BW1442" s="6"/>
      <c r="BX1442" s="6"/>
      <c r="BY1442" s="6"/>
      <c r="BZ1442" s="6"/>
      <c r="CA1442" s="6"/>
      <c r="CB1442" s="6"/>
      <c r="CC1442" s="6"/>
    </row>
    <row r="1443" spans="2:81" x14ac:dyDescent="0.2">
      <c r="B1443" s="68"/>
      <c r="C1443" s="69"/>
      <c r="D1443" s="70"/>
      <c r="F1443" s="68"/>
      <c r="G1443" s="69"/>
      <c r="H1443" s="70"/>
      <c r="J1443" s="71"/>
      <c r="K1443" s="71"/>
      <c r="L1443" s="67"/>
      <c r="N1443" s="71"/>
      <c r="O1443" s="71"/>
      <c r="P1443" s="67"/>
      <c r="R1443" s="67"/>
      <c r="S1443" s="6"/>
      <c r="T1443" s="6"/>
      <c r="U1443" s="6"/>
      <c r="V1443" s="6"/>
      <c r="W1443" s="6"/>
      <c r="X1443" s="6"/>
      <c r="Y1443" s="6"/>
      <c r="Z1443" s="6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  <c r="AN1443" s="6"/>
      <c r="AO1443" s="6"/>
      <c r="AP1443" s="6"/>
      <c r="AQ1443" s="6"/>
      <c r="AR1443" s="6"/>
      <c r="AS1443" s="6"/>
      <c r="AT1443" s="6"/>
      <c r="AU1443" s="6"/>
      <c r="AV1443" s="6"/>
      <c r="AW1443" s="6"/>
      <c r="AX1443" s="6"/>
      <c r="AY1443" s="6"/>
      <c r="AZ1443" s="6"/>
      <c r="BA1443" s="6"/>
      <c r="BB1443" s="6"/>
      <c r="BC1443" s="6"/>
      <c r="BD1443" s="6"/>
      <c r="BE1443" s="6"/>
      <c r="BF1443" s="6"/>
      <c r="BG1443" s="6"/>
      <c r="BH1443" s="6"/>
      <c r="BI1443" s="6"/>
      <c r="BJ1443" s="6"/>
      <c r="BK1443" s="6"/>
      <c r="BL1443" s="6"/>
      <c r="BM1443" s="6"/>
      <c r="BN1443" s="6"/>
      <c r="BO1443" s="6"/>
      <c r="BP1443" s="6"/>
      <c r="BQ1443" s="6"/>
      <c r="BR1443" s="6"/>
      <c r="BS1443" s="6"/>
      <c r="BT1443" s="6"/>
      <c r="BU1443" s="6"/>
      <c r="BV1443" s="6"/>
      <c r="BW1443" s="6"/>
      <c r="BX1443" s="6"/>
      <c r="BY1443" s="6"/>
      <c r="BZ1443" s="6"/>
      <c r="CA1443" s="6"/>
      <c r="CB1443" s="6"/>
      <c r="CC1443" s="6"/>
    </row>
    <row r="1444" spans="2:81" x14ac:dyDescent="0.2">
      <c r="B1444" s="68"/>
      <c r="C1444" s="69"/>
      <c r="D1444" s="70"/>
      <c r="F1444" s="68"/>
      <c r="G1444" s="69"/>
      <c r="H1444" s="70"/>
      <c r="J1444" s="71"/>
      <c r="K1444" s="71"/>
      <c r="L1444" s="67"/>
      <c r="N1444" s="71"/>
      <c r="O1444" s="71"/>
      <c r="P1444" s="67"/>
      <c r="R1444" s="67"/>
      <c r="S1444" s="6"/>
      <c r="T1444" s="6"/>
      <c r="U1444" s="6"/>
      <c r="V1444" s="6"/>
      <c r="W1444" s="6"/>
      <c r="X1444" s="6"/>
      <c r="Y1444" s="6"/>
      <c r="Z1444" s="6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  <c r="AN1444" s="6"/>
      <c r="AO1444" s="6"/>
      <c r="AP1444" s="6"/>
      <c r="AQ1444" s="6"/>
      <c r="AR1444" s="6"/>
      <c r="AS1444" s="6"/>
      <c r="AT1444" s="6"/>
      <c r="AU1444" s="6"/>
      <c r="AV1444" s="6"/>
      <c r="AW1444" s="6"/>
      <c r="AX1444" s="6"/>
      <c r="AY1444" s="6"/>
      <c r="AZ1444" s="6"/>
      <c r="BA1444" s="6"/>
      <c r="BB1444" s="6"/>
      <c r="BC1444" s="6"/>
      <c r="BD1444" s="6"/>
      <c r="BE1444" s="6"/>
      <c r="BF1444" s="6"/>
      <c r="BG1444" s="6"/>
      <c r="BH1444" s="6"/>
      <c r="BI1444" s="6"/>
      <c r="BJ1444" s="6"/>
      <c r="BK1444" s="6"/>
      <c r="BL1444" s="6"/>
      <c r="BM1444" s="6"/>
      <c r="BN1444" s="6"/>
      <c r="BO1444" s="6"/>
      <c r="BP1444" s="6"/>
      <c r="BQ1444" s="6"/>
      <c r="BR1444" s="6"/>
      <c r="BS1444" s="6"/>
      <c r="BT1444" s="6"/>
      <c r="BU1444" s="6"/>
      <c r="BV1444" s="6"/>
      <c r="BW1444" s="6"/>
      <c r="BX1444" s="6"/>
      <c r="BY1444" s="6"/>
      <c r="BZ1444" s="6"/>
      <c r="CA1444" s="6"/>
      <c r="CB1444" s="6"/>
      <c r="CC1444" s="6"/>
    </row>
    <row r="1445" spans="2:81" x14ac:dyDescent="0.2">
      <c r="B1445" s="68"/>
      <c r="C1445" s="69"/>
      <c r="D1445" s="70"/>
      <c r="F1445" s="68"/>
      <c r="G1445" s="69"/>
      <c r="H1445" s="70"/>
      <c r="J1445" s="71"/>
      <c r="K1445" s="71"/>
      <c r="L1445" s="67"/>
      <c r="N1445" s="71"/>
      <c r="O1445" s="71"/>
      <c r="P1445" s="67"/>
      <c r="R1445" s="67"/>
      <c r="S1445" s="6"/>
      <c r="T1445" s="6"/>
      <c r="U1445" s="6"/>
      <c r="V1445" s="6"/>
      <c r="W1445" s="6"/>
      <c r="X1445" s="6"/>
      <c r="Y1445" s="6"/>
      <c r="Z1445" s="6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  <c r="AN1445" s="6"/>
      <c r="AO1445" s="6"/>
      <c r="AP1445" s="6"/>
      <c r="AQ1445" s="6"/>
      <c r="AR1445" s="6"/>
      <c r="AS1445" s="6"/>
      <c r="AT1445" s="6"/>
      <c r="AU1445" s="6"/>
      <c r="AV1445" s="6"/>
      <c r="AW1445" s="6"/>
      <c r="AX1445" s="6"/>
      <c r="AY1445" s="6"/>
      <c r="AZ1445" s="6"/>
      <c r="BA1445" s="6"/>
      <c r="BB1445" s="6"/>
      <c r="BC1445" s="6"/>
      <c r="BD1445" s="6"/>
      <c r="BE1445" s="6"/>
      <c r="BF1445" s="6"/>
      <c r="BG1445" s="6"/>
      <c r="BH1445" s="6"/>
      <c r="BI1445" s="6"/>
      <c r="BJ1445" s="6"/>
      <c r="BK1445" s="6"/>
      <c r="BL1445" s="6"/>
      <c r="BM1445" s="6"/>
      <c r="BN1445" s="6"/>
      <c r="BO1445" s="6"/>
      <c r="BP1445" s="6"/>
      <c r="BQ1445" s="6"/>
      <c r="BR1445" s="6"/>
      <c r="BS1445" s="6"/>
      <c r="BT1445" s="6"/>
      <c r="BU1445" s="6"/>
      <c r="BV1445" s="6"/>
      <c r="BW1445" s="6"/>
      <c r="BX1445" s="6"/>
      <c r="BY1445" s="6"/>
      <c r="BZ1445" s="6"/>
      <c r="CA1445" s="6"/>
      <c r="CB1445" s="6"/>
      <c r="CC1445" s="6"/>
    </row>
    <row r="1446" spans="2:81" x14ac:dyDescent="0.2">
      <c r="B1446" s="68"/>
      <c r="C1446" s="69"/>
      <c r="D1446" s="70"/>
      <c r="F1446" s="68"/>
      <c r="G1446" s="69"/>
      <c r="H1446" s="70"/>
      <c r="J1446" s="71"/>
      <c r="K1446" s="71"/>
      <c r="L1446" s="67"/>
      <c r="N1446" s="71"/>
      <c r="O1446" s="71"/>
      <c r="P1446" s="67"/>
      <c r="R1446" s="67"/>
      <c r="S1446" s="6"/>
      <c r="T1446" s="6"/>
      <c r="U1446" s="6"/>
      <c r="V1446" s="6"/>
      <c r="W1446" s="6"/>
      <c r="X1446" s="6"/>
      <c r="Y1446" s="6"/>
      <c r="Z1446" s="6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  <c r="AN1446" s="6"/>
      <c r="AO1446" s="6"/>
      <c r="AP1446" s="6"/>
      <c r="AQ1446" s="6"/>
      <c r="AR1446" s="6"/>
      <c r="AS1446" s="6"/>
      <c r="AT1446" s="6"/>
      <c r="AU1446" s="6"/>
      <c r="AV1446" s="6"/>
      <c r="AW1446" s="6"/>
      <c r="AX1446" s="6"/>
      <c r="AY1446" s="6"/>
      <c r="AZ1446" s="6"/>
      <c r="BA1446" s="6"/>
      <c r="BB1446" s="6"/>
      <c r="BC1446" s="6"/>
      <c r="BD1446" s="6"/>
      <c r="BE1446" s="6"/>
      <c r="BF1446" s="6"/>
      <c r="BG1446" s="6"/>
      <c r="BH1446" s="6"/>
      <c r="BI1446" s="6"/>
      <c r="BJ1446" s="6"/>
      <c r="BK1446" s="6"/>
      <c r="BL1446" s="6"/>
      <c r="BM1446" s="6"/>
      <c r="BN1446" s="6"/>
      <c r="BO1446" s="6"/>
      <c r="BP1446" s="6"/>
      <c r="BQ1446" s="6"/>
      <c r="BR1446" s="6"/>
      <c r="BS1446" s="6"/>
      <c r="BT1446" s="6"/>
      <c r="BU1446" s="6"/>
      <c r="BV1446" s="6"/>
      <c r="BW1446" s="6"/>
      <c r="BX1446" s="6"/>
      <c r="BY1446" s="6"/>
      <c r="BZ1446" s="6"/>
      <c r="CA1446" s="6"/>
      <c r="CB1446" s="6"/>
      <c r="CC1446" s="6"/>
    </row>
    <row r="1447" spans="2:81" x14ac:dyDescent="0.2">
      <c r="B1447" s="68"/>
      <c r="C1447" s="69"/>
      <c r="D1447" s="70"/>
      <c r="F1447" s="68"/>
      <c r="G1447" s="69"/>
      <c r="H1447" s="70"/>
      <c r="J1447" s="71"/>
      <c r="K1447" s="71"/>
      <c r="L1447" s="67"/>
      <c r="N1447" s="71"/>
      <c r="O1447" s="71"/>
      <c r="P1447" s="67"/>
      <c r="R1447" s="67"/>
      <c r="S1447" s="6"/>
      <c r="T1447" s="6"/>
      <c r="U1447" s="6"/>
      <c r="V1447" s="6"/>
      <c r="W1447" s="6"/>
      <c r="X1447" s="6"/>
      <c r="Y1447" s="6"/>
      <c r="Z1447" s="6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  <c r="AN1447" s="6"/>
      <c r="AO1447" s="6"/>
      <c r="AP1447" s="6"/>
      <c r="AQ1447" s="6"/>
      <c r="AR1447" s="6"/>
      <c r="AS1447" s="6"/>
      <c r="AT1447" s="6"/>
      <c r="AU1447" s="6"/>
      <c r="AV1447" s="6"/>
      <c r="AW1447" s="6"/>
      <c r="AX1447" s="6"/>
      <c r="AY1447" s="6"/>
      <c r="AZ1447" s="6"/>
      <c r="BA1447" s="6"/>
      <c r="BB1447" s="6"/>
      <c r="BC1447" s="6"/>
      <c r="BD1447" s="6"/>
      <c r="BE1447" s="6"/>
      <c r="BF1447" s="6"/>
      <c r="BG1447" s="6"/>
      <c r="BH1447" s="6"/>
      <c r="BI1447" s="6"/>
      <c r="BJ1447" s="6"/>
      <c r="BK1447" s="6"/>
      <c r="BL1447" s="6"/>
      <c r="BM1447" s="6"/>
      <c r="BN1447" s="6"/>
      <c r="BO1447" s="6"/>
      <c r="BP1447" s="6"/>
      <c r="BQ1447" s="6"/>
      <c r="BR1447" s="6"/>
      <c r="BS1447" s="6"/>
      <c r="BT1447" s="6"/>
      <c r="BU1447" s="6"/>
      <c r="BV1447" s="6"/>
      <c r="BW1447" s="6"/>
      <c r="BX1447" s="6"/>
      <c r="BY1447" s="6"/>
      <c r="BZ1447" s="6"/>
      <c r="CA1447" s="6"/>
      <c r="CB1447" s="6"/>
      <c r="CC1447" s="6"/>
    </row>
    <row r="1448" spans="2:81" x14ac:dyDescent="0.2">
      <c r="B1448" s="68"/>
      <c r="C1448" s="69"/>
      <c r="D1448" s="70"/>
      <c r="F1448" s="68"/>
      <c r="G1448" s="69"/>
      <c r="H1448" s="70"/>
      <c r="J1448" s="71"/>
      <c r="K1448" s="71"/>
      <c r="L1448" s="67"/>
      <c r="N1448" s="71"/>
      <c r="O1448" s="71"/>
      <c r="P1448" s="67"/>
      <c r="R1448" s="67"/>
      <c r="S1448" s="6"/>
      <c r="T1448" s="6"/>
      <c r="U1448" s="6"/>
      <c r="V1448" s="6"/>
      <c r="W1448" s="6"/>
      <c r="X1448" s="6"/>
      <c r="Y1448" s="6"/>
      <c r="Z1448" s="6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  <c r="AN1448" s="6"/>
      <c r="AO1448" s="6"/>
      <c r="AP1448" s="6"/>
      <c r="AQ1448" s="6"/>
      <c r="AR1448" s="6"/>
      <c r="AS1448" s="6"/>
      <c r="AT1448" s="6"/>
      <c r="AU1448" s="6"/>
      <c r="AV1448" s="6"/>
      <c r="AW1448" s="6"/>
      <c r="AX1448" s="6"/>
      <c r="AY1448" s="6"/>
      <c r="AZ1448" s="6"/>
      <c r="BA1448" s="6"/>
      <c r="BB1448" s="6"/>
      <c r="BC1448" s="6"/>
      <c r="BD1448" s="6"/>
      <c r="BE1448" s="6"/>
      <c r="BF1448" s="6"/>
      <c r="BG1448" s="6"/>
      <c r="BH1448" s="6"/>
      <c r="BI1448" s="6"/>
      <c r="BJ1448" s="6"/>
      <c r="BK1448" s="6"/>
      <c r="BL1448" s="6"/>
      <c r="BM1448" s="6"/>
      <c r="BN1448" s="6"/>
      <c r="BO1448" s="6"/>
      <c r="BP1448" s="6"/>
      <c r="BQ1448" s="6"/>
      <c r="BR1448" s="6"/>
      <c r="BS1448" s="6"/>
      <c r="BT1448" s="6"/>
      <c r="BU1448" s="6"/>
      <c r="BV1448" s="6"/>
      <c r="BW1448" s="6"/>
      <c r="BX1448" s="6"/>
      <c r="BY1448" s="6"/>
      <c r="BZ1448" s="6"/>
      <c r="CA1448" s="6"/>
      <c r="CB1448" s="6"/>
      <c r="CC1448" s="6"/>
    </row>
    <row r="1449" spans="2:81" x14ac:dyDescent="0.2">
      <c r="B1449" s="68"/>
      <c r="C1449" s="69"/>
      <c r="D1449" s="70"/>
      <c r="F1449" s="68"/>
      <c r="G1449" s="69"/>
      <c r="H1449" s="70"/>
      <c r="J1449" s="71"/>
      <c r="K1449" s="71"/>
      <c r="L1449" s="67"/>
      <c r="N1449" s="71"/>
      <c r="O1449" s="71"/>
      <c r="P1449" s="67"/>
      <c r="R1449" s="67"/>
      <c r="S1449" s="6"/>
      <c r="T1449" s="6"/>
      <c r="U1449" s="6"/>
      <c r="V1449" s="6"/>
      <c r="W1449" s="6"/>
      <c r="X1449" s="6"/>
      <c r="Y1449" s="6"/>
      <c r="Z1449" s="6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  <c r="AN1449" s="6"/>
      <c r="AO1449" s="6"/>
      <c r="AP1449" s="6"/>
      <c r="AQ1449" s="6"/>
      <c r="AR1449" s="6"/>
      <c r="AS1449" s="6"/>
      <c r="AT1449" s="6"/>
      <c r="AU1449" s="6"/>
      <c r="AV1449" s="6"/>
      <c r="AW1449" s="6"/>
      <c r="AX1449" s="6"/>
      <c r="AY1449" s="6"/>
      <c r="AZ1449" s="6"/>
      <c r="BA1449" s="6"/>
      <c r="BB1449" s="6"/>
      <c r="BC1449" s="6"/>
      <c r="BD1449" s="6"/>
      <c r="BE1449" s="6"/>
      <c r="BF1449" s="6"/>
      <c r="BG1449" s="6"/>
      <c r="BH1449" s="6"/>
      <c r="BI1449" s="6"/>
      <c r="BJ1449" s="6"/>
      <c r="BK1449" s="6"/>
      <c r="BL1449" s="6"/>
      <c r="BM1449" s="6"/>
      <c r="BN1449" s="6"/>
      <c r="BO1449" s="6"/>
      <c r="BP1449" s="6"/>
      <c r="BQ1449" s="6"/>
      <c r="BR1449" s="6"/>
      <c r="BS1449" s="6"/>
      <c r="BT1449" s="6"/>
      <c r="BU1449" s="6"/>
      <c r="BV1449" s="6"/>
      <c r="BW1449" s="6"/>
      <c r="BX1449" s="6"/>
      <c r="BY1449" s="6"/>
      <c r="BZ1449" s="6"/>
      <c r="CA1449" s="6"/>
      <c r="CB1449" s="6"/>
      <c r="CC1449" s="6"/>
    </row>
    <row r="1450" spans="2:81" x14ac:dyDescent="0.2">
      <c r="B1450" s="68"/>
      <c r="C1450" s="69"/>
      <c r="D1450" s="70"/>
      <c r="F1450" s="68"/>
      <c r="G1450" s="69"/>
      <c r="H1450" s="70"/>
      <c r="J1450" s="71"/>
      <c r="K1450" s="71"/>
      <c r="L1450" s="67"/>
      <c r="N1450" s="71"/>
      <c r="O1450" s="71"/>
      <c r="P1450" s="67"/>
      <c r="R1450" s="67"/>
      <c r="S1450" s="6"/>
      <c r="T1450" s="6"/>
      <c r="U1450" s="6"/>
      <c r="V1450" s="6"/>
      <c r="W1450" s="6"/>
      <c r="X1450" s="6"/>
      <c r="Y1450" s="6"/>
      <c r="Z1450" s="6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  <c r="AN1450" s="6"/>
      <c r="AO1450" s="6"/>
      <c r="AP1450" s="6"/>
      <c r="AQ1450" s="6"/>
      <c r="AR1450" s="6"/>
      <c r="AS1450" s="6"/>
      <c r="AT1450" s="6"/>
      <c r="AU1450" s="6"/>
      <c r="AV1450" s="6"/>
      <c r="AW1450" s="6"/>
      <c r="AX1450" s="6"/>
      <c r="AY1450" s="6"/>
      <c r="AZ1450" s="6"/>
      <c r="BA1450" s="6"/>
      <c r="BB1450" s="6"/>
      <c r="BC1450" s="6"/>
      <c r="BD1450" s="6"/>
      <c r="BE1450" s="6"/>
      <c r="BF1450" s="6"/>
      <c r="BG1450" s="6"/>
      <c r="BH1450" s="6"/>
      <c r="BI1450" s="6"/>
      <c r="BJ1450" s="6"/>
      <c r="BK1450" s="6"/>
      <c r="BL1450" s="6"/>
      <c r="BM1450" s="6"/>
      <c r="BN1450" s="6"/>
      <c r="BO1450" s="6"/>
      <c r="BP1450" s="6"/>
      <c r="BQ1450" s="6"/>
      <c r="BR1450" s="6"/>
      <c r="BS1450" s="6"/>
      <c r="BT1450" s="6"/>
      <c r="BU1450" s="6"/>
      <c r="BV1450" s="6"/>
      <c r="BW1450" s="6"/>
      <c r="BX1450" s="6"/>
      <c r="BY1450" s="6"/>
      <c r="BZ1450" s="6"/>
      <c r="CA1450" s="6"/>
      <c r="CB1450" s="6"/>
      <c r="CC1450" s="6"/>
    </row>
    <row r="1451" spans="2:81" x14ac:dyDescent="0.2">
      <c r="B1451" s="68"/>
      <c r="C1451" s="69"/>
      <c r="D1451" s="70"/>
      <c r="F1451" s="68"/>
      <c r="G1451" s="69"/>
      <c r="H1451" s="70"/>
      <c r="J1451" s="71"/>
      <c r="K1451" s="71"/>
      <c r="L1451" s="67"/>
      <c r="N1451" s="71"/>
      <c r="O1451" s="71"/>
      <c r="P1451" s="67"/>
      <c r="R1451" s="67"/>
      <c r="S1451" s="6"/>
      <c r="T1451" s="6"/>
      <c r="U1451" s="6"/>
      <c r="V1451" s="6"/>
      <c r="W1451" s="6"/>
      <c r="X1451" s="6"/>
      <c r="Y1451" s="6"/>
      <c r="Z1451" s="6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  <c r="AN1451" s="6"/>
      <c r="AO1451" s="6"/>
      <c r="AP1451" s="6"/>
      <c r="AQ1451" s="6"/>
      <c r="AR1451" s="6"/>
      <c r="AS1451" s="6"/>
      <c r="AT1451" s="6"/>
      <c r="AU1451" s="6"/>
      <c r="AV1451" s="6"/>
      <c r="AW1451" s="6"/>
      <c r="AX1451" s="6"/>
      <c r="AY1451" s="6"/>
      <c r="AZ1451" s="6"/>
      <c r="BA1451" s="6"/>
      <c r="BB1451" s="6"/>
      <c r="BC1451" s="6"/>
      <c r="BD1451" s="6"/>
      <c r="BE1451" s="6"/>
      <c r="BF1451" s="6"/>
      <c r="BG1451" s="6"/>
      <c r="BH1451" s="6"/>
      <c r="BI1451" s="6"/>
      <c r="BJ1451" s="6"/>
      <c r="BK1451" s="6"/>
      <c r="BL1451" s="6"/>
      <c r="BM1451" s="6"/>
      <c r="BN1451" s="6"/>
      <c r="BO1451" s="6"/>
      <c r="BP1451" s="6"/>
      <c r="BQ1451" s="6"/>
      <c r="BR1451" s="6"/>
      <c r="BS1451" s="6"/>
      <c r="BT1451" s="6"/>
      <c r="BU1451" s="6"/>
      <c r="BV1451" s="6"/>
      <c r="BW1451" s="6"/>
      <c r="BX1451" s="6"/>
      <c r="BY1451" s="6"/>
      <c r="BZ1451" s="6"/>
      <c r="CA1451" s="6"/>
      <c r="CB1451" s="6"/>
      <c r="CC1451" s="6"/>
    </row>
    <row r="1452" spans="2:81" x14ac:dyDescent="0.2">
      <c r="B1452" s="68"/>
      <c r="C1452" s="69"/>
      <c r="D1452" s="70"/>
      <c r="F1452" s="68"/>
      <c r="G1452" s="69"/>
      <c r="H1452" s="70"/>
      <c r="J1452" s="71"/>
      <c r="K1452" s="71"/>
      <c r="L1452" s="67"/>
      <c r="N1452" s="71"/>
      <c r="O1452" s="71"/>
      <c r="P1452" s="67"/>
      <c r="R1452" s="67"/>
      <c r="S1452" s="6"/>
      <c r="T1452" s="6"/>
      <c r="U1452" s="6"/>
      <c r="V1452" s="6"/>
      <c r="W1452" s="6"/>
      <c r="X1452" s="6"/>
      <c r="Y1452" s="6"/>
      <c r="Z1452" s="6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  <c r="AN1452" s="6"/>
      <c r="AO1452" s="6"/>
      <c r="AP1452" s="6"/>
      <c r="AQ1452" s="6"/>
      <c r="AR1452" s="6"/>
      <c r="AS1452" s="6"/>
      <c r="AT1452" s="6"/>
      <c r="AU1452" s="6"/>
      <c r="AV1452" s="6"/>
      <c r="AW1452" s="6"/>
      <c r="AX1452" s="6"/>
      <c r="AY1452" s="6"/>
      <c r="AZ1452" s="6"/>
      <c r="BA1452" s="6"/>
      <c r="BB1452" s="6"/>
      <c r="BC1452" s="6"/>
      <c r="BD1452" s="6"/>
      <c r="BE1452" s="6"/>
      <c r="BF1452" s="6"/>
      <c r="BG1452" s="6"/>
      <c r="BH1452" s="6"/>
      <c r="BI1452" s="6"/>
      <c r="BJ1452" s="6"/>
      <c r="BK1452" s="6"/>
      <c r="BL1452" s="6"/>
      <c r="BM1452" s="6"/>
      <c r="BN1452" s="6"/>
      <c r="BO1452" s="6"/>
      <c r="BP1452" s="6"/>
      <c r="BQ1452" s="6"/>
      <c r="BR1452" s="6"/>
      <c r="BS1452" s="6"/>
      <c r="BT1452" s="6"/>
      <c r="BU1452" s="6"/>
      <c r="BV1452" s="6"/>
      <c r="BW1452" s="6"/>
      <c r="BX1452" s="6"/>
      <c r="BY1452" s="6"/>
      <c r="BZ1452" s="6"/>
      <c r="CA1452" s="6"/>
      <c r="CB1452" s="6"/>
      <c r="CC1452" s="6"/>
    </row>
    <row r="1453" spans="2:81" x14ac:dyDescent="0.2">
      <c r="B1453" s="68"/>
      <c r="C1453" s="69"/>
      <c r="D1453" s="70"/>
      <c r="F1453" s="68"/>
      <c r="G1453" s="69"/>
      <c r="H1453" s="70"/>
      <c r="J1453" s="71"/>
      <c r="K1453" s="71"/>
      <c r="L1453" s="67"/>
      <c r="N1453" s="71"/>
      <c r="O1453" s="71"/>
      <c r="P1453" s="67"/>
      <c r="R1453" s="67"/>
      <c r="S1453" s="6"/>
      <c r="T1453" s="6"/>
      <c r="U1453" s="6"/>
      <c r="V1453" s="6"/>
      <c r="W1453" s="6"/>
      <c r="X1453" s="6"/>
      <c r="Y1453" s="6"/>
      <c r="Z1453" s="6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  <c r="AN1453" s="6"/>
      <c r="AO1453" s="6"/>
      <c r="AP1453" s="6"/>
      <c r="AQ1453" s="6"/>
      <c r="AR1453" s="6"/>
      <c r="AS1453" s="6"/>
      <c r="AT1453" s="6"/>
      <c r="AU1453" s="6"/>
      <c r="AV1453" s="6"/>
      <c r="AW1453" s="6"/>
      <c r="AX1453" s="6"/>
      <c r="AY1453" s="6"/>
      <c r="AZ1453" s="6"/>
      <c r="BA1453" s="6"/>
      <c r="BB1453" s="6"/>
      <c r="BC1453" s="6"/>
      <c r="BD1453" s="6"/>
      <c r="BE1453" s="6"/>
      <c r="BF1453" s="6"/>
      <c r="BG1453" s="6"/>
      <c r="BH1453" s="6"/>
      <c r="BI1453" s="6"/>
      <c r="BJ1453" s="6"/>
      <c r="BK1453" s="6"/>
      <c r="BL1453" s="6"/>
      <c r="BM1453" s="6"/>
      <c r="BN1453" s="6"/>
      <c r="BO1453" s="6"/>
      <c r="BP1453" s="6"/>
      <c r="BQ1453" s="6"/>
      <c r="BR1453" s="6"/>
      <c r="BS1453" s="6"/>
      <c r="BT1453" s="6"/>
      <c r="BU1453" s="6"/>
      <c r="BV1453" s="6"/>
      <c r="BW1453" s="6"/>
      <c r="BX1453" s="6"/>
      <c r="BY1453" s="6"/>
      <c r="BZ1453" s="6"/>
      <c r="CA1453" s="6"/>
      <c r="CB1453" s="6"/>
      <c r="CC1453" s="6"/>
    </row>
    <row r="1454" spans="2:81" x14ac:dyDescent="0.2">
      <c r="B1454" s="68"/>
      <c r="C1454" s="69"/>
      <c r="D1454" s="70"/>
      <c r="F1454" s="68"/>
      <c r="G1454" s="69"/>
      <c r="H1454" s="70"/>
      <c r="J1454" s="71"/>
      <c r="K1454" s="71"/>
      <c r="L1454" s="67"/>
      <c r="N1454" s="71"/>
      <c r="O1454" s="71"/>
      <c r="P1454" s="67"/>
      <c r="R1454" s="67"/>
      <c r="S1454" s="6"/>
      <c r="T1454" s="6"/>
      <c r="U1454" s="6"/>
      <c r="V1454" s="6"/>
      <c r="W1454" s="6"/>
      <c r="X1454" s="6"/>
      <c r="Y1454" s="6"/>
      <c r="Z1454" s="6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  <c r="AN1454" s="6"/>
      <c r="AO1454" s="6"/>
      <c r="AP1454" s="6"/>
      <c r="AQ1454" s="6"/>
      <c r="AR1454" s="6"/>
      <c r="AS1454" s="6"/>
      <c r="AT1454" s="6"/>
      <c r="AU1454" s="6"/>
      <c r="AV1454" s="6"/>
      <c r="AW1454" s="6"/>
      <c r="AX1454" s="6"/>
      <c r="AY1454" s="6"/>
      <c r="AZ1454" s="6"/>
      <c r="BA1454" s="6"/>
      <c r="BB1454" s="6"/>
      <c r="BC1454" s="6"/>
      <c r="BD1454" s="6"/>
      <c r="BE1454" s="6"/>
      <c r="BF1454" s="6"/>
      <c r="BG1454" s="6"/>
      <c r="BH1454" s="6"/>
      <c r="BI1454" s="6"/>
      <c r="BJ1454" s="6"/>
      <c r="BK1454" s="6"/>
      <c r="BL1454" s="6"/>
      <c r="BM1454" s="6"/>
      <c r="BN1454" s="6"/>
      <c r="BO1454" s="6"/>
      <c r="BP1454" s="6"/>
      <c r="BQ1454" s="6"/>
      <c r="BR1454" s="6"/>
      <c r="BS1454" s="6"/>
      <c r="BT1454" s="6"/>
      <c r="BU1454" s="6"/>
      <c r="BV1454" s="6"/>
      <c r="BW1454" s="6"/>
      <c r="BX1454" s="6"/>
      <c r="BY1454" s="6"/>
      <c r="BZ1454" s="6"/>
      <c r="CA1454" s="6"/>
      <c r="CB1454" s="6"/>
      <c r="CC1454" s="6"/>
    </row>
    <row r="1455" spans="2:81" x14ac:dyDescent="0.2">
      <c r="B1455" s="68"/>
      <c r="C1455" s="69"/>
      <c r="D1455" s="70"/>
      <c r="F1455" s="68"/>
      <c r="G1455" s="69"/>
      <c r="H1455" s="70"/>
      <c r="J1455" s="71"/>
      <c r="K1455" s="71"/>
      <c r="L1455" s="67"/>
      <c r="N1455" s="71"/>
      <c r="O1455" s="71"/>
      <c r="P1455" s="67"/>
      <c r="R1455" s="67"/>
      <c r="S1455" s="6"/>
      <c r="T1455" s="6"/>
      <c r="U1455" s="6"/>
      <c r="V1455" s="6"/>
      <c r="W1455" s="6"/>
      <c r="X1455" s="6"/>
      <c r="Y1455" s="6"/>
      <c r="Z1455" s="6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  <c r="AN1455" s="6"/>
      <c r="AO1455" s="6"/>
      <c r="AP1455" s="6"/>
      <c r="AQ1455" s="6"/>
      <c r="AR1455" s="6"/>
      <c r="AS1455" s="6"/>
      <c r="AT1455" s="6"/>
      <c r="AU1455" s="6"/>
      <c r="AV1455" s="6"/>
      <c r="AW1455" s="6"/>
      <c r="AX1455" s="6"/>
      <c r="AY1455" s="6"/>
      <c r="AZ1455" s="6"/>
      <c r="BA1455" s="6"/>
      <c r="BB1455" s="6"/>
      <c r="BC1455" s="6"/>
      <c r="BD1455" s="6"/>
      <c r="BE1455" s="6"/>
      <c r="BF1455" s="6"/>
      <c r="BG1455" s="6"/>
      <c r="BH1455" s="6"/>
      <c r="BI1455" s="6"/>
      <c r="BJ1455" s="6"/>
      <c r="BK1455" s="6"/>
      <c r="BL1455" s="6"/>
      <c r="BM1455" s="6"/>
      <c r="BN1455" s="6"/>
      <c r="BO1455" s="6"/>
      <c r="BP1455" s="6"/>
      <c r="BQ1455" s="6"/>
      <c r="BR1455" s="6"/>
      <c r="BS1455" s="6"/>
      <c r="BT1455" s="6"/>
      <c r="BU1455" s="6"/>
      <c r="BV1455" s="6"/>
      <c r="BW1455" s="6"/>
      <c r="BX1455" s="6"/>
      <c r="BY1455" s="6"/>
      <c r="BZ1455" s="6"/>
      <c r="CA1455" s="6"/>
      <c r="CB1455" s="6"/>
      <c r="CC1455" s="6"/>
    </row>
    <row r="1456" spans="2:81" x14ac:dyDescent="0.2">
      <c r="B1456" s="68"/>
      <c r="C1456" s="69"/>
      <c r="D1456" s="70"/>
      <c r="F1456" s="68"/>
      <c r="G1456" s="69"/>
      <c r="H1456" s="70"/>
      <c r="J1456" s="71"/>
      <c r="K1456" s="71"/>
      <c r="L1456" s="67"/>
      <c r="N1456" s="71"/>
      <c r="O1456" s="71"/>
      <c r="P1456" s="67"/>
      <c r="R1456" s="67"/>
      <c r="S1456" s="6"/>
      <c r="T1456" s="6"/>
      <c r="U1456" s="6"/>
      <c r="V1456" s="6"/>
      <c r="W1456" s="6"/>
      <c r="X1456" s="6"/>
      <c r="Y1456" s="6"/>
      <c r="Z1456" s="6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  <c r="AN1456" s="6"/>
      <c r="AO1456" s="6"/>
      <c r="AP1456" s="6"/>
      <c r="AQ1456" s="6"/>
      <c r="AR1456" s="6"/>
      <c r="AS1456" s="6"/>
      <c r="AT1456" s="6"/>
      <c r="AU1456" s="6"/>
      <c r="AV1456" s="6"/>
      <c r="AW1456" s="6"/>
      <c r="AX1456" s="6"/>
      <c r="AY1456" s="6"/>
      <c r="AZ1456" s="6"/>
      <c r="BA1456" s="6"/>
      <c r="BB1456" s="6"/>
      <c r="BC1456" s="6"/>
      <c r="BD1456" s="6"/>
      <c r="BE1456" s="6"/>
      <c r="BF1456" s="6"/>
      <c r="BG1456" s="6"/>
      <c r="BH1456" s="6"/>
      <c r="BI1456" s="6"/>
      <c r="BJ1456" s="6"/>
      <c r="BK1456" s="6"/>
      <c r="BL1456" s="6"/>
      <c r="BM1456" s="6"/>
      <c r="BN1456" s="6"/>
      <c r="BO1456" s="6"/>
      <c r="BP1456" s="6"/>
      <c r="BQ1456" s="6"/>
      <c r="BR1456" s="6"/>
      <c r="BS1456" s="6"/>
      <c r="BT1456" s="6"/>
      <c r="BU1456" s="6"/>
      <c r="BV1456" s="6"/>
      <c r="BW1456" s="6"/>
      <c r="BX1456" s="6"/>
      <c r="BY1456" s="6"/>
      <c r="BZ1456" s="6"/>
      <c r="CA1456" s="6"/>
      <c r="CB1456" s="6"/>
      <c r="CC1456" s="6"/>
    </row>
    <row r="1457" spans="2:81" x14ac:dyDescent="0.2">
      <c r="B1457" s="68"/>
      <c r="C1457" s="69"/>
      <c r="D1457" s="70"/>
      <c r="F1457" s="68"/>
      <c r="G1457" s="69"/>
      <c r="H1457" s="70"/>
      <c r="J1457" s="71"/>
      <c r="K1457" s="71"/>
      <c r="L1457" s="67"/>
      <c r="N1457" s="71"/>
      <c r="O1457" s="71"/>
      <c r="P1457" s="67"/>
      <c r="R1457" s="67"/>
      <c r="S1457" s="6"/>
      <c r="T1457" s="6"/>
      <c r="U1457" s="6"/>
      <c r="V1457" s="6"/>
      <c r="W1457" s="6"/>
      <c r="X1457" s="6"/>
      <c r="Y1457" s="6"/>
      <c r="Z1457" s="6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  <c r="AN1457" s="6"/>
      <c r="AO1457" s="6"/>
      <c r="AP1457" s="6"/>
      <c r="AQ1457" s="6"/>
      <c r="AR1457" s="6"/>
      <c r="AS1457" s="6"/>
      <c r="AT1457" s="6"/>
      <c r="AU1457" s="6"/>
      <c r="AV1457" s="6"/>
      <c r="AW1457" s="6"/>
      <c r="AX1457" s="6"/>
      <c r="AY1457" s="6"/>
      <c r="AZ1457" s="6"/>
      <c r="BA1457" s="6"/>
      <c r="BB1457" s="6"/>
      <c r="BC1457" s="6"/>
      <c r="BD1457" s="6"/>
      <c r="BE1457" s="6"/>
      <c r="BF1457" s="6"/>
      <c r="BG1457" s="6"/>
      <c r="BH1457" s="6"/>
      <c r="BI1457" s="6"/>
      <c r="BJ1457" s="6"/>
      <c r="BK1457" s="6"/>
      <c r="BL1457" s="6"/>
      <c r="BM1457" s="6"/>
      <c r="BN1457" s="6"/>
      <c r="BO1457" s="6"/>
      <c r="BP1457" s="6"/>
      <c r="BQ1457" s="6"/>
      <c r="BR1457" s="6"/>
      <c r="BS1457" s="6"/>
      <c r="BT1457" s="6"/>
      <c r="BU1457" s="6"/>
      <c r="BV1457" s="6"/>
      <c r="BW1457" s="6"/>
      <c r="BX1457" s="6"/>
      <c r="BY1457" s="6"/>
      <c r="BZ1457" s="6"/>
      <c r="CA1457" s="6"/>
      <c r="CB1457" s="6"/>
      <c r="CC1457" s="6"/>
    </row>
    <row r="1458" spans="2:81" x14ac:dyDescent="0.2">
      <c r="B1458" s="68"/>
      <c r="C1458" s="69"/>
      <c r="D1458" s="70"/>
      <c r="F1458" s="68"/>
      <c r="G1458" s="69"/>
      <c r="H1458" s="70"/>
      <c r="J1458" s="71"/>
      <c r="K1458" s="71"/>
      <c r="L1458" s="67"/>
      <c r="N1458" s="71"/>
      <c r="O1458" s="71"/>
      <c r="P1458" s="67"/>
      <c r="R1458" s="67"/>
      <c r="S1458" s="6"/>
      <c r="T1458" s="6"/>
      <c r="U1458" s="6"/>
      <c r="V1458" s="6"/>
      <c r="W1458" s="6"/>
      <c r="X1458" s="6"/>
      <c r="Y1458" s="6"/>
      <c r="Z1458" s="6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  <c r="AN1458" s="6"/>
      <c r="AO1458" s="6"/>
      <c r="AP1458" s="6"/>
      <c r="AQ1458" s="6"/>
      <c r="AR1458" s="6"/>
      <c r="AS1458" s="6"/>
      <c r="AT1458" s="6"/>
      <c r="AU1458" s="6"/>
      <c r="AV1458" s="6"/>
      <c r="AW1458" s="6"/>
      <c r="AX1458" s="6"/>
      <c r="AY1458" s="6"/>
      <c r="AZ1458" s="6"/>
      <c r="BA1458" s="6"/>
      <c r="BB1458" s="6"/>
      <c r="BC1458" s="6"/>
      <c r="BD1458" s="6"/>
      <c r="BE1458" s="6"/>
      <c r="BF1458" s="6"/>
      <c r="BG1458" s="6"/>
      <c r="BH1458" s="6"/>
      <c r="BI1458" s="6"/>
      <c r="BJ1458" s="6"/>
      <c r="BK1458" s="6"/>
      <c r="BL1458" s="6"/>
      <c r="BM1458" s="6"/>
      <c r="BN1458" s="6"/>
      <c r="BO1458" s="6"/>
      <c r="BP1458" s="6"/>
      <c r="BQ1458" s="6"/>
      <c r="BR1458" s="6"/>
      <c r="BS1458" s="6"/>
      <c r="BT1458" s="6"/>
      <c r="BU1458" s="6"/>
      <c r="BV1458" s="6"/>
      <c r="BW1458" s="6"/>
      <c r="BX1458" s="6"/>
      <c r="BY1458" s="6"/>
      <c r="BZ1458" s="6"/>
      <c r="CA1458" s="6"/>
      <c r="CB1458" s="6"/>
      <c r="CC1458" s="6"/>
    </row>
    <row r="1459" spans="2:81" x14ac:dyDescent="0.2">
      <c r="B1459" s="68"/>
      <c r="C1459" s="69"/>
      <c r="D1459" s="70"/>
      <c r="F1459" s="68"/>
      <c r="G1459" s="69"/>
      <c r="H1459" s="70"/>
      <c r="J1459" s="71"/>
      <c r="K1459" s="71"/>
      <c r="L1459" s="67"/>
      <c r="N1459" s="71"/>
      <c r="O1459" s="71"/>
      <c r="P1459" s="67"/>
      <c r="R1459" s="67"/>
      <c r="S1459" s="6"/>
      <c r="T1459" s="6"/>
      <c r="U1459" s="6"/>
      <c r="V1459" s="6"/>
      <c r="W1459" s="6"/>
      <c r="X1459" s="6"/>
      <c r="Y1459" s="6"/>
      <c r="Z1459" s="6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  <c r="AN1459" s="6"/>
      <c r="AO1459" s="6"/>
      <c r="AP1459" s="6"/>
      <c r="AQ1459" s="6"/>
      <c r="AR1459" s="6"/>
      <c r="AS1459" s="6"/>
      <c r="AT1459" s="6"/>
      <c r="AU1459" s="6"/>
      <c r="AV1459" s="6"/>
      <c r="AW1459" s="6"/>
      <c r="AX1459" s="6"/>
      <c r="AY1459" s="6"/>
      <c r="AZ1459" s="6"/>
      <c r="BA1459" s="6"/>
      <c r="BB1459" s="6"/>
      <c r="BC1459" s="6"/>
      <c r="BD1459" s="6"/>
      <c r="BE1459" s="6"/>
      <c r="BF1459" s="6"/>
      <c r="BG1459" s="6"/>
      <c r="BH1459" s="6"/>
      <c r="BI1459" s="6"/>
      <c r="BJ1459" s="6"/>
      <c r="BK1459" s="6"/>
      <c r="BL1459" s="6"/>
      <c r="BM1459" s="6"/>
      <c r="BN1459" s="6"/>
      <c r="BO1459" s="6"/>
      <c r="BP1459" s="6"/>
      <c r="BQ1459" s="6"/>
      <c r="BR1459" s="6"/>
      <c r="BS1459" s="6"/>
      <c r="BT1459" s="6"/>
      <c r="BU1459" s="6"/>
      <c r="BV1459" s="6"/>
      <c r="BW1459" s="6"/>
      <c r="BX1459" s="6"/>
      <c r="BY1459" s="6"/>
      <c r="BZ1459" s="6"/>
      <c r="CA1459" s="6"/>
      <c r="CB1459" s="6"/>
      <c r="CC1459" s="6"/>
    </row>
    <row r="1460" spans="2:81" x14ac:dyDescent="0.2">
      <c r="B1460" s="68"/>
      <c r="C1460" s="69"/>
      <c r="D1460" s="70"/>
      <c r="F1460" s="68"/>
      <c r="G1460" s="69"/>
      <c r="H1460" s="70"/>
      <c r="J1460" s="71"/>
      <c r="K1460" s="71"/>
      <c r="L1460" s="67"/>
      <c r="N1460" s="71"/>
      <c r="O1460" s="71"/>
      <c r="P1460" s="67"/>
      <c r="R1460" s="67"/>
      <c r="S1460" s="6"/>
      <c r="T1460" s="6"/>
      <c r="U1460" s="6"/>
      <c r="V1460" s="6"/>
      <c r="W1460" s="6"/>
      <c r="X1460" s="6"/>
      <c r="Y1460" s="6"/>
      <c r="Z1460" s="6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  <c r="AN1460" s="6"/>
      <c r="AO1460" s="6"/>
      <c r="AP1460" s="6"/>
      <c r="AQ1460" s="6"/>
      <c r="AR1460" s="6"/>
      <c r="AS1460" s="6"/>
      <c r="AT1460" s="6"/>
      <c r="AU1460" s="6"/>
      <c r="AV1460" s="6"/>
      <c r="AW1460" s="6"/>
      <c r="AX1460" s="6"/>
      <c r="AY1460" s="6"/>
      <c r="AZ1460" s="6"/>
      <c r="BA1460" s="6"/>
      <c r="BB1460" s="6"/>
      <c r="BC1460" s="6"/>
      <c r="BD1460" s="6"/>
      <c r="BE1460" s="6"/>
      <c r="BF1460" s="6"/>
      <c r="BG1460" s="6"/>
      <c r="BH1460" s="6"/>
      <c r="BI1460" s="6"/>
      <c r="BJ1460" s="6"/>
      <c r="BK1460" s="6"/>
      <c r="BL1460" s="6"/>
      <c r="BM1460" s="6"/>
      <c r="BN1460" s="6"/>
      <c r="BO1460" s="6"/>
      <c r="BP1460" s="6"/>
      <c r="BQ1460" s="6"/>
      <c r="BR1460" s="6"/>
      <c r="BS1460" s="6"/>
      <c r="BT1460" s="6"/>
      <c r="BU1460" s="6"/>
      <c r="BV1460" s="6"/>
      <c r="BW1460" s="6"/>
      <c r="BX1460" s="6"/>
      <c r="BY1460" s="6"/>
      <c r="BZ1460" s="6"/>
      <c r="CA1460" s="6"/>
      <c r="CB1460" s="6"/>
      <c r="CC1460" s="6"/>
    </row>
    <row r="1461" spans="2:81" x14ac:dyDescent="0.2">
      <c r="B1461" s="68"/>
      <c r="C1461" s="69"/>
      <c r="D1461" s="70"/>
      <c r="F1461" s="68"/>
      <c r="G1461" s="69"/>
      <c r="H1461" s="70"/>
      <c r="J1461" s="71"/>
      <c r="K1461" s="71"/>
      <c r="L1461" s="67"/>
      <c r="N1461" s="71"/>
      <c r="O1461" s="71"/>
      <c r="P1461" s="67"/>
      <c r="R1461" s="67"/>
      <c r="S1461" s="6"/>
      <c r="T1461" s="6"/>
      <c r="U1461" s="6"/>
      <c r="V1461" s="6"/>
      <c r="W1461" s="6"/>
      <c r="X1461" s="6"/>
      <c r="Y1461" s="6"/>
      <c r="Z1461" s="6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  <c r="AN1461" s="6"/>
      <c r="AO1461" s="6"/>
      <c r="AP1461" s="6"/>
      <c r="AQ1461" s="6"/>
      <c r="AR1461" s="6"/>
      <c r="AS1461" s="6"/>
      <c r="AT1461" s="6"/>
      <c r="AU1461" s="6"/>
      <c r="AV1461" s="6"/>
      <c r="AW1461" s="6"/>
      <c r="AX1461" s="6"/>
      <c r="AY1461" s="6"/>
      <c r="AZ1461" s="6"/>
      <c r="BA1461" s="6"/>
      <c r="BB1461" s="6"/>
      <c r="BC1461" s="6"/>
      <c r="BD1461" s="6"/>
      <c r="BE1461" s="6"/>
      <c r="BF1461" s="6"/>
      <c r="BG1461" s="6"/>
      <c r="BH1461" s="6"/>
      <c r="BI1461" s="6"/>
      <c r="BJ1461" s="6"/>
      <c r="BK1461" s="6"/>
      <c r="BL1461" s="6"/>
      <c r="BM1461" s="6"/>
      <c r="BN1461" s="6"/>
      <c r="BO1461" s="6"/>
      <c r="BP1461" s="6"/>
      <c r="BQ1461" s="6"/>
      <c r="BR1461" s="6"/>
      <c r="BS1461" s="6"/>
      <c r="BT1461" s="6"/>
      <c r="BU1461" s="6"/>
      <c r="BV1461" s="6"/>
      <c r="BW1461" s="6"/>
      <c r="BX1461" s="6"/>
      <c r="BY1461" s="6"/>
      <c r="BZ1461" s="6"/>
      <c r="CA1461" s="6"/>
      <c r="CB1461" s="6"/>
      <c r="CC1461" s="6"/>
    </row>
    <row r="1462" spans="2:81" x14ac:dyDescent="0.2">
      <c r="B1462" s="68"/>
      <c r="C1462" s="69"/>
      <c r="D1462" s="70"/>
      <c r="F1462" s="68"/>
      <c r="G1462" s="69"/>
      <c r="H1462" s="70"/>
      <c r="J1462" s="71"/>
      <c r="K1462" s="71"/>
      <c r="L1462" s="67"/>
      <c r="N1462" s="71"/>
      <c r="O1462" s="71"/>
      <c r="P1462" s="67"/>
      <c r="R1462" s="67"/>
      <c r="S1462" s="6"/>
      <c r="T1462" s="6"/>
      <c r="U1462" s="6"/>
      <c r="V1462" s="6"/>
      <c r="W1462" s="6"/>
      <c r="X1462" s="6"/>
      <c r="Y1462" s="6"/>
      <c r="Z1462" s="6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  <c r="AN1462" s="6"/>
      <c r="AO1462" s="6"/>
      <c r="AP1462" s="6"/>
      <c r="AQ1462" s="6"/>
      <c r="AR1462" s="6"/>
      <c r="AS1462" s="6"/>
      <c r="AT1462" s="6"/>
      <c r="AU1462" s="6"/>
      <c r="AV1462" s="6"/>
      <c r="AW1462" s="6"/>
      <c r="AX1462" s="6"/>
      <c r="AY1462" s="6"/>
      <c r="AZ1462" s="6"/>
      <c r="BA1462" s="6"/>
      <c r="BB1462" s="6"/>
      <c r="BC1462" s="6"/>
      <c r="BD1462" s="6"/>
      <c r="BE1462" s="6"/>
      <c r="BF1462" s="6"/>
      <c r="BG1462" s="6"/>
      <c r="BH1462" s="6"/>
      <c r="BI1462" s="6"/>
      <c r="BJ1462" s="6"/>
      <c r="BK1462" s="6"/>
      <c r="BL1462" s="6"/>
      <c r="BM1462" s="6"/>
      <c r="BN1462" s="6"/>
      <c r="BO1462" s="6"/>
      <c r="BP1462" s="6"/>
      <c r="BQ1462" s="6"/>
      <c r="BR1462" s="6"/>
      <c r="BS1462" s="6"/>
      <c r="BT1462" s="6"/>
      <c r="BU1462" s="6"/>
      <c r="BV1462" s="6"/>
      <c r="BW1462" s="6"/>
      <c r="BX1462" s="6"/>
      <c r="BY1462" s="6"/>
      <c r="BZ1462" s="6"/>
      <c r="CA1462" s="6"/>
      <c r="CB1462" s="6"/>
      <c r="CC1462" s="6"/>
    </row>
    <row r="1463" spans="2:81" x14ac:dyDescent="0.2">
      <c r="B1463" s="68"/>
      <c r="C1463" s="69"/>
      <c r="D1463" s="70"/>
      <c r="F1463" s="68"/>
      <c r="G1463" s="69"/>
      <c r="H1463" s="70"/>
      <c r="J1463" s="71"/>
      <c r="K1463" s="71"/>
      <c r="L1463" s="67"/>
      <c r="N1463" s="71"/>
      <c r="O1463" s="71"/>
      <c r="P1463" s="67"/>
      <c r="R1463" s="67"/>
      <c r="S1463" s="6"/>
      <c r="T1463" s="6"/>
      <c r="U1463" s="6"/>
      <c r="V1463" s="6"/>
      <c r="W1463" s="6"/>
      <c r="X1463" s="6"/>
      <c r="Y1463" s="6"/>
      <c r="Z1463" s="6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  <c r="AN1463" s="6"/>
      <c r="AO1463" s="6"/>
      <c r="AP1463" s="6"/>
      <c r="AQ1463" s="6"/>
      <c r="AR1463" s="6"/>
      <c r="AS1463" s="6"/>
      <c r="AT1463" s="6"/>
      <c r="AU1463" s="6"/>
      <c r="AV1463" s="6"/>
      <c r="AW1463" s="6"/>
      <c r="AX1463" s="6"/>
      <c r="AY1463" s="6"/>
      <c r="AZ1463" s="6"/>
      <c r="BA1463" s="6"/>
      <c r="BB1463" s="6"/>
      <c r="BC1463" s="6"/>
      <c r="BD1463" s="6"/>
      <c r="BE1463" s="6"/>
      <c r="BF1463" s="6"/>
      <c r="BG1463" s="6"/>
      <c r="BH1463" s="6"/>
      <c r="BI1463" s="6"/>
      <c r="BJ1463" s="6"/>
      <c r="BK1463" s="6"/>
      <c r="BL1463" s="6"/>
      <c r="BM1463" s="6"/>
      <c r="BN1463" s="6"/>
      <c r="BO1463" s="6"/>
      <c r="BP1463" s="6"/>
      <c r="BQ1463" s="6"/>
      <c r="BR1463" s="6"/>
      <c r="BS1463" s="6"/>
      <c r="BT1463" s="6"/>
      <c r="BU1463" s="6"/>
      <c r="BV1463" s="6"/>
      <c r="BW1463" s="6"/>
      <c r="BX1463" s="6"/>
      <c r="BY1463" s="6"/>
      <c r="BZ1463" s="6"/>
      <c r="CA1463" s="6"/>
      <c r="CB1463" s="6"/>
      <c r="CC1463" s="6"/>
    </row>
    <row r="1464" spans="2:81" x14ac:dyDescent="0.2">
      <c r="B1464" s="68"/>
      <c r="C1464" s="69"/>
      <c r="D1464" s="70"/>
      <c r="F1464" s="68"/>
      <c r="G1464" s="69"/>
      <c r="H1464" s="70"/>
      <c r="J1464" s="71"/>
      <c r="K1464" s="71"/>
      <c r="L1464" s="67"/>
      <c r="N1464" s="71"/>
      <c r="O1464" s="71"/>
      <c r="P1464" s="67"/>
      <c r="R1464" s="67"/>
      <c r="S1464" s="6"/>
      <c r="T1464" s="6"/>
      <c r="U1464" s="6"/>
      <c r="V1464" s="6"/>
      <c r="W1464" s="6"/>
      <c r="X1464" s="6"/>
      <c r="Y1464" s="6"/>
      <c r="Z1464" s="6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  <c r="AN1464" s="6"/>
      <c r="AO1464" s="6"/>
      <c r="AP1464" s="6"/>
      <c r="AQ1464" s="6"/>
      <c r="AR1464" s="6"/>
      <c r="AS1464" s="6"/>
      <c r="AT1464" s="6"/>
      <c r="AU1464" s="6"/>
      <c r="AV1464" s="6"/>
      <c r="AW1464" s="6"/>
      <c r="AX1464" s="6"/>
      <c r="AY1464" s="6"/>
      <c r="AZ1464" s="6"/>
      <c r="BA1464" s="6"/>
      <c r="BB1464" s="6"/>
      <c r="BC1464" s="6"/>
      <c r="BD1464" s="6"/>
      <c r="BE1464" s="6"/>
      <c r="BF1464" s="6"/>
      <c r="BG1464" s="6"/>
      <c r="BH1464" s="6"/>
      <c r="BI1464" s="6"/>
      <c r="BJ1464" s="6"/>
      <c r="BK1464" s="6"/>
      <c r="BL1464" s="6"/>
      <c r="BM1464" s="6"/>
      <c r="BN1464" s="6"/>
      <c r="BO1464" s="6"/>
      <c r="BP1464" s="6"/>
      <c r="BQ1464" s="6"/>
      <c r="BR1464" s="6"/>
      <c r="BS1464" s="6"/>
      <c r="BT1464" s="6"/>
      <c r="BU1464" s="6"/>
      <c r="BV1464" s="6"/>
      <c r="BW1464" s="6"/>
      <c r="BX1464" s="6"/>
      <c r="BY1464" s="6"/>
      <c r="BZ1464" s="6"/>
      <c r="CA1464" s="6"/>
      <c r="CB1464" s="6"/>
      <c r="CC1464" s="6"/>
    </row>
    <row r="1465" spans="2:81" x14ac:dyDescent="0.2">
      <c r="B1465" s="68"/>
      <c r="C1465" s="69"/>
      <c r="D1465" s="70"/>
      <c r="F1465" s="68"/>
      <c r="G1465" s="69"/>
      <c r="H1465" s="70"/>
      <c r="J1465" s="71"/>
      <c r="K1465" s="71"/>
      <c r="L1465" s="67"/>
      <c r="N1465" s="71"/>
      <c r="O1465" s="71"/>
      <c r="P1465" s="67"/>
      <c r="R1465" s="67"/>
      <c r="S1465" s="6"/>
      <c r="T1465" s="6"/>
      <c r="U1465" s="6"/>
      <c r="V1465" s="6"/>
      <c r="W1465" s="6"/>
      <c r="X1465" s="6"/>
      <c r="Y1465" s="6"/>
      <c r="Z1465" s="6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  <c r="AN1465" s="6"/>
      <c r="AO1465" s="6"/>
      <c r="AP1465" s="6"/>
      <c r="AQ1465" s="6"/>
      <c r="AR1465" s="6"/>
      <c r="AS1465" s="6"/>
      <c r="AT1465" s="6"/>
      <c r="AU1465" s="6"/>
      <c r="AV1465" s="6"/>
      <c r="AW1465" s="6"/>
      <c r="AX1465" s="6"/>
      <c r="AY1465" s="6"/>
      <c r="AZ1465" s="6"/>
      <c r="BA1465" s="6"/>
      <c r="BB1465" s="6"/>
      <c r="BC1465" s="6"/>
      <c r="BD1465" s="6"/>
      <c r="BE1465" s="6"/>
      <c r="BF1465" s="6"/>
      <c r="BG1465" s="6"/>
      <c r="BH1465" s="6"/>
      <c r="BI1465" s="6"/>
      <c r="BJ1465" s="6"/>
      <c r="BK1465" s="6"/>
      <c r="BL1465" s="6"/>
      <c r="BM1465" s="6"/>
      <c r="BN1465" s="6"/>
      <c r="BO1465" s="6"/>
      <c r="BP1465" s="6"/>
      <c r="BQ1465" s="6"/>
      <c r="BR1465" s="6"/>
      <c r="BS1465" s="6"/>
      <c r="BT1465" s="6"/>
      <c r="BU1465" s="6"/>
      <c r="BV1465" s="6"/>
      <c r="BW1465" s="6"/>
      <c r="BX1465" s="6"/>
      <c r="BY1465" s="6"/>
      <c r="BZ1465" s="6"/>
      <c r="CA1465" s="6"/>
      <c r="CB1465" s="6"/>
      <c r="CC1465" s="6"/>
    </row>
    <row r="1466" spans="2:81" x14ac:dyDescent="0.2">
      <c r="B1466" s="68"/>
      <c r="C1466" s="69"/>
      <c r="D1466" s="70"/>
      <c r="F1466" s="68"/>
      <c r="G1466" s="69"/>
      <c r="H1466" s="70"/>
      <c r="J1466" s="71"/>
      <c r="K1466" s="71"/>
      <c r="L1466" s="67"/>
      <c r="N1466" s="71"/>
      <c r="O1466" s="71"/>
      <c r="P1466" s="67"/>
      <c r="R1466" s="67"/>
      <c r="S1466" s="6"/>
      <c r="T1466" s="6"/>
      <c r="U1466" s="6"/>
      <c r="V1466" s="6"/>
      <c r="W1466" s="6"/>
      <c r="X1466" s="6"/>
      <c r="Y1466" s="6"/>
      <c r="Z1466" s="6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  <c r="AN1466" s="6"/>
      <c r="AO1466" s="6"/>
      <c r="AP1466" s="6"/>
      <c r="AQ1466" s="6"/>
      <c r="AR1466" s="6"/>
      <c r="AS1466" s="6"/>
      <c r="AT1466" s="6"/>
      <c r="AU1466" s="6"/>
      <c r="AV1466" s="6"/>
      <c r="AW1466" s="6"/>
      <c r="AX1466" s="6"/>
      <c r="AY1466" s="6"/>
      <c r="AZ1466" s="6"/>
      <c r="BA1466" s="6"/>
      <c r="BB1466" s="6"/>
      <c r="BC1466" s="6"/>
      <c r="BD1466" s="6"/>
      <c r="BE1466" s="6"/>
      <c r="BF1466" s="6"/>
      <c r="BG1466" s="6"/>
      <c r="BH1466" s="6"/>
      <c r="BI1466" s="6"/>
      <c r="BJ1466" s="6"/>
      <c r="BK1466" s="6"/>
      <c r="BL1466" s="6"/>
      <c r="BM1466" s="6"/>
      <c r="BN1466" s="6"/>
      <c r="BO1466" s="6"/>
      <c r="BP1466" s="6"/>
      <c r="BQ1466" s="6"/>
      <c r="BR1466" s="6"/>
      <c r="BS1466" s="6"/>
      <c r="BT1466" s="6"/>
      <c r="BU1466" s="6"/>
      <c r="BV1466" s="6"/>
      <c r="BW1466" s="6"/>
      <c r="BX1466" s="6"/>
      <c r="BY1466" s="6"/>
      <c r="BZ1466" s="6"/>
      <c r="CA1466" s="6"/>
      <c r="CB1466" s="6"/>
      <c r="CC1466" s="6"/>
    </row>
    <row r="1467" spans="2:81" x14ac:dyDescent="0.2">
      <c r="B1467" s="68"/>
      <c r="C1467" s="69"/>
      <c r="D1467" s="70"/>
      <c r="F1467" s="68"/>
      <c r="G1467" s="69"/>
      <c r="H1467" s="70"/>
      <c r="J1467" s="71"/>
      <c r="K1467" s="71"/>
      <c r="L1467" s="67"/>
      <c r="N1467" s="71"/>
      <c r="O1467" s="71"/>
      <c r="P1467" s="67"/>
      <c r="R1467" s="67"/>
      <c r="S1467" s="6"/>
      <c r="T1467" s="6"/>
      <c r="U1467" s="6"/>
      <c r="V1467" s="6"/>
      <c r="W1467" s="6"/>
      <c r="X1467" s="6"/>
      <c r="Y1467" s="6"/>
      <c r="Z1467" s="6"/>
      <c r="AA1467" s="6"/>
      <c r="AB1467" s="6"/>
      <c r="AC1467" s="6"/>
      <c r="AD1467" s="6"/>
      <c r="AE1467" s="6"/>
      <c r="AF1467" s="6"/>
      <c r="AG1467" s="6"/>
      <c r="AH1467" s="6"/>
      <c r="AI1467" s="6"/>
      <c r="AJ1467" s="6"/>
      <c r="AK1467" s="6"/>
      <c r="AL1467" s="6"/>
      <c r="AM1467" s="6"/>
      <c r="AN1467" s="6"/>
      <c r="AO1467" s="6"/>
      <c r="AP1467" s="6"/>
      <c r="AQ1467" s="6"/>
      <c r="AR1467" s="6"/>
      <c r="AS1467" s="6"/>
      <c r="AT1467" s="6"/>
      <c r="AU1467" s="6"/>
      <c r="AV1467" s="6"/>
      <c r="AW1467" s="6"/>
      <c r="AX1467" s="6"/>
      <c r="AY1467" s="6"/>
      <c r="AZ1467" s="6"/>
      <c r="BA1467" s="6"/>
      <c r="BB1467" s="6"/>
      <c r="BC1467" s="6"/>
      <c r="BD1467" s="6"/>
      <c r="BE1467" s="6"/>
      <c r="BF1467" s="6"/>
      <c r="BG1467" s="6"/>
      <c r="BH1467" s="6"/>
      <c r="BI1467" s="6"/>
      <c r="BJ1467" s="6"/>
      <c r="BK1467" s="6"/>
      <c r="BL1467" s="6"/>
      <c r="BM1467" s="6"/>
      <c r="BN1467" s="6"/>
      <c r="BO1467" s="6"/>
      <c r="BP1467" s="6"/>
      <c r="BQ1467" s="6"/>
      <c r="BR1467" s="6"/>
      <c r="BS1467" s="6"/>
      <c r="BT1467" s="6"/>
      <c r="BU1467" s="6"/>
      <c r="BV1467" s="6"/>
      <c r="BW1467" s="6"/>
      <c r="BX1467" s="6"/>
      <c r="BY1467" s="6"/>
      <c r="BZ1467" s="6"/>
      <c r="CA1467" s="6"/>
      <c r="CB1467" s="6"/>
      <c r="CC1467" s="6"/>
    </row>
    <row r="1468" spans="2:81" x14ac:dyDescent="0.2">
      <c r="B1468" s="68"/>
      <c r="C1468" s="69"/>
      <c r="D1468" s="70"/>
      <c r="F1468" s="68"/>
      <c r="G1468" s="69"/>
      <c r="H1468" s="70"/>
      <c r="J1468" s="71"/>
      <c r="K1468" s="71"/>
      <c r="L1468" s="67"/>
      <c r="N1468" s="71"/>
      <c r="O1468" s="71"/>
      <c r="P1468" s="67"/>
      <c r="R1468" s="67"/>
      <c r="S1468" s="6"/>
      <c r="T1468" s="6"/>
      <c r="U1468" s="6"/>
      <c r="V1468" s="6"/>
      <c r="W1468" s="6"/>
      <c r="X1468" s="6"/>
      <c r="Y1468" s="6"/>
      <c r="Z1468" s="6"/>
      <c r="AA1468" s="6"/>
      <c r="AB1468" s="6"/>
      <c r="AC1468" s="6"/>
      <c r="AD1468" s="6"/>
      <c r="AE1468" s="6"/>
      <c r="AF1468" s="6"/>
      <c r="AG1468" s="6"/>
      <c r="AH1468" s="6"/>
      <c r="AI1468" s="6"/>
      <c r="AJ1468" s="6"/>
      <c r="AK1468" s="6"/>
      <c r="AL1468" s="6"/>
      <c r="AM1468" s="6"/>
      <c r="AN1468" s="6"/>
      <c r="AO1468" s="6"/>
      <c r="AP1468" s="6"/>
      <c r="AQ1468" s="6"/>
      <c r="AR1468" s="6"/>
      <c r="AS1468" s="6"/>
      <c r="AT1468" s="6"/>
      <c r="AU1468" s="6"/>
      <c r="AV1468" s="6"/>
      <c r="AW1468" s="6"/>
      <c r="AX1468" s="6"/>
      <c r="AY1468" s="6"/>
      <c r="AZ1468" s="6"/>
      <c r="BA1468" s="6"/>
      <c r="BB1468" s="6"/>
      <c r="BC1468" s="6"/>
      <c r="BD1468" s="6"/>
      <c r="BE1468" s="6"/>
      <c r="BF1468" s="6"/>
      <c r="BG1468" s="6"/>
      <c r="BH1468" s="6"/>
      <c r="BI1468" s="6"/>
      <c r="BJ1468" s="6"/>
      <c r="BK1468" s="6"/>
      <c r="BL1468" s="6"/>
      <c r="BM1468" s="6"/>
      <c r="BN1468" s="6"/>
      <c r="BO1468" s="6"/>
      <c r="BP1468" s="6"/>
      <c r="BQ1468" s="6"/>
      <c r="BR1468" s="6"/>
      <c r="BS1468" s="6"/>
      <c r="BT1468" s="6"/>
      <c r="BU1468" s="6"/>
      <c r="BV1468" s="6"/>
      <c r="BW1468" s="6"/>
      <c r="BX1468" s="6"/>
      <c r="BY1468" s="6"/>
      <c r="BZ1468" s="6"/>
      <c r="CA1468" s="6"/>
      <c r="CB1468" s="6"/>
      <c r="CC1468" s="6"/>
    </row>
    <row r="1469" spans="2:81" x14ac:dyDescent="0.2">
      <c r="B1469" s="68"/>
      <c r="C1469" s="69"/>
      <c r="D1469" s="70"/>
      <c r="F1469" s="68"/>
      <c r="G1469" s="69"/>
      <c r="H1469" s="70"/>
      <c r="J1469" s="71"/>
      <c r="K1469" s="71"/>
      <c r="L1469" s="67"/>
      <c r="N1469" s="71"/>
      <c r="O1469" s="71"/>
      <c r="P1469" s="67"/>
      <c r="R1469" s="67"/>
      <c r="S1469" s="6"/>
      <c r="T1469" s="6"/>
      <c r="U1469" s="6"/>
      <c r="V1469" s="6"/>
      <c r="W1469" s="6"/>
      <c r="X1469" s="6"/>
      <c r="Y1469" s="6"/>
      <c r="Z1469" s="6"/>
      <c r="AA1469" s="6"/>
      <c r="AB1469" s="6"/>
      <c r="AC1469" s="6"/>
      <c r="AD1469" s="6"/>
      <c r="AE1469" s="6"/>
      <c r="AF1469" s="6"/>
      <c r="AG1469" s="6"/>
      <c r="AH1469" s="6"/>
      <c r="AI1469" s="6"/>
      <c r="AJ1469" s="6"/>
      <c r="AK1469" s="6"/>
      <c r="AL1469" s="6"/>
      <c r="AM1469" s="6"/>
      <c r="AN1469" s="6"/>
      <c r="AO1469" s="6"/>
      <c r="AP1469" s="6"/>
      <c r="AQ1469" s="6"/>
      <c r="AR1469" s="6"/>
      <c r="AS1469" s="6"/>
      <c r="AT1469" s="6"/>
      <c r="AU1469" s="6"/>
      <c r="AV1469" s="6"/>
      <c r="AW1469" s="6"/>
      <c r="AX1469" s="6"/>
      <c r="AY1469" s="6"/>
      <c r="AZ1469" s="6"/>
      <c r="BA1469" s="6"/>
      <c r="BB1469" s="6"/>
      <c r="BC1469" s="6"/>
      <c r="BD1469" s="6"/>
      <c r="BE1469" s="6"/>
      <c r="BF1469" s="6"/>
      <c r="BG1469" s="6"/>
      <c r="BH1469" s="6"/>
      <c r="BI1469" s="6"/>
      <c r="BJ1469" s="6"/>
      <c r="BK1469" s="6"/>
      <c r="BL1469" s="6"/>
      <c r="BM1469" s="6"/>
      <c r="BN1469" s="6"/>
      <c r="BO1469" s="6"/>
      <c r="BP1469" s="6"/>
      <c r="BQ1469" s="6"/>
      <c r="BR1469" s="6"/>
      <c r="BS1469" s="6"/>
      <c r="BT1469" s="6"/>
      <c r="BU1469" s="6"/>
      <c r="BV1469" s="6"/>
      <c r="BW1469" s="6"/>
      <c r="BX1469" s="6"/>
      <c r="BY1469" s="6"/>
      <c r="BZ1469" s="6"/>
      <c r="CA1469" s="6"/>
      <c r="CB1469" s="6"/>
      <c r="CC1469" s="6"/>
    </row>
    <row r="1470" spans="2:81" x14ac:dyDescent="0.2">
      <c r="B1470" s="68"/>
      <c r="C1470" s="69"/>
      <c r="D1470" s="70"/>
      <c r="F1470" s="68"/>
      <c r="G1470" s="69"/>
      <c r="H1470" s="70"/>
      <c r="J1470" s="71"/>
      <c r="K1470" s="71"/>
      <c r="L1470" s="67"/>
      <c r="N1470" s="71"/>
      <c r="O1470" s="71"/>
      <c r="P1470" s="67"/>
      <c r="R1470" s="67"/>
      <c r="S1470" s="6"/>
      <c r="T1470" s="6"/>
      <c r="U1470" s="6"/>
      <c r="V1470" s="6"/>
      <c r="W1470" s="6"/>
      <c r="X1470" s="6"/>
      <c r="Y1470" s="6"/>
      <c r="Z1470" s="6"/>
      <c r="AA1470" s="6"/>
      <c r="AB1470" s="6"/>
      <c r="AC1470" s="6"/>
      <c r="AD1470" s="6"/>
      <c r="AE1470" s="6"/>
      <c r="AF1470" s="6"/>
      <c r="AG1470" s="6"/>
      <c r="AH1470" s="6"/>
      <c r="AI1470" s="6"/>
      <c r="AJ1470" s="6"/>
      <c r="AK1470" s="6"/>
      <c r="AL1470" s="6"/>
      <c r="AM1470" s="6"/>
      <c r="AN1470" s="6"/>
      <c r="AO1470" s="6"/>
      <c r="AP1470" s="6"/>
      <c r="AQ1470" s="6"/>
      <c r="AR1470" s="6"/>
      <c r="AS1470" s="6"/>
      <c r="AT1470" s="6"/>
      <c r="AU1470" s="6"/>
      <c r="AV1470" s="6"/>
      <c r="AW1470" s="6"/>
      <c r="AX1470" s="6"/>
      <c r="AY1470" s="6"/>
      <c r="AZ1470" s="6"/>
      <c r="BA1470" s="6"/>
      <c r="BB1470" s="6"/>
      <c r="BC1470" s="6"/>
      <c r="BD1470" s="6"/>
      <c r="BE1470" s="6"/>
      <c r="BF1470" s="6"/>
      <c r="BG1470" s="6"/>
      <c r="BH1470" s="6"/>
      <c r="BI1470" s="6"/>
      <c r="BJ1470" s="6"/>
      <c r="BK1470" s="6"/>
      <c r="BL1470" s="6"/>
      <c r="BM1470" s="6"/>
      <c r="BN1470" s="6"/>
      <c r="BO1470" s="6"/>
      <c r="BP1470" s="6"/>
      <c r="BQ1470" s="6"/>
      <c r="BR1470" s="6"/>
      <c r="BS1470" s="6"/>
      <c r="BT1470" s="6"/>
      <c r="BU1470" s="6"/>
      <c r="BV1470" s="6"/>
      <c r="BW1470" s="6"/>
      <c r="BX1470" s="6"/>
      <c r="BY1470" s="6"/>
      <c r="BZ1470" s="6"/>
      <c r="CA1470" s="6"/>
      <c r="CB1470" s="6"/>
      <c r="CC1470" s="6"/>
    </row>
    <row r="1471" spans="2:81" x14ac:dyDescent="0.2">
      <c r="B1471" s="68"/>
      <c r="C1471" s="69"/>
      <c r="D1471" s="70"/>
      <c r="F1471" s="68"/>
      <c r="G1471" s="69"/>
      <c r="H1471" s="70"/>
      <c r="J1471" s="71"/>
      <c r="K1471" s="71"/>
      <c r="L1471" s="67"/>
      <c r="N1471" s="71"/>
      <c r="O1471" s="71"/>
      <c r="P1471" s="67"/>
      <c r="R1471" s="67"/>
      <c r="S1471" s="6"/>
      <c r="T1471" s="6"/>
      <c r="U1471" s="6"/>
      <c r="V1471" s="6"/>
      <c r="W1471" s="6"/>
      <c r="X1471" s="6"/>
      <c r="Y1471" s="6"/>
      <c r="Z1471" s="6"/>
      <c r="AA1471" s="6"/>
      <c r="AB1471" s="6"/>
      <c r="AC1471" s="6"/>
      <c r="AD1471" s="6"/>
      <c r="AE1471" s="6"/>
      <c r="AF1471" s="6"/>
      <c r="AG1471" s="6"/>
      <c r="AH1471" s="6"/>
      <c r="AI1471" s="6"/>
      <c r="AJ1471" s="6"/>
      <c r="AK1471" s="6"/>
      <c r="AL1471" s="6"/>
      <c r="AM1471" s="6"/>
      <c r="AN1471" s="6"/>
      <c r="AO1471" s="6"/>
      <c r="AP1471" s="6"/>
      <c r="AQ1471" s="6"/>
      <c r="AR1471" s="6"/>
      <c r="AS1471" s="6"/>
      <c r="AT1471" s="6"/>
      <c r="AU1471" s="6"/>
      <c r="AV1471" s="6"/>
      <c r="AW1471" s="6"/>
      <c r="AX1471" s="6"/>
      <c r="AY1471" s="6"/>
      <c r="AZ1471" s="6"/>
      <c r="BA1471" s="6"/>
      <c r="BB1471" s="6"/>
      <c r="BC1471" s="6"/>
      <c r="BD1471" s="6"/>
      <c r="BE1471" s="6"/>
      <c r="BF1471" s="6"/>
      <c r="BG1471" s="6"/>
      <c r="BH1471" s="6"/>
      <c r="BI1471" s="6"/>
      <c r="BJ1471" s="6"/>
      <c r="BK1471" s="6"/>
      <c r="BL1471" s="6"/>
      <c r="BM1471" s="6"/>
      <c r="BN1471" s="6"/>
      <c r="BO1471" s="6"/>
      <c r="BP1471" s="6"/>
      <c r="BQ1471" s="6"/>
      <c r="BR1471" s="6"/>
      <c r="BS1471" s="6"/>
      <c r="BT1471" s="6"/>
      <c r="BU1471" s="6"/>
      <c r="BV1471" s="6"/>
      <c r="BW1471" s="6"/>
      <c r="BX1471" s="6"/>
      <c r="BY1471" s="6"/>
      <c r="BZ1471" s="6"/>
      <c r="CA1471" s="6"/>
      <c r="CB1471" s="6"/>
      <c r="CC1471" s="6"/>
    </row>
    <row r="1472" spans="2:81" x14ac:dyDescent="0.2">
      <c r="B1472" s="68"/>
      <c r="C1472" s="69"/>
      <c r="D1472" s="70"/>
      <c r="F1472" s="68"/>
      <c r="G1472" s="69"/>
      <c r="H1472" s="70"/>
      <c r="J1472" s="71"/>
      <c r="K1472" s="71"/>
      <c r="L1472" s="67"/>
      <c r="N1472" s="71"/>
      <c r="O1472" s="71"/>
      <c r="P1472" s="67"/>
      <c r="R1472" s="67"/>
      <c r="S1472" s="6"/>
      <c r="T1472" s="6"/>
      <c r="U1472" s="6"/>
      <c r="V1472" s="6"/>
      <c r="W1472" s="6"/>
      <c r="X1472" s="6"/>
      <c r="Y1472" s="6"/>
      <c r="Z1472" s="6"/>
      <c r="AA1472" s="6"/>
      <c r="AB1472" s="6"/>
      <c r="AC1472" s="6"/>
      <c r="AD1472" s="6"/>
      <c r="AE1472" s="6"/>
      <c r="AF1472" s="6"/>
      <c r="AG1472" s="6"/>
      <c r="AH1472" s="6"/>
      <c r="AI1472" s="6"/>
      <c r="AJ1472" s="6"/>
      <c r="AK1472" s="6"/>
      <c r="AL1472" s="6"/>
      <c r="AM1472" s="6"/>
      <c r="AN1472" s="6"/>
      <c r="AO1472" s="6"/>
      <c r="AP1472" s="6"/>
      <c r="AQ1472" s="6"/>
      <c r="AR1472" s="6"/>
      <c r="AS1472" s="6"/>
      <c r="AT1472" s="6"/>
      <c r="AU1472" s="6"/>
      <c r="AV1472" s="6"/>
      <c r="AW1472" s="6"/>
      <c r="AX1472" s="6"/>
      <c r="AY1472" s="6"/>
      <c r="AZ1472" s="6"/>
      <c r="BA1472" s="6"/>
      <c r="BB1472" s="6"/>
      <c r="BC1472" s="6"/>
      <c r="BD1472" s="6"/>
      <c r="BE1472" s="6"/>
      <c r="BF1472" s="6"/>
      <c r="BG1472" s="6"/>
      <c r="BH1472" s="6"/>
      <c r="BI1472" s="6"/>
      <c r="BJ1472" s="6"/>
      <c r="BK1472" s="6"/>
      <c r="BL1472" s="6"/>
      <c r="BM1472" s="6"/>
      <c r="BN1472" s="6"/>
      <c r="BO1472" s="6"/>
      <c r="BP1472" s="6"/>
      <c r="BQ1472" s="6"/>
      <c r="BR1472" s="6"/>
      <c r="BS1472" s="6"/>
      <c r="BT1472" s="6"/>
      <c r="BU1472" s="6"/>
      <c r="BV1472" s="6"/>
      <c r="BW1472" s="6"/>
      <c r="BX1472" s="6"/>
      <c r="BY1472" s="6"/>
      <c r="BZ1472" s="6"/>
      <c r="CA1472" s="6"/>
      <c r="CB1472" s="6"/>
      <c r="CC1472" s="6"/>
    </row>
    <row r="1473" spans="2:81" x14ac:dyDescent="0.2">
      <c r="B1473" s="68"/>
      <c r="C1473" s="69"/>
      <c r="D1473" s="70"/>
      <c r="F1473" s="68"/>
      <c r="G1473" s="69"/>
      <c r="H1473" s="70"/>
      <c r="J1473" s="71"/>
      <c r="K1473" s="71"/>
      <c r="L1473" s="67"/>
      <c r="N1473" s="71"/>
      <c r="O1473" s="71"/>
      <c r="P1473" s="67"/>
      <c r="R1473" s="67"/>
      <c r="S1473" s="6"/>
      <c r="T1473" s="6"/>
      <c r="U1473" s="6"/>
      <c r="V1473" s="6"/>
      <c r="W1473" s="6"/>
      <c r="X1473" s="6"/>
      <c r="Y1473" s="6"/>
      <c r="Z1473" s="6"/>
      <c r="AA1473" s="6"/>
      <c r="AB1473" s="6"/>
      <c r="AC1473" s="6"/>
      <c r="AD1473" s="6"/>
      <c r="AE1473" s="6"/>
      <c r="AF1473" s="6"/>
      <c r="AG1473" s="6"/>
      <c r="AH1473" s="6"/>
      <c r="AI1473" s="6"/>
      <c r="AJ1473" s="6"/>
      <c r="AK1473" s="6"/>
      <c r="AL1473" s="6"/>
      <c r="AM1473" s="6"/>
      <c r="AN1473" s="6"/>
      <c r="AO1473" s="6"/>
      <c r="AP1473" s="6"/>
      <c r="AQ1473" s="6"/>
      <c r="AR1473" s="6"/>
      <c r="AS1473" s="6"/>
      <c r="AT1473" s="6"/>
      <c r="AU1473" s="6"/>
      <c r="AV1473" s="6"/>
      <c r="AW1473" s="6"/>
      <c r="AX1473" s="6"/>
      <c r="AY1473" s="6"/>
      <c r="AZ1473" s="6"/>
      <c r="BA1473" s="6"/>
      <c r="BB1473" s="6"/>
      <c r="BC1473" s="6"/>
      <c r="BD1473" s="6"/>
      <c r="BE1473" s="6"/>
      <c r="BF1473" s="6"/>
      <c r="BG1473" s="6"/>
      <c r="BH1473" s="6"/>
      <c r="BI1473" s="6"/>
      <c r="BJ1473" s="6"/>
      <c r="BK1473" s="6"/>
      <c r="BL1473" s="6"/>
      <c r="BM1473" s="6"/>
      <c r="BN1473" s="6"/>
      <c r="BO1473" s="6"/>
      <c r="BP1473" s="6"/>
      <c r="BQ1473" s="6"/>
      <c r="BR1473" s="6"/>
      <c r="BS1473" s="6"/>
      <c r="BT1473" s="6"/>
      <c r="BU1473" s="6"/>
      <c r="BV1473" s="6"/>
      <c r="BW1473" s="6"/>
      <c r="BX1473" s="6"/>
      <c r="BY1473" s="6"/>
      <c r="BZ1473" s="6"/>
      <c r="CA1473" s="6"/>
      <c r="CB1473" s="6"/>
      <c r="CC1473" s="6"/>
    </row>
    <row r="1474" spans="2:81" x14ac:dyDescent="0.2">
      <c r="B1474" s="68"/>
      <c r="C1474" s="69"/>
      <c r="D1474" s="70"/>
      <c r="F1474" s="68"/>
      <c r="G1474" s="69"/>
      <c r="H1474" s="70"/>
      <c r="J1474" s="71"/>
      <c r="K1474" s="71"/>
      <c r="L1474" s="67"/>
      <c r="N1474" s="71"/>
      <c r="O1474" s="71"/>
      <c r="P1474" s="67"/>
      <c r="R1474" s="67"/>
      <c r="S1474" s="6"/>
      <c r="T1474" s="6"/>
      <c r="U1474" s="6"/>
      <c r="V1474" s="6"/>
      <c r="W1474" s="6"/>
      <c r="X1474" s="6"/>
      <c r="Y1474" s="6"/>
      <c r="Z1474" s="6"/>
      <c r="AA1474" s="6"/>
      <c r="AB1474" s="6"/>
      <c r="AC1474" s="6"/>
      <c r="AD1474" s="6"/>
      <c r="AE1474" s="6"/>
      <c r="AF1474" s="6"/>
      <c r="AG1474" s="6"/>
      <c r="AH1474" s="6"/>
      <c r="AI1474" s="6"/>
      <c r="AJ1474" s="6"/>
      <c r="AK1474" s="6"/>
      <c r="AL1474" s="6"/>
      <c r="AM1474" s="6"/>
      <c r="AN1474" s="6"/>
      <c r="AO1474" s="6"/>
      <c r="AP1474" s="6"/>
      <c r="AQ1474" s="6"/>
      <c r="AR1474" s="6"/>
      <c r="AS1474" s="6"/>
      <c r="AT1474" s="6"/>
      <c r="AU1474" s="6"/>
      <c r="AV1474" s="6"/>
      <c r="AW1474" s="6"/>
      <c r="AX1474" s="6"/>
      <c r="AY1474" s="6"/>
      <c r="AZ1474" s="6"/>
      <c r="BA1474" s="6"/>
      <c r="BB1474" s="6"/>
      <c r="BC1474" s="6"/>
      <c r="BD1474" s="6"/>
      <c r="BE1474" s="6"/>
      <c r="BF1474" s="6"/>
      <c r="BG1474" s="6"/>
      <c r="BH1474" s="6"/>
      <c r="BI1474" s="6"/>
      <c r="BJ1474" s="6"/>
      <c r="BK1474" s="6"/>
      <c r="BL1474" s="6"/>
      <c r="BM1474" s="6"/>
      <c r="BN1474" s="6"/>
      <c r="BO1474" s="6"/>
      <c r="BP1474" s="6"/>
      <c r="BQ1474" s="6"/>
      <c r="BR1474" s="6"/>
      <c r="BS1474" s="6"/>
      <c r="BT1474" s="6"/>
      <c r="BU1474" s="6"/>
      <c r="BV1474" s="6"/>
      <c r="BW1474" s="6"/>
      <c r="BX1474" s="6"/>
      <c r="BY1474" s="6"/>
      <c r="BZ1474" s="6"/>
      <c r="CA1474" s="6"/>
      <c r="CB1474" s="6"/>
      <c r="CC1474" s="6"/>
    </row>
    <row r="1475" spans="2:81" x14ac:dyDescent="0.2">
      <c r="B1475" s="68"/>
      <c r="C1475" s="69"/>
      <c r="D1475" s="70"/>
      <c r="F1475" s="68"/>
      <c r="G1475" s="69"/>
      <c r="H1475" s="70"/>
      <c r="J1475" s="71"/>
      <c r="K1475" s="71"/>
      <c r="L1475" s="67"/>
      <c r="N1475" s="71"/>
      <c r="O1475" s="71"/>
      <c r="P1475" s="67"/>
      <c r="R1475" s="67"/>
      <c r="S1475" s="6"/>
      <c r="T1475" s="6"/>
      <c r="U1475" s="6"/>
      <c r="V1475" s="6"/>
      <c r="W1475" s="6"/>
      <c r="X1475" s="6"/>
      <c r="Y1475" s="6"/>
      <c r="Z1475" s="6"/>
      <c r="AA1475" s="6"/>
      <c r="AB1475" s="6"/>
      <c r="AC1475" s="6"/>
      <c r="AD1475" s="6"/>
      <c r="AE1475" s="6"/>
      <c r="AF1475" s="6"/>
      <c r="AG1475" s="6"/>
      <c r="AH1475" s="6"/>
      <c r="AI1475" s="6"/>
      <c r="AJ1475" s="6"/>
      <c r="AK1475" s="6"/>
      <c r="AL1475" s="6"/>
      <c r="AM1475" s="6"/>
      <c r="AN1475" s="6"/>
      <c r="AO1475" s="6"/>
      <c r="AP1475" s="6"/>
      <c r="AQ1475" s="6"/>
      <c r="AR1475" s="6"/>
      <c r="AS1475" s="6"/>
      <c r="AT1475" s="6"/>
      <c r="AU1475" s="6"/>
      <c r="AV1475" s="6"/>
      <c r="AW1475" s="6"/>
      <c r="AX1475" s="6"/>
      <c r="AY1475" s="6"/>
      <c r="AZ1475" s="6"/>
      <c r="BA1475" s="6"/>
      <c r="BB1475" s="6"/>
      <c r="BC1475" s="6"/>
      <c r="BD1475" s="6"/>
      <c r="BE1475" s="6"/>
      <c r="BF1475" s="6"/>
      <c r="BG1475" s="6"/>
      <c r="BH1475" s="6"/>
      <c r="BI1475" s="6"/>
      <c r="BJ1475" s="6"/>
      <c r="BK1475" s="6"/>
      <c r="BL1475" s="6"/>
      <c r="BM1475" s="6"/>
      <c r="BN1475" s="6"/>
      <c r="BO1475" s="6"/>
      <c r="BP1475" s="6"/>
      <c r="BQ1475" s="6"/>
      <c r="BR1475" s="6"/>
      <c r="BS1475" s="6"/>
      <c r="BT1475" s="6"/>
      <c r="BU1475" s="6"/>
      <c r="BV1475" s="6"/>
      <c r="BW1475" s="6"/>
      <c r="BX1475" s="6"/>
      <c r="BY1475" s="6"/>
      <c r="BZ1475" s="6"/>
      <c r="CA1475" s="6"/>
      <c r="CB1475" s="6"/>
      <c r="CC1475" s="6"/>
    </row>
    <row r="1476" spans="2:81" x14ac:dyDescent="0.2">
      <c r="B1476" s="68"/>
      <c r="C1476" s="69"/>
      <c r="D1476" s="70"/>
      <c r="F1476" s="68"/>
      <c r="G1476" s="69"/>
      <c r="H1476" s="70"/>
      <c r="J1476" s="71"/>
      <c r="K1476" s="71"/>
      <c r="L1476" s="67"/>
      <c r="N1476" s="71"/>
      <c r="O1476" s="71"/>
      <c r="P1476" s="67"/>
      <c r="R1476" s="67"/>
      <c r="S1476" s="6"/>
      <c r="T1476" s="6"/>
      <c r="U1476" s="6"/>
      <c r="V1476" s="6"/>
      <c r="W1476" s="6"/>
      <c r="X1476" s="6"/>
      <c r="Y1476" s="6"/>
      <c r="Z1476" s="6"/>
      <c r="AA1476" s="6"/>
      <c r="AB1476" s="6"/>
      <c r="AC1476" s="6"/>
      <c r="AD1476" s="6"/>
      <c r="AE1476" s="6"/>
      <c r="AF1476" s="6"/>
      <c r="AG1476" s="6"/>
      <c r="AH1476" s="6"/>
      <c r="AI1476" s="6"/>
      <c r="AJ1476" s="6"/>
      <c r="AK1476" s="6"/>
      <c r="AL1476" s="6"/>
      <c r="AM1476" s="6"/>
      <c r="AN1476" s="6"/>
      <c r="AO1476" s="6"/>
      <c r="AP1476" s="6"/>
      <c r="AQ1476" s="6"/>
      <c r="AR1476" s="6"/>
      <c r="AS1476" s="6"/>
      <c r="AT1476" s="6"/>
      <c r="AU1476" s="6"/>
      <c r="AV1476" s="6"/>
      <c r="AW1476" s="6"/>
      <c r="AX1476" s="6"/>
      <c r="AY1476" s="6"/>
      <c r="AZ1476" s="6"/>
      <c r="BA1476" s="6"/>
      <c r="BB1476" s="6"/>
      <c r="BC1476" s="6"/>
      <c r="BD1476" s="6"/>
      <c r="BE1476" s="6"/>
      <c r="BF1476" s="6"/>
      <c r="BG1476" s="6"/>
      <c r="BH1476" s="6"/>
      <c r="BI1476" s="6"/>
      <c r="BJ1476" s="6"/>
      <c r="BK1476" s="6"/>
      <c r="BL1476" s="6"/>
      <c r="BM1476" s="6"/>
      <c r="BN1476" s="6"/>
      <c r="BO1476" s="6"/>
      <c r="BP1476" s="6"/>
      <c r="BQ1476" s="6"/>
      <c r="BR1476" s="6"/>
      <c r="BS1476" s="6"/>
      <c r="BT1476" s="6"/>
      <c r="BU1476" s="6"/>
      <c r="BV1476" s="6"/>
      <c r="BW1476" s="6"/>
      <c r="BX1476" s="6"/>
      <c r="BY1476" s="6"/>
      <c r="BZ1476" s="6"/>
      <c r="CA1476" s="6"/>
      <c r="CB1476" s="6"/>
      <c r="CC1476" s="6"/>
    </row>
    <row r="1477" spans="2:81" x14ac:dyDescent="0.2">
      <c r="B1477" s="68"/>
      <c r="C1477" s="69"/>
      <c r="D1477" s="70"/>
      <c r="F1477" s="68"/>
      <c r="G1477" s="69"/>
      <c r="H1477" s="70"/>
      <c r="J1477" s="71"/>
      <c r="K1477" s="71"/>
      <c r="L1477" s="67"/>
      <c r="N1477" s="71"/>
      <c r="O1477" s="71"/>
      <c r="P1477" s="67"/>
      <c r="R1477" s="67"/>
      <c r="S1477" s="6"/>
      <c r="T1477" s="6"/>
      <c r="U1477" s="6"/>
      <c r="V1477" s="6"/>
      <c r="W1477" s="6"/>
      <c r="X1477" s="6"/>
      <c r="Y1477" s="6"/>
      <c r="Z1477" s="6"/>
      <c r="AA1477" s="6"/>
      <c r="AB1477" s="6"/>
      <c r="AC1477" s="6"/>
      <c r="AD1477" s="6"/>
      <c r="AE1477" s="6"/>
      <c r="AF1477" s="6"/>
      <c r="AG1477" s="6"/>
      <c r="AH1477" s="6"/>
      <c r="AI1477" s="6"/>
      <c r="AJ1477" s="6"/>
      <c r="AK1477" s="6"/>
      <c r="AL1477" s="6"/>
      <c r="AM1477" s="6"/>
      <c r="AN1477" s="6"/>
      <c r="AO1477" s="6"/>
      <c r="AP1477" s="6"/>
      <c r="AQ1477" s="6"/>
      <c r="AR1477" s="6"/>
      <c r="AS1477" s="6"/>
      <c r="AT1477" s="6"/>
      <c r="AU1477" s="6"/>
      <c r="AV1477" s="6"/>
      <c r="AW1477" s="6"/>
      <c r="AX1477" s="6"/>
      <c r="AY1477" s="6"/>
      <c r="AZ1477" s="6"/>
      <c r="BA1477" s="6"/>
      <c r="BB1477" s="6"/>
      <c r="BC1477" s="6"/>
      <c r="BD1477" s="6"/>
      <c r="BE1477" s="6"/>
      <c r="BF1477" s="6"/>
      <c r="BG1477" s="6"/>
      <c r="BH1477" s="6"/>
      <c r="BI1477" s="6"/>
      <c r="BJ1477" s="6"/>
      <c r="BK1477" s="6"/>
      <c r="BL1477" s="6"/>
      <c r="BM1477" s="6"/>
      <c r="BN1477" s="6"/>
      <c r="BO1477" s="6"/>
      <c r="BP1477" s="6"/>
      <c r="BQ1477" s="6"/>
      <c r="BR1477" s="6"/>
      <c r="BS1477" s="6"/>
      <c r="BT1477" s="6"/>
      <c r="BU1477" s="6"/>
      <c r="BV1477" s="6"/>
      <c r="BW1477" s="6"/>
      <c r="BX1477" s="6"/>
      <c r="BY1477" s="6"/>
      <c r="BZ1477" s="6"/>
      <c r="CA1477" s="6"/>
      <c r="CB1477" s="6"/>
      <c r="CC1477" s="6"/>
    </row>
    <row r="1478" spans="2:81" x14ac:dyDescent="0.2">
      <c r="B1478" s="68"/>
      <c r="C1478" s="69"/>
      <c r="D1478" s="70"/>
      <c r="F1478" s="68"/>
      <c r="G1478" s="69"/>
      <c r="H1478" s="70"/>
      <c r="J1478" s="71"/>
      <c r="K1478" s="71"/>
      <c r="L1478" s="67"/>
      <c r="N1478" s="71"/>
      <c r="O1478" s="71"/>
      <c r="P1478" s="67"/>
      <c r="R1478" s="67"/>
      <c r="S1478" s="6"/>
      <c r="T1478" s="6"/>
      <c r="U1478" s="6"/>
      <c r="V1478" s="6"/>
      <c r="W1478" s="6"/>
      <c r="X1478" s="6"/>
      <c r="Y1478" s="6"/>
      <c r="Z1478" s="6"/>
      <c r="AA1478" s="6"/>
      <c r="AB1478" s="6"/>
      <c r="AC1478" s="6"/>
      <c r="AD1478" s="6"/>
      <c r="AE1478" s="6"/>
      <c r="AF1478" s="6"/>
      <c r="AG1478" s="6"/>
      <c r="AH1478" s="6"/>
      <c r="AI1478" s="6"/>
      <c r="AJ1478" s="6"/>
      <c r="AK1478" s="6"/>
      <c r="AL1478" s="6"/>
      <c r="AM1478" s="6"/>
      <c r="AN1478" s="6"/>
      <c r="AO1478" s="6"/>
      <c r="AP1478" s="6"/>
      <c r="AQ1478" s="6"/>
      <c r="AR1478" s="6"/>
      <c r="AS1478" s="6"/>
      <c r="AT1478" s="6"/>
      <c r="AU1478" s="6"/>
      <c r="AV1478" s="6"/>
      <c r="AW1478" s="6"/>
      <c r="AX1478" s="6"/>
      <c r="AY1478" s="6"/>
      <c r="AZ1478" s="6"/>
      <c r="BA1478" s="6"/>
      <c r="BB1478" s="6"/>
      <c r="BC1478" s="6"/>
      <c r="BD1478" s="6"/>
      <c r="BE1478" s="6"/>
      <c r="BF1478" s="6"/>
      <c r="BG1478" s="6"/>
      <c r="BH1478" s="6"/>
      <c r="BI1478" s="6"/>
      <c r="BJ1478" s="6"/>
      <c r="BK1478" s="6"/>
      <c r="BL1478" s="6"/>
      <c r="BM1478" s="6"/>
      <c r="BN1478" s="6"/>
      <c r="BO1478" s="6"/>
      <c r="BP1478" s="6"/>
      <c r="BQ1478" s="6"/>
      <c r="BR1478" s="6"/>
      <c r="BS1478" s="6"/>
      <c r="BT1478" s="6"/>
      <c r="BU1478" s="6"/>
      <c r="BV1478" s="6"/>
      <c r="BW1478" s="6"/>
      <c r="BX1478" s="6"/>
      <c r="BY1478" s="6"/>
      <c r="BZ1478" s="6"/>
      <c r="CA1478" s="6"/>
      <c r="CB1478" s="6"/>
      <c r="CC1478" s="6"/>
    </row>
    <row r="1479" spans="2:81" x14ac:dyDescent="0.2">
      <c r="B1479" s="68"/>
      <c r="C1479" s="69"/>
      <c r="D1479" s="70"/>
      <c r="F1479" s="68"/>
      <c r="G1479" s="69"/>
      <c r="H1479" s="70"/>
      <c r="J1479" s="71"/>
      <c r="K1479" s="71"/>
      <c r="L1479" s="67"/>
      <c r="N1479" s="71"/>
      <c r="O1479" s="71"/>
      <c r="P1479" s="67"/>
      <c r="R1479" s="67"/>
      <c r="S1479" s="6"/>
      <c r="T1479" s="6"/>
      <c r="U1479" s="6"/>
      <c r="V1479" s="6"/>
      <c r="W1479" s="6"/>
      <c r="X1479" s="6"/>
      <c r="Y1479" s="6"/>
      <c r="Z1479" s="6"/>
      <c r="AA1479" s="6"/>
      <c r="AB1479" s="6"/>
      <c r="AC1479" s="6"/>
      <c r="AD1479" s="6"/>
      <c r="AE1479" s="6"/>
      <c r="AF1479" s="6"/>
      <c r="AG1479" s="6"/>
      <c r="AH1479" s="6"/>
      <c r="AI1479" s="6"/>
      <c r="AJ1479" s="6"/>
      <c r="AK1479" s="6"/>
      <c r="AL1479" s="6"/>
      <c r="AM1479" s="6"/>
      <c r="AN1479" s="6"/>
      <c r="AO1479" s="6"/>
      <c r="AP1479" s="6"/>
      <c r="AQ1479" s="6"/>
      <c r="AR1479" s="6"/>
      <c r="AS1479" s="6"/>
      <c r="AT1479" s="6"/>
      <c r="AU1479" s="6"/>
      <c r="AV1479" s="6"/>
      <c r="AW1479" s="6"/>
      <c r="AX1479" s="6"/>
      <c r="AY1479" s="6"/>
      <c r="AZ1479" s="6"/>
      <c r="BA1479" s="6"/>
      <c r="BB1479" s="6"/>
      <c r="BC1479" s="6"/>
      <c r="BD1479" s="6"/>
      <c r="BE1479" s="6"/>
      <c r="BF1479" s="6"/>
      <c r="BG1479" s="6"/>
      <c r="BH1479" s="6"/>
      <c r="BI1479" s="6"/>
      <c r="BJ1479" s="6"/>
      <c r="BK1479" s="6"/>
      <c r="BL1479" s="6"/>
      <c r="BM1479" s="6"/>
      <c r="BN1479" s="6"/>
      <c r="BO1479" s="6"/>
      <c r="BP1479" s="6"/>
      <c r="BQ1479" s="6"/>
      <c r="BR1479" s="6"/>
      <c r="BS1479" s="6"/>
      <c r="BT1479" s="6"/>
      <c r="BU1479" s="6"/>
      <c r="BV1479" s="6"/>
      <c r="BW1479" s="6"/>
      <c r="BX1479" s="6"/>
      <c r="BY1479" s="6"/>
      <c r="BZ1479" s="6"/>
      <c r="CA1479" s="6"/>
      <c r="CB1479" s="6"/>
      <c r="CC1479" s="6"/>
    </row>
    <row r="1480" spans="2:81" x14ac:dyDescent="0.2">
      <c r="B1480" s="68"/>
      <c r="C1480" s="69"/>
      <c r="D1480" s="70"/>
      <c r="F1480" s="68"/>
      <c r="G1480" s="69"/>
      <c r="H1480" s="70"/>
      <c r="J1480" s="71"/>
      <c r="K1480" s="71"/>
      <c r="L1480" s="67"/>
      <c r="N1480" s="71"/>
      <c r="O1480" s="71"/>
      <c r="P1480" s="67"/>
      <c r="R1480" s="67"/>
      <c r="S1480" s="6"/>
      <c r="T1480" s="6"/>
      <c r="U1480" s="6"/>
      <c r="V1480" s="6"/>
      <c r="W1480" s="6"/>
      <c r="X1480" s="6"/>
      <c r="Y1480" s="6"/>
      <c r="Z1480" s="6"/>
      <c r="AA1480" s="6"/>
      <c r="AB1480" s="6"/>
      <c r="AC1480" s="6"/>
      <c r="AD1480" s="6"/>
      <c r="AE1480" s="6"/>
      <c r="AF1480" s="6"/>
      <c r="AG1480" s="6"/>
      <c r="AH1480" s="6"/>
      <c r="AI1480" s="6"/>
      <c r="AJ1480" s="6"/>
      <c r="AK1480" s="6"/>
      <c r="AL1480" s="6"/>
      <c r="AM1480" s="6"/>
      <c r="AN1480" s="6"/>
      <c r="AO1480" s="6"/>
      <c r="AP1480" s="6"/>
      <c r="AQ1480" s="6"/>
      <c r="AR1480" s="6"/>
      <c r="AS1480" s="6"/>
      <c r="AT1480" s="6"/>
      <c r="AU1480" s="6"/>
      <c r="AV1480" s="6"/>
      <c r="AW1480" s="6"/>
      <c r="AX1480" s="6"/>
      <c r="AY1480" s="6"/>
      <c r="AZ1480" s="6"/>
      <c r="BA1480" s="6"/>
      <c r="BB1480" s="6"/>
      <c r="BC1480" s="6"/>
      <c r="BD1480" s="6"/>
      <c r="BE1480" s="6"/>
      <c r="BF1480" s="6"/>
      <c r="BG1480" s="6"/>
      <c r="BH1480" s="6"/>
      <c r="BI1480" s="6"/>
      <c r="BJ1480" s="6"/>
      <c r="BK1480" s="6"/>
      <c r="BL1480" s="6"/>
      <c r="BM1480" s="6"/>
      <c r="BN1480" s="6"/>
      <c r="BO1480" s="6"/>
      <c r="BP1480" s="6"/>
      <c r="BQ1480" s="6"/>
      <c r="BR1480" s="6"/>
      <c r="BS1480" s="6"/>
      <c r="BT1480" s="6"/>
      <c r="BU1480" s="6"/>
      <c r="BV1480" s="6"/>
      <c r="BW1480" s="6"/>
      <c r="BX1480" s="6"/>
      <c r="BY1480" s="6"/>
      <c r="BZ1480" s="6"/>
      <c r="CA1480" s="6"/>
      <c r="CB1480" s="6"/>
      <c r="CC1480" s="6"/>
    </row>
    <row r="1481" spans="2:81" x14ac:dyDescent="0.2">
      <c r="B1481" s="68"/>
      <c r="C1481" s="69"/>
      <c r="D1481" s="70"/>
      <c r="F1481" s="68"/>
      <c r="G1481" s="69"/>
      <c r="H1481" s="70"/>
      <c r="J1481" s="71"/>
      <c r="K1481" s="71"/>
      <c r="L1481" s="67"/>
      <c r="N1481" s="71"/>
      <c r="O1481" s="71"/>
      <c r="P1481" s="67"/>
      <c r="R1481" s="67"/>
      <c r="S1481" s="6"/>
      <c r="T1481" s="6"/>
      <c r="U1481" s="6"/>
      <c r="V1481" s="6"/>
      <c r="W1481" s="6"/>
      <c r="X1481" s="6"/>
      <c r="Y1481" s="6"/>
      <c r="Z1481" s="6"/>
      <c r="AA1481" s="6"/>
      <c r="AB1481" s="6"/>
      <c r="AC1481" s="6"/>
      <c r="AD1481" s="6"/>
      <c r="AE1481" s="6"/>
      <c r="AF1481" s="6"/>
      <c r="AG1481" s="6"/>
      <c r="AH1481" s="6"/>
      <c r="AI1481" s="6"/>
      <c r="AJ1481" s="6"/>
      <c r="AK1481" s="6"/>
      <c r="AL1481" s="6"/>
      <c r="AM1481" s="6"/>
      <c r="AN1481" s="6"/>
      <c r="AO1481" s="6"/>
      <c r="AP1481" s="6"/>
      <c r="AQ1481" s="6"/>
      <c r="AR1481" s="6"/>
      <c r="AS1481" s="6"/>
      <c r="AT1481" s="6"/>
      <c r="AU1481" s="6"/>
      <c r="AV1481" s="6"/>
      <c r="AW1481" s="6"/>
      <c r="AX1481" s="6"/>
      <c r="AY1481" s="6"/>
      <c r="AZ1481" s="6"/>
      <c r="BA1481" s="6"/>
      <c r="BB1481" s="6"/>
      <c r="BC1481" s="6"/>
      <c r="BD1481" s="6"/>
      <c r="BE1481" s="6"/>
      <c r="BF1481" s="6"/>
      <c r="BG1481" s="6"/>
      <c r="BH1481" s="6"/>
      <c r="BI1481" s="6"/>
      <c r="BJ1481" s="6"/>
      <c r="BK1481" s="6"/>
      <c r="BL1481" s="6"/>
      <c r="BM1481" s="6"/>
      <c r="BN1481" s="6"/>
      <c r="BO1481" s="6"/>
      <c r="BP1481" s="6"/>
      <c r="BQ1481" s="6"/>
      <c r="BR1481" s="6"/>
      <c r="BS1481" s="6"/>
      <c r="BT1481" s="6"/>
      <c r="BU1481" s="6"/>
      <c r="BV1481" s="6"/>
      <c r="BW1481" s="6"/>
      <c r="BX1481" s="6"/>
      <c r="BY1481" s="6"/>
      <c r="BZ1481" s="6"/>
      <c r="CA1481" s="6"/>
      <c r="CB1481" s="6"/>
      <c r="CC1481" s="6"/>
    </row>
    <row r="1482" spans="2:81" x14ac:dyDescent="0.2">
      <c r="B1482" s="68"/>
      <c r="C1482" s="69"/>
      <c r="D1482" s="70"/>
      <c r="F1482" s="68"/>
      <c r="G1482" s="69"/>
      <c r="H1482" s="70"/>
      <c r="J1482" s="71"/>
      <c r="K1482" s="71"/>
      <c r="L1482" s="67"/>
      <c r="N1482" s="71"/>
      <c r="O1482" s="71"/>
      <c r="P1482" s="67"/>
      <c r="R1482" s="67"/>
      <c r="S1482" s="6"/>
      <c r="T1482" s="6"/>
      <c r="U1482" s="6"/>
      <c r="V1482" s="6"/>
      <c r="W1482" s="6"/>
      <c r="X1482" s="6"/>
      <c r="Y1482" s="6"/>
      <c r="Z1482" s="6"/>
      <c r="AA1482" s="6"/>
      <c r="AB1482" s="6"/>
      <c r="AC1482" s="6"/>
      <c r="AD1482" s="6"/>
      <c r="AE1482" s="6"/>
      <c r="AF1482" s="6"/>
      <c r="AG1482" s="6"/>
      <c r="AH1482" s="6"/>
      <c r="AI1482" s="6"/>
      <c r="AJ1482" s="6"/>
      <c r="AK1482" s="6"/>
      <c r="AL1482" s="6"/>
      <c r="AM1482" s="6"/>
      <c r="AN1482" s="6"/>
      <c r="AO1482" s="6"/>
      <c r="AP1482" s="6"/>
      <c r="AQ1482" s="6"/>
      <c r="AR1482" s="6"/>
      <c r="AS1482" s="6"/>
      <c r="AT1482" s="6"/>
      <c r="AU1482" s="6"/>
      <c r="AV1482" s="6"/>
      <c r="AW1482" s="6"/>
      <c r="AX1482" s="6"/>
      <c r="AY1482" s="6"/>
      <c r="AZ1482" s="6"/>
      <c r="BA1482" s="6"/>
      <c r="BB1482" s="6"/>
      <c r="BC1482" s="6"/>
      <c r="BD1482" s="6"/>
      <c r="BE1482" s="6"/>
      <c r="BF1482" s="6"/>
      <c r="BG1482" s="6"/>
      <c r="BH1482" s="6"/>
      <c r="BI1482" s="6"/>
      <c r="BJ1482" s="6"/>
      <c r="BK1482" s="6"/>
      <c r="BL1482" s="6"/>
      <c r="BM1482" s="6"/>
      <c r="BN1482" s="6"/>
      <c r="BO1482" s="6"/>
      <c r="BP1482" s="6"/>
      <c r="BQ1482" s="6"/>
      <c r="BR1482" s="6"/>
      <c r="BS1482" s="6"/>
      <c r="BT1482" s="6"/>
      <c r="BU1482" s="6"/>
      <c r="BV1482" s="6"/>
      <c r="BW1482" s="6"/>
      <c r="BX1482" s="6"/>
      <c r="BY1482" s="6"/>
      <c r="BZ1482" s="6"/>
      <c r="CA1482" s="6"/>
      <c r="CB1482" s="6"/>
      <c r="CC1482" s="6"/>
    </row>
    <row r="1483" spans="2:81" x14ac:dyDescent="0.2">
      <c r="B1483" s="68"/>
      <c r="C1483" s="69"/>
      <c r="D1483" s="70"/>
      <c r="F1483" s="68"/>
      <c r="G1483" s="69"/>
      <c r="H1483" s="70"/>
      <c r="J1483" s="71"/>
      <c r="K1483" s="71"/>
      <c r="L1483" s="67"/>
      <c r="N1483" s="71"/>
      <c r="O1483" s="71"/>
      <c r="P1483" s="67"/>
      <c r="R1483" s="67"/>
      <c r="S1483" s="6"/>
      <c r="T1483" s="6"/>
      <c r="U1483" s="6"/>
      <c r="V1483" s="6"/>
      <c r="W1483" s="6"/>
      <c r="X1483" s="6"/>
      <c r="Y1483" s="6"/>
      <c r="Z1483" s="6"/>
      <c r="AA1483" s="6"/>
      <c r="AB1483" s="6"/>
      <c r="AC1483" s="6"/>
      <c r="AD1483" s="6"/>
      <c r="AE1483" s="6"/>
      <c r="AF1483" s="6"/>
      <c r="AG1483" s="6"/>
      <c r="AH1483" s="6"/>
      <c r="AI1483" s="6"/>
      <c r="AJ1483" s="6"/>
      <c r="AK1483" s="6"/>
      <c r="AL1483" s="6"/>
      <c r="AM1483" s="6"/>
      <c r="AN1483" s="6"/>
      <c r="AO1483" s="6"/>
      <c r="AP1483" s="6"/>
      <c r="AQ1483" s="6"/>
      <c r="AR1483" s="6"/>
      <c r="AS1483" s="6"/>
      <c r="AT1483" s="6"/>
      <c r="AU1483" s="6"/>
      <c r="AV1483" s="6"/>
      <c r="AW1483" s="6"/>
      <c r="AX1483" s="6"/>
      <c r="AY1483" s="6"/>
      <c r="AZ1483" s="6"/>
      <c r="BA1483" s="6"/>
      <c r="BB1483" s="6"/>
      <c r="BC1483" s="6"/>
      <c r="BD1483" s="6"/>
      <c r="BE1483" s="6"/>
      <c r="BF1483" s="6"/>
      <c r="BG1483" s="6"/>
      <c r="BH1483" s="6"/>
      <c r="BI1483" s="6"/>
      <c r="BJ1483" s="6"/>
      <c r="BK1483" s="6"/>
      <c r="BL1483" s="6"/>
      <c r="BM1483" s="6"/>
      <c r="BN1483" s="6"/>
      <c r="BO1483" s="6"/>
      <c r="BP1483" s="6"/>
      <c r="BQ1483" s="6"/>
      <c r="BR1483" s="6"/>
      <c r="BS1483" s="6"/>
      <c r="BT1483" s="6"/>
      <c r="BU1483" s="6"/>
      <c r="BV1483" s="6"/>
      <c r="BW1483" s="6"/>
      <c r="BX1483" s="6"/>
      <c r="BY1483" s="6"/>
      <c r="BZ1483" s="6"/>
      <c r="CA1483" s="6"/>
      <c r="CB1483" s="6"/>
      <c r="CC1483" s="6"/>
    </row>
    <row r="1484" spans="2:81" x14ac:dyDescent="0.2">
      <c r="B1484" s="68"/>
      <c r="C1484" s="69"/>
      <c r="D1484" s="70"/>
      <c r="F1484" s="68"/>
      <c r="G1484" s="69"/>
      <c r="H1484" s="70"/>
      <c r="J1484" s="71"/>
      <c r="K1484" s="71"/>
      <c r="L1484" s="67"/>
      <c r="N1484" s="71"/>
      <c r="O1484" s="71"/>
      <c r="P1484" s="67"/>
      <c r="R1484" s="67"/>
      <c r="S1484" s="6"/>
      <c r="T1484" s="6"/>
      <c r="U1484" s="6"/>
      <c r="V1484" s="6"/>
      <c r="W1484" s="6"/>
      <c r="X1484" s="6"/>
      <c r="Y1484" s="6"/>
      <c r="Z1484" s="6"/>
      <c r="AA1484" s="6"/>
      <c r="AB1484" s="6"/>
      <c r="AC1484" s="6"/>
      <c r="AD1484" s="6"/>
      <c r="AE1484" s="6"/>
      <c r="AF1484" s="6"/>
      <c r="AG1484" s="6"/>
      <c r="AH1484" s="6"/>
      <c r="AI1484" s="6"/>
      <c r="AJ1484" s="6"/>
      <c r="AK1484" s="6"/>
      <c r="AL1484" s="6"/>
      <c r="AM1484" s="6"/>
      <c r="AN1484" s="6"/>
      <c r="AO1484" s="6"/>
      <c r="AP1484" s="6"/>
      <c r="AQ1484" s="6"/>
      <c r="AR1484" s="6"/>
      <c r="AS1484" s="6"/>
      <c r="AT1484" s="6"/>
      <c r="AU1484" s="6"/>
      <c r="AV1484" s="6"/>
      <c r="AW1484" s="6"/>
      <c r="AX1484" s="6"/>
      <c r="AY1484" s="6"/>
      <c r="AZ1484" s="6"/>
      <c r="BA1484" s="6"/>
      <c r="BB1484" s="6"/>
      <c r="BC1484" s="6"/>
      <c r="BD1484" s="6"/>
      <c r="BE1484" s="6"/>
      <c r="BF1484" s="6"/>
      <c r="BG1484" s="6"/>
      <c r="BH1484" s="6"/>
      <c r="BI1484" s="6"/>
      <c r="BJ1484" s="6"/>
      <c r="BK1484" s="6"/>
      <c r="BL1484" s="6"/>
      <c r="BM1484" s="6"/>
      <c r="BN1484" s="6"/>
      <c r="BO1484" s="6"/>
      <c r="BP1484" s="6"/>
      <c r="BQ1484" s="6"/>
      <c r="BR1484" s="6"/>
      <c r="BS1484" s="6"/>
      <c r="BT1484" s="6"/>
      <c r="BU1484" s="6"/>
      <c r="BV1484" s="6"/>
      <c r="BW1484" s="6"/>
      <c r="BX1484" s="6"/>
      <c r="BY1484" s="6"/>
      <c r="BZ1484" s="6"/>
      <c r="CA1484" s="6"/>
      <c r="CB1484" s="6"/>
      <c r="CC1484" s="6"/>
    </row>
    <row r="1485" spans="2:81" x14ac:dyDescent="0.2">
      <c r="B1485" s="68"/>
      <c r="C1485" s="69"/>
      <c r="D1485" s="70"/>
      <c r="F1485" s="68"/>
      <c r="G1485" s="69"/>
      <c r="H1485" s="70"/>
      <c r="J1485" s="71"/>
      <c r="K1485" s="71"/>
      <c r="L1485" s="67"/>
      <c r="N1485" s="71"/>
      <c r="O1485" s="71"/>
      <c r="P1485" s="67"/>
      <c r="R1485" s="67"/>
      <c r="S1485" s="6"/>
      <c r="T1485" s="6"/>
      <c r="U1485" s="6"/>
      <c r="V1485" s="6"/>
      <c r="W1485" s="6"/>
      <c r="X1485" s="6"/>
      <c r="Y1485" s="6"/>
      <c r="Z1485" s="6"/>
      <c r="AA1485" s="6"/>
      <c r="AB1485" s="6"/>
      <c r="AC1485" s="6"/>
      <c r="AD1485" s="6"/>
      <c r="AE1485" s="6"/>
      <c r="AF1485" s="6"/>
      <c r="AG1485" s="6"/>
      <c r="AH1485" s="6"/>
      <c r="AI1485" s="6"/>
      <c r="AJ1485" s="6"/>
      <c r="AK1485" s="6"/>
      <c r="AL1485" s="6"/>
      <c r="AM1485" s="6"/>
      <c r="AN1485" s="6"/>
      <c r="AO1485" s="6"/>
      <c r="AP1485" s="6"/>
      <c r="AQ1485" s="6"/>
      <c r="AR1485" s="6"/>
      <c r="AS1485" s="6"/>
      <c r="AT1485" s="6"/>
      <c r="AU1485" s="6"/>
      <c r="AV1485" s="6"/>
      <c r="AW1485" s="6"/>
      <c r="AX1485" s="6"/>
      <c r="AY1485" s="6"/>
      <c r="AZ1485" s="6"/>
      <c r="BA1485" s="6"/>
      <c r="BB1485" s="6"/>
      <c r="BC1485" s="6"/>
      <c r="BD1485" s="6"/>
      <c r="BE1485" s="6"/>
      <c r="BF1485" s="6"/>
      <c r="BG1485" s="6"/>
      <c r="BH1485" s="6"/>
      <c r="BI1485" s="6"/>
      <c r="BJ1485" s="6"/>
      <c r="BK1485" s="6"/>
      <c r="BL1485" s="6"/>
      <c r="BM1485" s="6"/>
      <c r="BN1485" s="6"/>
      <c r="BO1485" s="6"/>
      <c r="BP1485" s="6"/>
      <c r="BQ1485" s="6"/>
      <c r="BR1485" s="6"/>
      <c r="BS1485" s="6"/>
      <c r="BT1485" s="6"/>
      <c r="BU1485" s="6"/>
      <c r="BV1485" s="6"/>
      <c r="BW1485" s="6"/>
      <c r="BX1485" s="6"/>
      <c r="BY1485" s="6"/>
      <c r="BZ1485" s="6"/>
      <c r="CA1485" s="6"/>
      <c r="CB1485" s="6"/>
      <c r="CC1485" s="6"/>
    </row>
    <row r="1486" spans="2:81" x14ac:dyDescent="0.2">
      <c r="B1486" s="68"/>
      <c r="C1486" s="69"/>
      <c r="D1486" s="70"/>
      <c r="F1486" s="68"/>
      <c r="G1486" s="69"/>
      <c r="H1486" s="70"/>
      <c r="J1486" s="71"/>
      <c r="K1486" s="71"/>
      <c r="L1486" s="67"/>
      <c r="N1486" s="71"/>
      <c r="O1486" s="71"/>
      <c r="P1486" s="67"/>
      <c r="R1486" s="67"/>
      <c r="S1486" s="6"/>
      <c r="T1486" s="6"/>
      <c r="U1486" s="6"/>
      <c r="V1486" s="6"/>
      <c r="W1486" s="6"/>
      <c r="X1486" s="6"/>
      <c r="Y1486" s="6"/>
      <c r="Z1486" s="6"/>
      <c r="AA1486" s="6"/>
      <c r="AB1486" s="6"/>
      <c r="AC1486" s="6"/>
      <c r="AD1486" s="6"/>
      <c r="AE1486" s="6"/>
      <c r="AF1486" s="6"/>
      <c r="AG1486" s="6"/>
      <c r="AH1486" s="6"/>
      <c r="AI1486" s="6"/>
      <c r="AJ1486" s="6"/>
      <c r="AK1486" s="6"/>
      <c r="AL1486" s="6"/>
      <c r="AM1486" s="6"/>
      <c r="AN1486" s="6"/>
      <c r="AO1486" s="6"/>
      <c r="AP1486" s="6"/>
      <c r="AQ1486" s="6"/>
      <c r="AR1486" s="6"/>
      <c r="AS1486" s="6"/>
      <c r="AT1486" s="6"/>
      <c r="AU1486" s="6"/>
      <c r="AV1486" s="6"/>
      <c r="AW1486" s="6"/>
      <c r="AX1486" s="6"/>
      <c r="AY1486" s="6"/>
      <c r="AZ1486" s="6"/>
      <c r="BA1486" s="6"/>
      <c r="BB1486" s="6"/>
      <c r="BC1486" s="6"/>
      <c r="BD1486" s="6"/>
      <c r="BE1486" s="6"/>
      <c r="BF1486" s="6"/>
      <c r="BG1486" s="6"/>
      <c r="BH1486" s="6"/>
      <c r="BI1486" s="6"/>
      <c r="BJ1486" s="6"/>
      <c r="BK1486" s="6"/>
      <c r="BL1486" s="6"/>
      <c r="BM1486" s="6"/>
      <c r="BN1486" s="6"/>
      <c r="BO1486" s="6"/>
      <c r="BP1486" s="6"/>
      <c r="BQ1486" s="6"/>
      <c r="BR1486" s="6"/>
      <c r="BS1486" s="6"/>
      <c r="BT1486" s="6"/>
      <c r="BU1486" s="6"/>
      <c r="BV1486" s="6"/>
      <c r="BW1486" s="6"/>
      <c r="BX1486" s="6"/>
      <c r="BY1486" s="6"/>
      <c r="BZ1486" s="6"/>
      <c r="CA1486" s="6"/>
      <c r="CB1486" s="6"/>
      <c r="CC1486" s="6"/>
    </row>
    <row r="1487" spans="2:81" x14ac:dyDescent="0.2">
      <c r="B1487" s="68"/>
      <c r="C1487" s="69"/>
      <c r="D1487" s="70"/>
      <c r="F1487" s="68"/>
      <c r="G1487" s="69"/>
      <c r="H1487" s="70"/>
      <c r="J1487" s="71"/>
      <c r="K1487" s="71"/>
      <c r="L1487" s="67"/>
      <c r="N1487" s="71"/>
      <c r="O1487" s="71"/>
      <c r="P1487" s="67"/>
      <c r="R1487" s="67"/>
      <c r="S1487" s="6"/>
      <c r="T1487" s="6"/>
      <c r="U1487" s="6"/>
      <c r="V1487" s="6"/>
      <c r="W1487" s="6"/>
      <c r="X1487" s="6"/>
      <c r="Y1487" s="6"/>
      <c r="Z1487" s="6"/>
      <c r="AA1487" s="6"/>
      <c r="AB1487" s="6"/>
      <c r="AC1487" s="6"/>
      <c r="AD1487" s="6"/>
      <c r="AE1487" s="6"/>
      <c r="AF1487" s="6"/>
      <c r="AG1487" s="6"/>
      <c r="AH1487" s="6"/>
      <c r="AI1487" s="6"/>
      <c r="AJ1487" s="6"/>
      <c r="AK1487" s="6"/>
      <c r="AL1487" s="6"/>
      <c r="AM1487" s="6"/>
      <c r="AN1487" s="6"/>
      <c r="AO1487" s="6"/>
      <c r="AP1487" s="6"/>
      <c r="AQ1487" s="6"/>
      <c r="AR1487" s="6"/>
      <c r="AS1487" s="6"/>
      <c r="AT1487" s="6"/>
      <c r="AU1487" s="6"/>
      <c r="AV1487" s="6"/>
      <c r="AW1487" s="6"/>
      <c r="AX1487" s="6"/>
      <c r="AY1487" s="6"/>
      <c r="AZ1487" s="6"/>
      <c r="BA1487" s="6"/>
      <c r="BB1487" s="6"/>
      <c r="BC1487" s="6"/>
      <c r="BD1487" s="6"/>
      <c r="BE1487" s="6"/>
      <c r="BF1487" s="6"/>
      <c r="BG1487" s="6"/>
      <c r="BH1487" s="6"/>
      <c r="BI1487" s="6"/>
      <c r="BJ1487" s="6"/>
      <c r="BK1487" s="6"/>
      <c r="BL1487" s="6"/>
      <c r="BM1487" s="6"/>
      <c r="BN1487" s="6"/>
      <c r="BO1487" s="6"/>
      <c r="BP1487" s="6"/>
      <c r="BQ1487" s="6"/>
      <c r="BR1487" s="6"/>
      <c r="BS1487" s="6"/>
      <c r="BT1487" s="6"/>
      <c r="BU1487" s="6"/>
      <c r="BV1487" s="6"/>
      <c r="BW1487" s="6"/>
      <c r="BX1487" s="6"/>
      <c r="BY1487" s="6"/>
      <c r="BZ1487" s="6"/>
      <c r="CA1487" s="6"/>
      <c r="CB1487" s="6"/>
      <c r="CC1487" s="6"/>
    </row>
    <row r="1488" spans="2:81" x14ac:dyDescent="0.2">
      <c r="B1488" s="68"/>
      <c r="C1488" s="69"/>
      <c r="D1488" s="70"/>
      <c r="F1488" s="68"/>
      <c r="G1488" s="69"/>
      <c r="H1488" s="70"/>
      <c r="J1488" s="71"/>
      <c r="K1488" s="71"/>
      <c r="L1488" s="67"/>
      <c r="N1488" s="71"/>
      <c r="O1488" s="71"/>
      <c r="P1488" s="67"/>
      <c r="R1488" s="67"/>
      <c r="S1488" s="6"/>
      <c r="T1488" s="6"/>
      <c r="U1488" s="6"/>
      <c r="V1488" s="6"/>
      <c r="W1488" s="6"/>
      <c r="X1488" s="6"/>
      <c r="Y1488" s="6"/>
      <c r="Z1488" s="6"/>
      <c r="AA1488" s="6"/>
      <c r="AB1488" s="6"/>
      <c r="AC1488" s="6"/>
      <c r="AD1488" s="6"/>
      <c r="AE1488" s="6"/>
      <c r="AF1488" s="6"/>
      <c r="AG1488" s="6"/>
      <c r="AH1488" s="6"/>
      <c r="AI1488" s="6"/>
      <c r="AJ1488" s="6"/>
      <c r="AK1488" s="6"/>
      <c r="AL1488" s="6"/>
      <c r="AM1488" s="6"/>
      <c r="AN1488" s="6"/>
      <c r="AO1488" s="6"/>
      <c r="AP1488" s="6"/>
      <c r="AQ1488" s="6"/>
      <c r="AR1488" s="6"/>
      <c r="AS1488" s="6"/>
      <c r="AT1488" s="6"/>
      <c r="AU1488" s="6"/>
      <c r="AV1488" s="6"/>
      <c r="AW1488" s="6"/>
      <c r="AX1488" s="6"/>
      <c r="AY1488" s="6"/>
      <c r="AZ1488" s="6"/>
      <c r="BA1488" s="6"/>
      <c r="BB1488" s="6"/>
      <c r="BC1488" s="6"/>
      <c r="BD1488" s="6"/>
      <c r="BE1488" s="6"/>
      <c r="BF1488" s="6"/>
      <c r="BG1488" s="6"/>
      <c r="BH1488" s="6"/>
      <c r="BI1488" s="6"/>
      <c r="BJ1488" s="6"/>
      <c r="BK1488" s="6"/>
      <c r="BL1488" s="6"/>
      <c r="BM1488" s="6"/>
      <c r="BN1488" s="6"/>
      <c r="BO1488" s="6"/>
      <c r="BP1488" s="6"/>
      <c r="BQ1488" s="6"/>
      <c r="BR1488" s="6"/>
      <c r="BS1488" s="6"/>
      <c r="BT1488" s="6"/>
      <c r="BU1488" s="6"/>
      <c r="BV1488" s="6"/>
      <c r="BW1488" s="6"/>
      <c r="BX1488" s="6"/>
      <c r="BY1488" s="6"/>
      <c r="BZ1488" s="6"/>
      <c r="CA1488" s="6"/>
      <c r="CB1488" s="6"/>
      <c r="CC1488" s="6"/>
    </row>
    <row r="1489" spans="2:81" x14ac:dyDescent="0.2">
      <c r="B1489" s="68"/>
      <c r="C1489" s="69"/>
      <c r="D1489" s="70"/>
      <c r="F1489" s="68"/>
      <c r="G1489" s="69"/>
      <c r="H1489" s="70"/>
      <c r="J1489" s="71"/>
      <c r="K1489" s="71"/>
      <c r="L1489" s="67"/>
      <c r="N1489" s="71"/>
      <c r="O1489" s="71"/>
      <c r="P1489" s="67"/>
      <c r="R1489" s="67"/>
      <c r="S1489" s="6"/>
      <c r="T1489" s="6"/>
      <c r="U1489" s="6"/>
      <c r="V1489" s="6"/>
      <c r="W1489" s="6"/>
      <c r="X1489" s="6"/>
      <c r="Y1489" s="6"/>
      <c r="Z1489" s="6"/>
      <c r="AA1489" s="6"/>
      <c r="AB1489" s="6"/>
      <c r="AC1489" s="6"/>
      <c r="AD1489" s="6"/>
      <c r="AE1489" s="6"/>
      <c r="AF1489" s="6"/>
      <c r="AG1489" s="6"/>
      <c r="AH1489" s="6"/>
      <c r="AI1489" s="6"/>
      <c r="AJ1489" s="6"/>
      <c r="AK1489" s="6"/>
      <c r="AL1489" s="6"/>
      <c r="AM1489" s="6"/>
      <c r="AN1489" s="6"/>
      <c r="AO1489" s="6"/>
      <c r="AP1489" s="6"/>
      <c r="AQ1489" s="6"/>
      <c r="AR1489" s="6"/>
      <c r="AS1489" s="6"/>
      <c r="AT1489" s="6"/>
      <c r="AU1489" s="6"/>
      <c r="AV1489" s="6"/>
      <c r="AW1489" s="6"/>
      <c r="AX1489" s="6"/>
      <c r="AY1489" s="6"/>
      <c r="AZ1489" s="6"/>
      <c r="BA1489" s="6"/>
      <c r="BB1489" s="6"/>
      <c r="BC1489" s="6"/>
      <c r="BD1489" s="6"/>
      <c r="BE1489" s="6"/>
      <c r="BF1489" s="6"/>
      <c r="BG1489" s="6"/>
      <c r="BH1489" s="6"/>
      <c r="BI1489" s="6"/>
      <c r="BJ1489" s="6"/>
      <c r="BK1489" s="6"/>
      <c r="BL1489" s="6"/>
      <c r="BM1489" s="6"/>
      <c r="BN1489" s="6"/>
      <c r="BO1489" s="6"/>
      <c r="BP1489" s="6"/>
      <c r="BQ1489" s="6"/>
      <c r="BR1489" s="6"/>
      <c r="BS1489" s="6"/>
      <c r="BT1489" s="6"/>
      <c r="BU1489" s="6"/>
      <c r="BV1489" s="6"/>
      <c r="BW1489" s="6"/>
      <c r="BX1489" s="6"/>
      <c r="BY1489" s="6"/>
      <c r="BZ1489" s="6"/>
      <c r="CA1489" s="6"/>
      <c r="CB1489" s="6"/>
      <c r="CC1489" s="6"/>
    </row>
    <row r="1490" spans="2:81" x14ac:dyDescent="0.2">
      <c r="B1490" s="68"/>
      <c r="C1490" s="69"/>
      <c r="D1490" s="70"/>
      <c r="F1490" s="68"/>
      <c r="G1490" s="69"/>
      <c r="H1490" s="70"/>
      <c r="J1490" s="71"/>
      <c r="K1490" s="71"/>
      <c r="L1490" s="67"/>
      <c r="N1490" s="71"/>
      <c r="O1490" s="71"/>
      <c r="P1490" s="67"/>
      <c r="R1490" s="67"/>
      <c r="S1490" s="6"/>
      <c r="T1490" s="6"/>
      <c r="U1490" s="6"/>
      <c r="V1490" s="6"/>
      <c r="W1490" s="6"/>
      <c r="X1490" s="6"/>
      <c r="Y1490" s="6"/>
      <c r="Z1490" s="6"/>
      <c r="AA1490" s="6"/>
      <c r="AB1490" s="6"/>
      <c r="AC1490" s="6"/>
      <c r="AD1490" s="6"/>
      <c r="AE1490" s="6"/>
      <c r="AF1490" s="6"/>
      <c r="AG1490" s="6"/>
      <c r="AH1490" s="6"/>
      <c r="AI1490" s="6"/>
      <c r="AJ1490" s="6"/>
      <c r="AK1490" s="6"/>
      <c r="AL1490" s="6"/>
      <c r="AM1490" s="6"/>
      <c r="AN1490" s="6"/>
      <c r="AO1490" s="6"/>
      <c r="AP1490" s="6"/>
      <c r="AQ1490" s="6"/>
      <c r="AR1490" s="6"/>
      <c r="AS1490" s="6"/>
      <c r="AT1490" s="6"/>
      <c r="AU1490" s="6"/>
      <c r="AV1490" s="6"/>
      <c r="AW1490" s="6"/>
      <c r="AX1490" s="6"/>
      <c r="AY1490" s="6"/>
      <c r="AZ1490" s="6"/>
      <c r="BA1490" s="6"/>
      <c r="BB1490" s="6"/>
      <c r="BC1490" s="6"/>
      <c r="BD1490" s="6"/>
      <c r="BE1490" s="6"/>
      <c r="BF1490" s="6"/>
      <c r="BG1490" s="6"/>
      <c r="BH1490" s="6"/>
      <c r="BI1490" s="6"/>
      <c r="BJ1490" s="6"/>
      <c r="BK1490" s="6"/>
      <c r="BL1490" s="6"/>
      <c r="BM1490" s="6"/>
      <c r="BN1490" s="6"/>
      <c r="BO1490" s="6"/>
      <c r="BP1490" s="6"/>
      <c r="BQ1490" s="6"/>
      <c r="BR1490" s="6"/>
      <c r="BS1490" s="6"/>
      <c r="BT1490" s="6"/>
      <c r="BU1490" s="6"/>
      <c r="BV1490" s="6"/>
      <c r="BW1490" s="6"/>
      <c r="BX1490" s="6"/>
      <c r="BY1490" s="6"/>
      <c r="BZ1490" s="6"/>
      <c r="CA1490" s="6"/>
      <c r="CB1490" s="6"/>
      <c r="CC1490" s="6"/>
    </row>
    <row r="1491" spans="2:81" x14ac:dyDescent="0.2">
      <c r="B1491" s="68"/>
      <c r="C1491" s="69"/>
      <c r="D1491" s="70"/>
      <c r="F1491" s="68"/>
      <c r="G1491" s="69"/>
      <c r="H1491" s="70"/>
      <c r="J1491" s="71"/>
      <c r="K1491" s="71"/>
      <c r="L1491" s="67"/>
      <c r="N1491" s="71"/>
      <c r="O1491" s="71"/>
      <c r="P1491" s="67"/>
      <c r="R1491" s="67"/>
      <c r="S1491" s="6"/>
      <c r="T1491" s="6"/>
      <c r="U1491" s="6"/>
      <c r="V1491" s="6"/>
      <c r="W1491" s="6"/>
      <c r="X1491" s="6"/>
      <c r="Y1491" s="6"/>
      <c r="Z1491" s="6"/>
      <c r="AA1491" s="6"/>
      <c r="AB1491" s="6"/>
      <c r="AC1491" s="6"/>
      <c r="AD1491" s="6"/>
      <c r="AE1491" s="6"/>
      <c r="AF1491" s="6"/>
      <c r="AG1491" s="6"/>
      <c r="AH1491" s="6"/>
      <c r="AI1491" s="6"/>
      <c r="AJ1491" s="6"/>
      <c r="AK1491" s="6"/>
      <c r="AL1491" s="6"/>
      <c r="AM1491" s="6"/>
      <c r="AN1491" s="6"/>
      <c r="AO1491" s="6"/>
      <c r="AP1491" s="6"/>
      <c r="AQ1491" s="6"/>
      <c r="AR1491" s="6"/>
      <c r="AS1491" s="6"/>
      <c r="AT1491" s="6"/>
      <c r="AU1491" s="6"/>
      <c r="AV1491" s="6"/>
      <c r="AW1491" s="6"/>
      <c r="AX1491" s="6"/>
      <c r="AY1491" s="6"/>
      <c r="AZ1491" s="6"/>
      <c r="BA1491" s="6"/>
      <c r="BB1491" s="6"/>
      <c r="BC1491" s="6"/>
      <c r="BD1491" s="6"/>
      <c r="BE1491" s="6"/>
      <c r="BF1491" s="6"/>
      <c r="BG1491" s="6"/>
      <c r="BH1491" s="6"/>
      <c r="BI1491" s="6"/>
      <c r="BJ1491" s="6"/>
      <c r="BK1491" s="6"/>
      <c r="BL1491" s="6"/>
      <c r="BM1491" s="6"/>
      <c r="BN1491" s="6"/>
      <c r="BO1491" s="6"/>
      <c r="BP1491" s="6"/>
      <c r="BQ1491" s="6"/>
      <c r="BR1491" s="6"/>
      <c r="BS1491" s="6"/>
      <c r="BT1491" s="6"/>
      <c r="BU1491" s="6"/>
      <c r="BV1491" s="6"/>
      <c r="BW1491" s="6"/>
      <c r="BX1491" s="6"/>
      <c r="BY1491" s="6"/>
      <c r="BZ1491" s="6"/>
      <c r="CA1491" s="6"/>
      <c r="CB1491" s="6"/>
      <c r="CC1491" s="6"/>
    </row>
    <row r="1492" spans="2:81" x14ac:dyDescent="0.2">
      <c r="B1492" s="68"/>
      <c r="C1492" s="69"/>
      <c r="D1492" s="70"/>
      <c r="F1492" s="68"/>
      <c r="G1492" s="69"/>
      <c r="H1492" s="70"/>
      <c r="J1492" s="71"/>
      <c r="K1492" s="71"/>
      <c r="L1492" s="67"/>
      <c r="N1492" s="71"/>
      <c r="O1492" s="71"/>
      <c r="P1492" s="67"/>
      <c r="R1492" s="67"/>
      <c r="S1492" s="6"/>
      <c r="T1492" s="6"/>
      <c r="U1492" s="6"/>
      <c r="V1492" s="6"/>
      <c r="W1492" s="6"/>
      <c r="X1492" s="6"/>
      <c r="Y1492" s="6"/>
      <c r="Z1492" s="6"/>
      <c r="AA1492" s="6"/>
      <c r="AB1492" s="6"/>
      <c r="AC1492" s="6"/>
      <c r="AD1492" s="6"/>
      <c r="AE1492" s="6"/>
      <c r="AF1492" s="6"/>
      <c r="AG1492" s="6"/>
      <c r="AH1492" s="6"/>
      <c r="AI1492" s="6"/>
      <c r="AJ1492" s="6"/>
      <c r="AK1492" s="6"/>
      <c r="AL1492" s="6"/>
      <c r="AM1492" s="6"/>
      <c r="AN1492" s="6"/>
      <c r="AO1492" s="6"/>
      <c r="AP1492" s="6"/>
      <c r="AQ1492" s="6"/>
      <c r="AR1492" s="6"/>
      <c r="AS1492" s="6"/>
      <c r="AT1492" s="6"/>
      <c r="AU1492" s="6"/>
      <c r="AV1492" s="6"/>
      <c r="AW1492" s="6"/>
      <c r="AX1492" s="6"/>
      <c r="AY1492" s="6"/>
      <c r="AZ1492" s="6"/>
      <c r="BA1492" s="6"/>
      <c r="BB1492" s="6"/>
      <c r="BC1492" s="6"/>
      <c r="BD1492" s="6"/>
      <c r="BE1492" s="6"/>
      <c r="BF1492" s="6"/>
      <c r="BG1492" s="6"/>
      <c r="BH1492" s="6"/>
      <c r="BI1492" s="6"/>
      <c r="BJ1492" s="6"/>
      <c r="BK1492" s="6"/>
      <c r="BL1492" s="6"/>
      <c r="BM1492" s="6"/>
      <c r="BN1492" s="6"/>
      <c r="BO1492" s="6"/>
      <c r="BP1492" s="6"/>
      <c r="BQ1492" s="6"/>
      <c r="BR1492" s="6"/>
      <c r="BS1492" s="6"/>
      <c r="BT1492" s="6"/>
      <c r="BU1492" s="6"/>
      <c r="BV1492" s="6"/>
      <c r="BW1492" s="6"/>
      <c r="BX1492" s="6"/>
      <c r="BY1492" s="6"/>
      <c r="BZ1492" s="6"/>
      <c r="CA1492" s="6"/>
      <c r="CB1492" s="6"/>
      <c r="CC1492" s="6"/>
    </row>
    <row r="1493" spans="2:81" x14ac:dyDescent="0.2">
      <c r="B1493" s="68"/>
      <c r="C1493" s="69"/>
      <c r="D1493" s="70"/>
      <c r="F1493" s="68"/>
      <c r="G1493" s="69"/>
      <c r="H1493" s="70"/>
      <c r="J1493" s="71"/>
      <c r="K1493" s="71"/>
      <c r="L1493" s="67"/>
      <c r="N1493" s="71"/>
      <c r="O1493" s="71"/>
      <c r="P1493" s="67"/>
      <c r="R1493" s="67"/>
      <c r="S1493" s="6"/>
      <c r="T1493" s="6"/>
      <c r="U1493" s="6"/>
      <c r="V1493" s="6"/>
      <c r="W1493" s="6"/>
      <c r="X1493" s="6"/>
      <c r="Y1493" s="6"/>
      <c r="Z1493" s="6"/>
      <c r="AA1493" s="6"/>
      <c r="AB1493" s="6"/>
      <c r="AC1493" s="6"/>
      <c r="AD1493" s="6"/>
      <c r="AE1493" s="6"/>
      <c r="AF1493" s="6"/>
      <c r="AG1493" s="6"/>
      <c r="AH1493" s="6"/>
      <c r="AI1493" s="6"/>
      <c r="AJ1493" s="6"/>
      <c r="AK1493" s="6"/>
      <c r="AL1493" s="6"/>
      <c r="AM1493" s="6"/>
      <c r="AN1493" s="6"/>
      <c r="AO1493" s="6"/>
      <c r="AP1493" s="6"/>
      <c r="AQ1493" s="6"/>
      <c r="AR1493" s="6"/>
      <c r="AS1493" s="6"/>
      <c r="AT1493" s="6"/>
      <c r="AU1493" s="6"/>
      <c r="AV1493" s="6"/>
      <c r="AW1493" s="6"/>
      <c r="AX1493" s="6"/>
      <c r="AY1493" s="6"/>
      <c r="AZ1493" s="6"/>
      <c r="BA1493" s="6"/>
      <c r="BB1493" s="6"/>
      <c r="BC1493" s="6"/>
      <c r="BD1493" s="6"/>
      <c r="BE1493" s="6"/>
      <c r="BF1493" s="6"/>
      <c r="BG1493" s="6"/>
      <c r="BH1493" s="6"/>
      <c r="BI1493" s="6"/>
      <c r="BJ1493" s="6"/>
      <c r="BK1493" s="6"/>
      <c r="BL1493" s="6"/>
      <c r="BM1493" s="6"/>
      <c r="BN1493" s="6"/>
      <c r="BO1493" s="6"/>
      <c r="BP1493" s="6"/>
      <c r="BQ1493" s="6"/>
      <c r="BR1493" s="6"/>
      <c r="BS1493" s="6"/>
      <c r="BT1493" s="6"/>
      <c r="BU1493" s="6"/>
      <c r="BV1493" s="6"/>
      <c r="BW1493" s="6"/>
      <c r="BX1493" s="6"/>
      <c r="BY1493" s="6"/>
      <c r="BZ1493" s="6"/>
      <c r="CA1493" s="6"/>
      <c r="CB1493" s="6"/>
      <c r="CC1493" s="6"/>
    </row>
    <row r="1494" spans="2:81" x14ac:dyDescent="0.2">
      <c r="B1494" s="68"/>
      <c r="C1494" s="69"/>
      <c r="D1494" s="70"/>
      <c r="F1494" s="68"/>
      <c r="G1494" s="69"/>
      <c r="H1494" s="70"/>
      <c r="J1494" s="71"/>
      <c r="K1494" s="71"/>
      <c r="L1494" s="67"/>
      <c r="N1494" s="71"/>
      <c r="O1494" s="71"/>
      <c r="P1494" s="67"/>
      <c r="R1494" s="67"/>
      <c r="S1494" s="6"/>
      <c r="T1494" s="6"/>
      <c r="U1494" s="6"/>
      <c r="V1494" s="6"/>
      <c r="W1494" s="6"/>
      <c r="X1494" s="6"/>
      <c r="Y1494" s="6"/>
      <c r="Z1494" s="6"/>
      <c r="AA1494" s="6"/>
      <c r="AB1494" s="6"/>
      <c r="AC1494" s="6"/>
      <c r="AD1494" s="6"/>
      <c r="AE1494" s="6"/>
      <c r="AF1494" s="6"/>
      <c r="AG1494" s="6"/>
      <c r="AH1494" s="6"/>
      <c r="AI1494" s="6"/>
      <c r="AJ1494" s="6"/>
      <c r="AK1494" s="6"/>
      <c r="AL1494" s="6"/>
      <c r="AM1494" s="6"/>
      <c r="AN1494" s="6"/>
      <c r="AO1494" s="6"/>
      <c r="AP1494" s="6"/>
      <c r="AQ1494" s="6"/>
      <c r="AR1494" s="6"/>
      <c r="AS1494" s="6"/>
      <c r="AT1494" s="6"/>
      <c r="AU1494" s="6"/>
      <c r="AV1494" s="6"/>
      <c r="AW1494" s="6"/>
      <c r="AX1494" s="6"/>
      <c r="AY1494" s="6"/>
      <c r="AZ1494" s="6"/>
      <c r="BA1494" s="6"/>
      <c r="BB1494" s="6"/>
      <c r="BC1494" s="6"/>
      <c r="BD1494" s="6"/>
      <c r="BE1494" s="6"/>
      <c r="BF1494" s="6"/>
      <c r="BG1494" s="6"/>
      <c r="BH1494" s="6"/>
      <c r="BI1494" s="6"/>
      <c r="BJ1494" s="6"/>
      <c r="BK1494" s="6"/>
      <c r="BL1494" s="6"/>
      <c r="BM1494" s="6"/>
      <c r="BN1494" s="6"/>
      <c r="BO1494" s="6"/>
      <c r="BP1494" s="6"/>
      <c r="BQ1494" s="6"/>
      <c r="BR1494" s="6"/>
      <c r="BS1494" s="6"/>
      <c r="BT1494" s="6"/>
      <c r="BU1494" s="6"/>
      <c r="BV1494" s="6"/>
      <c r="BW1494" s="6"/>
      <c r="BX1494" s="6"/>
      <c r="BY1494" s="6"/>
      <c r="BZ1494" s="6"/>
      <c r="CA1494" s="6"/>
      <c r="CB1494" s="6"/>
      <c r="CC1494" s="6"/>
    </row>
    <row r="1495" spans="2:81" x14ac:dyDescent="0.2">
      <c r="B1495" s="68"/>
      <c r="C1495" s="69"/>
      <c r="D1495" s="70"/>
      <c r="F1495" s="68"/>
      <c r="G1495" s="69"/>
      <c r="H1495" s="70"/>
      <c r="J1495" s="71"/>
      <c r="K1495" s="71"/>
      <c r="L1495" s="67"/>
      <c r="N1495" s="71"/>
      <c r="O1495" s="71"/>
      <c r="P1495" s="67"/>
      <c r="R1495" s="67"/>
      <c r="S1495" s="6"/>
      <c r="T1495" s="6"/>
      <c r="U1495" s="6"/>
      <c r="V1495" s="6"/>
      <c r="W1495" s="6"/>
      <c r="X1495" s="6"/>
      <c r="Y1495" s="6"/>
      <c r="Z1495" s="6"/>
      <c r="AA1495" s="6"/>
      <c r="AB1495" s="6"/>
      <c r="AC1495" s="6"/>
      <c r="AD1495" s="6"/>
      <c r="AE1495" s="6"/>
      <c r="AF1495" s="6"/>
      <c r="AG1495" s="6"/>
      <c r="AH1495" s="6"/>
      <c r="AI1495" s="6"/>
      <c r="AJ1495" s="6"/>
      <c r="AK1495" s="6"/>
      <c r="AL1495" s="6"/>
      <c r="AM1495" s="6"/>
      <c r="AN1495" s="6"/>
      <c r="AO1495" s="6"/>
      <c r="AP1495" s="6"/>
      <c r="AQ1495" s="6"/>
      <c r="AR1495" s="6"/>
      <c r="AS1495" s="6"/>
      <c r="AT1495" s="6"/>
      <c r="AU1495" s="6"/>
      <c r="AV1495" s="6"/>
      <c r="AW1495" s="6"/>
      <c r="AX1495" s="6"/>
      <c r="AY1495" s="6"/>
      <c r="AZ1495" s="6"/>
      <c r="BA1495" s="6"/>
      <c r="BB1495" s="6"/>
      <c r="BC1495" s="6"/>
      <c r="BD1495" s="6"/>
      <c r="BE1495" s="6"/>
      <c r="BF1495" s="6"/>
      <c r="BG1495" s="6"/>
      <c r="BH1495" s="6"/>
      <c r="BI1495" s="6"/>
      <c r="BJ1495" s="6"/>
      <c r="BK1495" s="6"/>
      <c r="BL1495" s="6"/>
      <c r="BM1495" s="6"/>
      <c r="BN1495" s="6"/>
      <c r="BO1495" s="6"/>
      <c r="BP1495" s="6"/>
      <c r="BQ1495" s="6"/>
      <c r="BR1495" s="6"/>
      <c r="BS1495" s="6"/>
      <c r="BT1495" s="6"/>
      <c r="BU1495" s="6"/>
      <c r="BV1495" s="6"/>
      <c r="BW1495" s="6"/>
      <c r="BX1495" s="6"/>
      <c r="BY1495" s="6"/>
      <c r="BZ1495" s="6"/>
      <c r="CA1495" s="6"/>
      <c r="CB1495" s="6"/>
      <c r="CC1495" s="6"/>
    </row>
    <row r="1496" spans="2:81" x14ac:dyDescent="0.2">
      <c r="B1496" s="68"/>
      <c r="C1496" s="69"/>
      <c r="D1496" s="70"/>
      <c r="F1496" s="68"/>
      <c r="G1496" s="69"/>
      <c r="H1496" s="70"/>
      <c r="J1496" s="71"/>
      <c r="K1496" s="71"/>
      <c r="L1496" s="67"/>
      <c r="N1496" s="71"/>
      <c r="O1496" s="71"/>
      <c r="P1496" s="67"/>
      <c r="R1496" s="67"/>
      <c r="S1496" s="6"/>
      <c r="T1496" s="6"/>
      <c r="U1496" s="6"/>
      <c r="V1496" s="6"/>
      <c r="W1496" s="6"/>
      <c r="X1496" s="6"/>
      <c r="Y1496" s="6"/>
      <c r="Z1496" s="6"/>
      <c r="AA1496" s="6"/>
      <c r="AB1496" s="6"/>
      <c r="AC1496" s="6"/>
      <c r="AD1496" s="6"/>
      <c r="AE1496" s="6"/>
      <c r="AF1496" s="6"/>
      <c r="AG1496" s="6"/>
      <c r="AH1496" s="6"/>
      <c r="AI1496" s="6"/>
      <c r="AJ1496" s="6"/>
      <c r="AK1496" s="6"/>
      <c r="AL1496" s="6"/>
      <c r="AM1496" s="6"/>
      <c r="AN1496" s="6"/>
      <c r="AO1496" s="6"/>
      <c r="AP1496" s="6"/>
      <c r="AQ1496" s="6"/>
      <c r="AR1496" s="6"/>
      <c r="AS1496" s="6"/>
      <c r="AT1496" s="6"/>
      <c r="AU1496" s="6"/>
      <c r="AV1496" s="6"/>
      <c r="AW1496" s="6"/>
      <c r="AX1496" s="6"/>
      <c r="AY1496" s="6"/>
      <c r="AZ1496" s="6"/>
      <c r="BA1496" s="6"/>
      <c r="BB1496" s="6"/>
      <c r="BC1496" s="6"/>
      <c r="BD1496" s="6"/>
      <c r="BE1496" s="6"/>
      <c r="BF1496" s="6"/>
      <c r="BG1496" s="6"/>
      <c r="BH1496" s="6"/>
      <c r="BI1496" s="6"/>
      <c r="BJ1496" s="6"/>
      <c r="BK1496" s="6"/>
      <c r="BL1496" s="6"/>
      <c r="BM1496" s="6"/>
      <c r="BN1496" s="6"/>
      <c r="BO1496" s="6"/>
      <c r="BP1496" s="6"/>
      <c r="BQ1496" s="6"/>
      <c r="BR1496" s="6"/>
      <c r="BS1496" s="6"/>
      <c r="BT1496" s="6"/>
      <c r="BU1496" s="6"/>
      <c r="BV1496" s="6"/>
      <c r="BW1496" s="6"/>
      <c r="BX1496" s="6"/>
      <c r="BY1496" s="6"/>
      <c r="BZ1496" s="6"/>
      <c r="CA1496" s="6"/>
      <c r="CB1496" s="6"/>
      <c r="CC1496" s="6"/>
    </row>
    <row r="1497" spans="2:81" x14ac:dyDescent="0.2">
      <c r="B1497" s="68"/>
      <c r="C1497" s="69"/>
      <c r="D1497" s="70"/>
      <c r="F1497" s="68"/>
      <c r="G1497" s="69"/>
      <c r="H1497" s="70"/>
      <c r="J1497" s="71"/>
      <c r="K1497" s="71"/>
      <c r="L1497" s="67"/>
      <c r="N1497" s="71"/>
      <c r="O1497" s="71"/>
      <c r="P1497" s="67"/>
      <c r="R1497" s="67"/>
      <c r="S1497" s="6"/>
      <c r="T1497" s="6"/>
      <c r="U1497" s="6"/>
      <c r="V1497" s="6"/>
      <c r="W1497" s="6"/>
      <c r="X1497" s="6"/>
      <c r="Y1497" s="6"/>
      <c r="Z1497" s="6"/>
      <c r="AA1497" s="6"/>
      <c r="AB1497" s="6"/>
      <c r="AC1497" s="6"/>
      <c r="AD1497" s="6"/>
      <c r="AE1497" s="6"/>
      <c r="AF1497" s="6"/>
      <c r="AG1497" s="6"/>
      <c r="AH1497" s="6"/>
      <c r="AI1497" s="6"/>
      <c r="AJ1497" s="6"/>
      <c r="AK1497" s="6"/>
      <c r="AL1497" s="6"/>
      <c r="AM1497" s="6"/>
      <c r="AN1497" s="6"/>
      <c r="AO1497" s="6"/>
      <c r="AP1497" s="6"/>
      <c r="AQ1497" s="6"/>
      <c r="AR1497" s="6"/>
      <c r="AS1497" s="6"/>
      <c r="AT1497" s="6"/>
      <c r="AU1497" s="6"/>
      <c r="AV1497" s="6"/>
      <c r="AW1497" s="6"/>
      <c r="AX1497" s="6"/>
      <c r="AY1497" s="6"/>
      <c r="AZ1497" s="6"/>
      <c r="BA1497" s="6"/>
      <c r="BB1497" s="6"/>
      <c r="BC1497" s="6"/>
      <c r="BD1497" s="6"/>
      <c r="BE1497" s="6"/>
      <c r="BF1497" s="6"/>
      <c r="BG1497" s="6"/>
      <c r="BH1497" s="6"/>
      <c r="BI1497" s="6"/>
      <c r="BJ1497" s="6"/>
      <c r="BK1497" s="6"/>
      <c r="BL1497" s="6"/>
      <c r="BM1497" s="6"/>
      <c r="BN1497" s="6"/>
      <c r="BO1497" s="6"/>
      <c r="BP1497" s="6"/>
      <c r="BQ1497" s="6"/>
      <c r="BR1497" s="6"/>
      <c r="BS1497" s="6"/>
      <c r="BT1497" s="6"/>
      <c r="BU1497" s="6"/>
      <c r="BV1497" s="6"/>
      <c r="BW1497" s="6"/>
      <c r="BX1497" s="6"/>
      <c r="BY1497" s="6"/>
      <c r="BZ1497" s="6"/>
      <c r="CA1497" s="6"/>
      <c r="CB1497" s="6"/>
      <c r="CC1497" s="6"/>
    </row>
    <row r="1498" spans="2:81" x14ac:dyDescent="0.2">
      <c r="B1498" s="68"/>
      <c r="C1498" s="69"/>
      <c r="D1498" s="70"/>
      <c r="F1498" s="68"/>
      <c r="G1498" s="69"/>
      <c r="H1498" s="70"/>
      <c r="J1498" s="71"/>
      <c r="K1498" s="71"/>
      <c r="L1498" s="67"/>
      <c r="N1498" s="71"/>
      <c r="O1498" s="71"/>
      <c r="P1498" s="67"/>
      <c r="R1498" s="67"/>
      <c r="S1498" s="6"/>
      <c r="T1498" s="6"/>
      <c r="U1498" s="6"/>
      <c r="V1498" s="6"/>
      <c r="W1498" s="6"/>
      <c r="X1498" s="6"/>
      <c r="Y1498" s="6"/>
      <c r="Z1498" s="6"/>
      <c r="AA1498" s="6"/>
      <c r="AB1498" s="6"/>
      <c r="AC1498" s="6"/>
      <c r="AD1498" s="6"/>
      <c r="AE1498" s="6"/>
      <c r="AF1498" s="6"/>
      <c r="AG1498" s="6"/>
      <c r="AH1498" s="6"/>
      <c r="AI1498" s="6"/>
      <c r="AJ1498" s="6"/>
      <c r="AK1498" s="6"/>
      <c r="AL1498" s="6"/>
      <c r="AM1498" s="6"/>
      <c r="AN1498" s="6"/>
      <c r="AO1498" s="6"/>
      <c r="AP1498" s="6"/>
      <c r="AQ1498" s="6"/>
      <c r="AR1498" s="6"/>
      <c r="AS1498" s="6"/>
      <c r="AT1498" s="6"/>
      <c r="AU1498" s="6"/>
      <c r="AV1498" s="6"/>
      <c r="AW1498" s="6"/>
      <c r="AX1498" s="6"/>
      <c r="AY1498" s="6"/>
      <c r="AZ1498" s="6"/>
      <c r="BA1498" s="6"/>
      <c r="BB1498" s="6"/>
      <c r="BC1498" s="6"/>
      <c r="BD1498" s="6"/>
      <c r="BE1498" s="6"/>
      <c r="BF1498" s="6"/>
      <c r="BG1498" s="6"/>
      <c r="BH1498" s="6"/>
      <c r="BI1498" s="6"/>
      <c r="BJ1498" s="6"/>
      <c r="BK1498" s="6"/>
      <c r="BL1498" s="6"/>
      <c r="BM1498" s="6"/>
      <c r="BN1498" s="6"/>
      <c r="BO1498" s="6"/>
      <c r="BP1498" s="6"/>
      <c r="BQ1498" s="6"/>
      <c r="BR1498" s="6"/>
      <c r="BS1498" s="6"/>
      <c r="BT1498" s="6"/>
      <c r="BU1498" s="6"/>
      <c r="BV1498" s="6"/>
      <c r="BW1498" s="6"/>
      <c r="BX1498" s="6"/>
      <c r="BY1498" s="6"/>
      <c r="BZ1498" s="6"/>
      <c r="CA1498" s="6"/>
      <c r="CB1498" s="6"/>
      <c r="CC1498" s="6"/>
    </row>
    <row r="1499" spans="2:81" x14ac:dyDescent="0.2">
      <c r="B1499" s="68"/>
      <c r="C1499" s="69"/>
      <c r="D1499" s="70"/>
      <c r="F1499" s="68"/>
      <c r="G1499" s="69"/>
      <c r="H1499" s="70"/>
      <c r="J1499" s="71"/>
      <c r="K1499" s="71"/>
      <c r="L1499" s="67"/>
      <c r="N1499" s="71"/>
      <c r="O1499" s="71"/>
      <c r="P1499" s="67"/>
      <c r="R1499" s="67"/>
      <c r="S1499" s="6"/>
      <c r="T1499" s="6"/>
      <c r="U1499" s="6"/>
      <c r="V1499" s="6"/>
      <c r="W1499" s="6"/>
      <c r="X1499" s="6"/>
      <c r="Y1499" s="6"/>
      <c r="Z1499" s="6"/>
      <c r="AA1499" s="6"/>
      <c r="AB1499" s="6"/>
      <c r="AC1499" s="6"/>
      <c r="AD1499" s="6"/>
      <c r="AE1499" s="6"/>
      <c r="AF1499" s="6"/>
      <c r="AG1499" s="6"/>
      <c r="AH1499" s="6"/>
      <c r="AI1499" s="6"/>
      <c r="AJ1499" s="6"/>
      <c r="AK1499" s="6"/>
      <c r="AL1499" s="6"/>
      <c r="AM1499" s="6"/>
      <c r="AN1499" s="6"/>
      <c r="AO1499" s="6"/>
      <c r="AP1499" s="6"/>
      <c r="AQ1499" s="6"/>
      <c r="AR1499" s="6"/>
      <c r="AS1499" s="6"/>
      <c r="AT1499" s="6"/>
      <c r="AU1499" s="6"/>
      <c r="AV1499" s="6"/>
      <c r="AW1499" s="6"/>
      <c r="AX1499" s="6"/>
      <c r="AY1499" s="6"/>
      <c r="AZ1499" s="6"/>
      <c r="BA1499" s="6"/>
      <c r="BB1499" s="6"/>
      <c r="BC1499" s="6"/>
      <c r="BD1499" s="6"/>
      <c r="BE1499" s="6"/>
      <c r="BF1499" s="6"/>
      <c r="BG1499" s="6"/>
      <c r="BH1499" s="6"/>
      <c r="BI1499" s="6"/>
      <c r="BJ1499" s="6"/>
      <c r="BK1499" s="6"/>
      <c r="BL1499" s="6"/>
      <c r="BM1499" s="6"/>
      <c r="BN1499" s="6"/>
      <c r="BO1499" s="6"/>
      <c r="BP1499" s="6"/>
      <c r="BQ1499" s="6"/>
      <c r="BR1499" s="6"/>
      <c r="BS1499" s="6"/>
      <c r="BT1499" s="6"/>
      <c r="BU1499" s="6"/>
      <c r="BV1499" s="6"/>
      <c r="BW1499" s="6"/>
      <c r="BX1499" s="6"/>
      <c r="BY1499" s="6"/>
      <c r="BZ1499" s="6"/>
      <c r="CA1499" s="6"/>
      <c r="CB1499" s="6"/>
      <c r="CC1499" s="6"/>
    </row>
    <row r="1500" spans="2:81" x14ac:dyDescent="0.2">
      <c r="B1500" s="68"/>
      <c r="C1500" s="69"/>
      <c r="D1500" s="70"/>
      <c r="F1500" s="68"/>
      <c r="G1500" s="69"/>
      <c r="H1500" s="70"/>
      <c r="J1500" s="71"/>
      <c r="K1500" s="71"/>
      <c r="L1500" s="67"/>
      <c r="N1500" s="71"/>
      <c r="O1500" s="71"/>
      <c r="P1500" s="67"/>
      <c r="R1500" s="67"/>
      <c r="S1500" s="6"/>
      <c r="T1500" s="6"/>
      <c r="U1500" s="6"/>
      <c r="V1500" s="6"/>
      <c r="W1500" s="6"/>
      <c r="X1500" s="6"/>
      <c r="Y1500" s="6"/>
      <c r="Z1500" s="6"/>
      <c r="AA1500" s="6"/>
      <c r="AB1500" s="6"/>
      <c r="AC1500" s="6"/>
      <c r="AD1500" s="6"/>
      <c r="AE1500" s="6"/>
      <c r="AF1500" s="6"/>
      <c r="AG1500" s="6"/>
      <c r="AH1500" s="6"/>
      <c r="AI1500" s="6"/>
      <c r="AJ1500" s="6"/>
      <c r="AK1500" s="6"/>
      <c r="AL1500" s="6"/>
      <c r="AM1500" s="6"/>
      <c r="AN1500" s="6"/>
      <c r="AO1500" s="6"/>
      <c r="AP1500" s="6"/>
      <c r="AQ1500" s="6"/>
      <c r="AR1500" s="6"/>
      <c r="AS1500" s="6"/>
      <c r="AT1500" s="6"/>
      <c r="AU1500" s="6"/>
      <c r="AV1500" s="6"/>
      <c r="AW1500" s="6"/>
      <c r="AX1500" s="6"/>
      <c r="AY1500" s="6"/>
      <c r="AZ1500" s="6"/>
      <c r="BA1500" s="6"/>
      <c r="BB1500" s="6"/>
      <c r="BC1500" s="6"/>
      <c r="BD1500" s="6"/>
      <c r="BE1500" s="6"/>
      <c r="BF1500" s="6"/>
      <c r="BG1500" s="6"/>
      <c r="BH1500" s="6"/>
      <c r="BI1500" s="6"/>
      <c r="BJ1500" s="6"/>
      <c r="BK1500" s="6"/>
      <c r="BL1500" s="6"/>
      <c r="BM1500" s="6"/>
      <c r="BN1500" s="6"/>
      <c r="BO1500" s="6"/>
      <c r="BP1500" s="6"/>
      <c r="BQ1500" s="6"/>
      <c r="BR1500" s="6"/>
      <c r="BS1500" s="6"/>
      <c r="BT1500" s="6"/>
      <c r="BU1500" s="6"/>
      <c r="BV1500" s="6"/>
      <c r="BW1500" s="6"/>
      <c r="BX1500" s="6"/>
      <c r="BY1500" s="6"/>
      <c r="BZ1500" s="6"/>
      <c r="CA1500" s="6"/>
      <c r="CB1500" s="6"/>
      <c r="CC1500" s="6"/>
    </row>
    <row r="1501" spans="2:81" x14ac:dyDescent="0.2">
      <c r="B1501" s="68"/>
      <c r="C1501" s="69"/>
      <c r="D1501" s="70"/>
      <c r="F1501" s="68"/>
      <c r="G1501" s="69"/>
      <c r="H1501" s="70"/>
      <c r="J1501" s="71"/>
      <c r="K1501" s="71"/>
      <c r="L1501" s="67"/>
      <c r="N1501" s="71"/>
      <c r="O1501" s="71"/>
      <c r="P1501" s="67"/>
      <c r="R1501" s="67"/>
      <c r="S1501" s="6"/>
      <c r="T1501" s="6"/>
      <c r="U1501" s="6"/>
      <c r="V1501" s="6"/>
      <c r="W1501" s="6"/>
      <c r="X1501" s="6"/>
      <c r="Y1501" s="6"/>
      <c r="Z1501" s="6"/>
      <c r="AA1501" s="6"/>
      <c r="AB1501" s="6"/>
      <c r="AC1501" s="6"/>
      <c r="AD1501" s="6"/>
      <c r="AE1501" s="6"/>
      <c r="AF1501" s="6"/>
      <c r="AG1501" s="6"/>
      <c r="AH1501" s="6"/>
      <c r="AI1501" s="6"/>
      <c r="AJ1501" s="6"/>
      <c r="AK1501" s="6"/>
      <c r="AL1501" s="6"/>
      <c r="AM1501" s="6"/>
      <c r="AN1501" s="6"/>
      <c r="AO1501" s="6"/>
      <c r="AP1501" s="6"/>
      <c r="AQ1501" s="6"/>
      <c r="AR1501" s="6"/>
      <c r="AS1501" s="6"/>
      <c r="AT1501" s="6"/>
      <c r="AU1501" s="6"/>
      <c r="AV1501" s="6"/>
      <c r="AW1501" s="6"/>
      <c r="AX1501" s="6"/>
      <c r="AY1501" s="6"/>
      <c r="AZ1501" s="6"/>
      <c r="BA1501" s="6"/>
      <c r="BB1501" s="6"/>
      <c r="BC1501" s="6"/>
      <c r="BD1501" s="6"/>
      <c r="BE1501" s="6"/>
      <c r="BF1501" s="6"/>
      <c r="BG1501" s="6"/>
      <c r="BH1501" s="6"/>
      <c r="BI1501" s="6"/>
      <c r="BJ1501" s="6"/>
      <c r="BK1501" s="6"/>
      <c r="BL1501" s="6"/>
      <c r="BM1501" s="6"/>
      <c r="BN1501" s="6"/>
      <c r="BO1501" s="6"/>
      <c r="BP1501" s="6"/>
      <c r="BQ1501" s="6"/>
      <c r="BR1501" s="6"/>
      <c r="BS1501" s="6"/>
      <c r="BT1501" s="6"/>
      <c r="BU1501" s="6"/>
      <c r="BV1501" s="6"/>
      <c r="BW1501" s="6"/>
      <c r="BX1501" s="6"/>
      <c r="BY1501" s="6"/>
      <c r="BZ1501" s="6"/>
      <c r="CA1501" s="6"/>
      <c r="CB1501" s="6"/>
      <c r="CC1501" s="6"/>
    </row>
    <row r="1502" spans="2:81" x14ac:dyDescent="0.2">
      <c r="B1502" s="68"/>
      <c r="C1502" s="69"/>
      <c r="D1502" s="70"/>
      <c r="F1502" s="68"/>
      <c r="G1502" s="69"/>
      <c r="H1502" s="70"/>
      <c r="J1502" s="71"/>
      <c r="K1502" s="71"/>
      <c r="L1502" s="67"/>
      <c r="N1502" s="71"/>
      <c r="O1502" s="71"/>
      <c r="P1502" s="67"/>
      <c r="R1502" s="67"/>
      <c r="S1502" s="6"/>
      <c r="T1502" s="6"/>
      <c r="U1502" s="6"/>
      <c r="V1502" s="6"/>
      <c r="W1502" s="6"/>
      <c r="X1502" s="6"/>
      <c r="Y1502" s="6"/>
      <c r="Z1502" s="6"/>
      <c r="AA1502" s="6"/>
      <c r="AB1502" s="6"/>
      <c r="AC1502" s="6"/>
      <c r="AD1502" s="6"/>
      <c r="AE1502" s="6"/>
      <c r="AF1502" s="6"/>
      <c r="AG1502" s="6"/>
      <c r="AH1502" s="6"/>
      <c r="AI1502" s="6"/>
      <c r="AJ1502" s="6"/>
      <c r="AK1502" s="6"/>
      <c r="AL1502" s="6"/>
      <c r="AM1502" s="6"/>
      <c r="AN1502" s="6"/>
      <c r="AO1502" s="6"/>
      <c r="AP1502" s="6"/>
      <c r="AQ1502" s="6"/>
      <c r="AR1502" s="6"/>
      <c r="AS1502" s="6"/>
      <c r="AT1502" s="6"/>
      <c r="AU1502" s="6"/>
      <c r="AV1502" s="6"/>
      <c r="AW1502" s="6"/>
      <c r="AX1502" s="6"/>
      <c r="AY1502" s="6"/>
      <c r="AZ1502" s="6"/>
      <c r="BA1502" s="6"/>
      <c r="BB1502" s="6"/>
      <c r="BC1502" s="6"/>
      <c r="BD1502" s="6"/>
      <c r="BE1502" s="6"/>
      <c r="BF1502" s="6"/>
      <c r="BG1502" s="6"/>
      <c r="BH1502" s="6"/>
      <c r="BI1502" s="6"/>
      <c r="BJ1502" s="6"/>
      <c r="BK1502" s="6"/>
      <c r="BL1502" s="6"/>
      <c r="BM1502" s="6"/>
      <c r="BN1502" s="6"/>
      <c r="BO1502" s="6"/>
      <c r="BP1502" s="6"/>
      <c r="BQ1502" s="6"/>
      <c r="BR1502" s="6"/>
      <c r="BS1502" s="6"/>
      <c r="BT1502" s="6"/>
      <c r="BU1502" s="6"/>
      <c r="BV1502" s="6"/>
      <c r="BW1502" s="6"/>
      <c r="BX1502" s="6"/>
      <c r="BY1502" s="6"/>
      <c r="BZ1502" s="6"/>
      <c r="CA1502" s="6"/>
      <c r="CB1502" s="6"/>
      <c r="CC1502" s="6"/>
    </row>
    <row r="1503" spans="2:81" x14ac:dyDescent="0.2">
      <c r="B1503" s="68"/>
      <c r="C1503" s="69"/>
      <c r="D1503" s="70"/>
      <c r="F1503" s="68"/>
      <c r="G1503" s="69"/>
      <c r="H1503" s="70"/>
      <c r="J1503" s="71"/>
      <c r="K1503" s="71"/>
      <c r="L1503" s="67"/>
      <c r="N1503" s="71"/>
      <c r="O1503" s="71"/>
      <c r="P1503" s="67"/>
      <c r="R1503" s="67"/>
      <c r="S1503" s="6"/>
      <c r="T1503" s="6"/>
      <c r="U1503" s="6"/>
      <c r="V1503" s="6"/>
      <c r="W1503" s="6"/>
      <c r="X1503" s="6"/>
      <c r="Y1503" s="6"/>
      <c r="Z1503" s="6"/>
      <c r="AA1503" s="6"/>
      <c r="AB1503" s="6"/>
      <c r="AC1503" s="6"/>
      <c r="AD1503" s="6"/>
      <c r="AE1503" s="6"/>
      <c r="AF1503" s="6"/>
      <c r="AG1503" s="6"/>
      <c r="AH1503" s="6"/>
      <c r="AI1503" s="6"/>
      <c r="AJ1503" s="6"/>
      <c r="AK1503" s="6"/>
      <c r="AL1503" s="6"/>
      <c r="AM1503" s="6"/>
      <c r="AN1503" s="6"/>
      <c r="AO1503" s="6"/>
      <c r="AP1503" s="6"/>
      <c r="AQ1503" s="6"/>
      <c r="AR1503" s="6"/>
      <c r="AS1503" s="6"/>
      <c r="AT1503" s="6"/>
      <c r="AU1503" s="6"/>
      <c r="AV1503" s="6"/>
      <c r="AW1503" s="6"/>
      <c r="AX1503" s="6"/>
      <c r="AY1503" s="6"/>
      <c r="AZ1503" s="6"/>
      <c r="BA1503" s="6"/>
      <c r="BB1503" s="6"/>
      <c r="BC1503" s="6"/>
      <c r="BD1503" s="6"/>
      <c r="BE1503" s="6"/>
      <c r="BF1503" s="6"/>
      <c r="BG1503" s="6"/>
      <c r="BH1503" s="6"/>
      <c r="BI1503" s="6"/>
      <c r="BJ1503" s="6"/>
      <c r="BK1503" s="6"/>
      <c r="BL1503" s="6"/>
      <c r="BM1503" s="6"/>
      <c r="BN1503" s="6"/>
      <c r="BO1503" s="6"/>
      <c r="BP1503" s="6"/>
      <c r="BQ1503" s="6"/>
      <c r="BR1503" s="6"/>
      <c r="BS1503" s="6"/>
      <c r="BT1503" s="6"/>
      <c r="BU1503" s="6"/>
      <c r="BV1503" s="6"/>
      <c r="BW1503" s="6"/>
      <c r="BX1503" s="6"/>
      <c r="BY1503" s="6"/>
      <c r="BZ1503" s="6"/>
      <c r="CA1503" s="6"/>
      <c r="CB1503" s="6"/>
      <c r="CC1503" s="6"/>
    </row>
    <row r="1504" spans="2:81" x14ac:dyDescent="0.2">
      <c r="B1504" s="68"/>
      <c r="C1504" s="69"/>
      <c r="D1504" s="70"/>
      <c r="F1504" s="68"/>
      <c r="G1504" s="69"/>
      <c r="H1504" s="70"/>
      <c r="J1504" s="71"/>
      <c r="K1504" s="71"/>
      <c r="L1504" s="67"/>
      <c r="N1504" s="71"/>
      <c r="O1504" s="71"/>
      <c r="P1504" s="67"/>
      <c r="R1504" s="67"/>
      <c r="S1504" s="6"/>
      <c r="T1504" s="6"/>
      <c r="U1504" s="6"/>
      <c r="V1504" s="6"/>
      <c r="W1504" s="6"/>
      <c r="X1504" s="6"/>
      <c r="Y1504" s="6"/>
      <c r="Z1504" s="6"/>
      <c r="AA1504" s="6"/>
      <c r="AB1504" s="6"/>
      <c r="AC1504" s="6"/>
      <c r="AD1504" s="6"/>
      <c r="AE1504" s="6"/>
      <c r="AF1504" s="6"/>
      <c r="AG1504" s="6"/>
      <c r="AH1504" s="6"/>
      <c r="AI1504" s="6"/>
      <c r="AJ1504" s="6"/>
      <c r="AK1504" s="6"/>
      <c r="AL1504" s="6"/>
      <c r="AM1504" s="6"/>
      <c r="AN1504" s="6"/>
      <c r="AO1504" s="6"/>
      <c r="AP1504" s="6"/>
      <c r="AQ1504" s="6"/>
      <c r="AR1504" s="6"/>
      <c r="AS1504" s="6"/>
      <c r="AT1504" s="6"/>
      <c r="AU1504" s="6"/>
      <c r="AV1504" s="6"/>
      <c r="AW1504" s="6"/>
      <c r="AX1504" s="6"/>
      <c r="AY1504" s="6"/>
      <c r="AZ1504" s="6"/>
      <c r="BA1504" s="6"/>
      <c r="BB1504" s="6"/>
      <c r="BC1504" s="6"/>
      <c r="BD1504" s="6"/>
      <c r="BE1504" s="6"/>
      <c r="BF1504" s="6"/>
      <c r="BG1504" s="6"/>
      <c r="BH1504" s="6"/>
      <c r="BI1504" s="6"/>
      <c r="BJ1504" s="6"/>
      <c r="BK1504" s="6"/>
      <c r="BL1504" s="6"/>
      <c r="BM1504" s="6"/>
      <c r="BN1504" s="6"/>
      <c r="BO1504" s="6"/>
      <c r="BP1504" s="6"/>
      <c r="BQ1504" s="6"/>
      <c r="BR1504" s="6"/>
      <c r="BS1504" s="6"/>
      <c r="BT1504" s="6"/>
      <c r="BU1504" s="6"/>
      <c r="BV1504" s="6"/>
      <c r="BW1504" s="6"/>
      <c r="BX1504" s="6"/>
      <c r="BY1504" s="6"/>
      <c r="BZ1504" s="6"/>
      <c r="CA1504" s="6"/>
      <c r="CB1504" s="6"/>
      <c r="CC1504" s="6"/>
    </row>
    <row r="1505" spans="2:81" x14ac:dyDescent="0.2">
      <c r="B1505" s="68"/>
      <c r="C1505" s="69"/>
      <c r="D1505" s="70"/>
      <c r="F1505" s="68"/>
      <c r="G1505" s="69"/>
      <c r="H1505" s="70"/>
      <c r="J1505" s="71"/>
      <c r="K1505" s="71"/>
      <c r="L1505" s="67"/>
      <c r="N1505" s="71"/>
      <c r="O1505" s="71"/>
      <c r="P1505" s="67"/>
      <c r="R1505" s="67"/>
      <c r="S1505" s="6"/>
      <c r="T1505" s="6"/>
      <c r="U1505" s="6"/>
      <c r="V1505" s="6"/>
      <c r="W1505" s="6"/>
      <c r="X1505" s="6"/>
      <c r="Y1505" s="6"/>
      <c r="Z1505" s="6"/>
      <c r="AA1505" s="6"/>
      <c r="AB1505" s="6"/>
      <c r="AC1505" s="6"/>
      <c r="AD1505" s="6"/>
      <c r="AE1505" s="6"/>
      <c r="AF1505" s="6"/>
      <c r="AG1505" s="6"/>
      <c r="AH1505" s="6"/>
      <c r="AI1505" s="6"/>
      <c r="AJ1505" s="6"/>
      <c r="AK1505" s="6"/>
      <c r="AL1505" s="6"/>
      <c r="AM1505" s="6"/>
      <c r="AN1505" s="6"/>
      <c r="AO1505" s="6"/>
      <c r="AP1505" s="6"/>
      <c r="AQ1505" s="6"/>
      <c r="AR1505" s="6"/>
      <c r="AS1505" s="6"/>
      <c r="AT1505" s="6"/>
      <c r="AU1505" s="6"/>
      <c r="AV1505" s="6"/>
      <c r="AW1505" s="6"/>
      <c r="AX1505" s="6"/>
      <c r="AY1505" s="6"/>
      <c r="AZ1505" s="6"/>
      <c r="BA1505" s="6"/>
      <c r="BB1505" s="6"/>
      <c r="BC1505" s="6"/>
      <c r="BD1505" s="6"/>
      <c r="BE1505" s="6"/>
      <c r="BF1505" s="6"/>
      <c r="BG1505" s="6"/>
      <c r="BH1505" s="6"/>
      <c r="BI1505" s="6"/>
      <c r="BJ1505" s="6"/>
      <c r="BK1505" s="6"/>
      <c r="BL1505" s="6"/>
      <c r="BM1505" s="6"/>
      <c r="BN1505" s="6"/>
      <c r="BO1505" s="6"/>
      <c r="BP1505" s="6"/>
      <c r="BQ1505" s="6"/>
      <c r="BR1505" s="6"/>
      <c r="BS1505" s="6"/>
      <c r="BT1505" s="6"/>
      <c r="BU1505" s="6"/>
      <c r="BV1505" s="6"/>
      <c r="BW1505" s="6"/>
      <c r="BX1505" s="6"/>
      <c r="BY1505" s="6"/>
      <c r="BZ1505" s="6"/>
      <c r="CA1505" s="6"/>
      <c r="CB1505" s="6"/>
      <c r="CC1505" s="6"/>
    </row>
    <row r="1506" spans="2:81" x14ac:dyDescent="0.2">
      <c r="B1506" s="68"/>
      <c r="C1506" s="69"/>
      <c r="D1506" s="70"/>
      <c r="F1506" s="68"/>
      <c r="G1506" s="69"/>
      <c r="H1506" s="70"/>
      <c r="J1506" s="71"/>
      <c r="K1506" s="71"/>
      <c r="L1506" s="67"/>
      <c r="N1506" s="71"/>
      <c r="O1506" s="71"/>
      <c r="P1506" s="67"/>
      <c r="R1506" s="67"/>
      <c r="S1506" s="6"/>
      <c r="T1506" s="6"/>
      <c r="U1506" s="6"/>
      <c r="V1506" s="6"/>
      <c r="W1506" s="6"/>
      <c r="X1506" s="6"/>
      <c r="Y1506" s="6"/>
      <c r="Z1506" s="6"/>
      <c r="AA1506" s="6"/>
      <c r="AB1506" s="6"/>
      <c r="AC1506" s="6"/>
      <c r="AD1506" s="6"/>
      <c r="AE1506" s="6"/>
      <c r="AF1506" s="6"/>
      <c r="AG1506" s="6"/>
      <c r="AH1506" s="6"/>
      <c r="AI1506" s="6"/>
      <c r="AJ1506" s="6"/>
      <c r="AK1506" s="6"/>
      <c r="AL1506" s="6"/>
      <c r="AM1506" s="6"/>
      <c r="AN1506" s="6"/>
      <c r="AO1506" s="6"/>
      <c r="AP1506" s="6"/>
      <c r="AQ1506" s="6"/>
      <c r="AR1506" s="6"/>
      <c r="AS1506" s="6"/>
      <c r="AT1506" s="6"/>
      <c r="AU1506" s="6"/>
      <c r="AV1506" s="6"/>
      <c r="AW1506" s="6"/>
      <c r="AX1506" s="6"/>
      <c r="AY1506" s="6"/>
      <c r="AZ1506" s="6"/>
      <c r="BA1506" s="6"/>
      <c r="BB1506" s="6"/>
      <c r="BC1506" s="6"/>
      <c r="BD1506" s="6"/>
      <c r="BE1506" s="6"/>
      <c r="BF1506" s="6"/>
      <c r="BG1506" s="6"/>
      <c r="BH1506" s="6"/>
      <c r="BI1506" s="6"/>
      <c r="BJ1506" s="6"/>
      <c r="BK1506" s="6"/>
      <c r="BL1506" s="6"/>
      <c r="BM1506" s="6"/>
      <c r="BN1506" s="6"/>
      <c r="BO1506" s="6"/>
      <c r="BP1506" s="6"/>
      <c r="BQ1506" s="6"/>
      <c r="BR1506" s="6"/>
      <c r="BS1506" s="6"/>
      <c r="BT1506" s="6"/>
      <c r="BU1506" s="6"/>
      <c r="BV1506" s="6"/>
      <c r="BW1506" s="6"/>
      <c r="BX1506" s="6"/>
      <c r="BY1506" s="6"/>
      <c r="BZ1506" s="6"/>
      <c r="CA1506" s="6"/>
      <c r="CB1506" s="6"/>
      <c r="CC1506" s="6"/>
    </row>
    <row r="1507" spans="2:81" x14ac:dyDescent="0.2">
      <c r="B1507" s="68"/>
      <c r="C1507" s="69"/>
      <c r="D1507" s="70"/>
      <c r="F1507" s="68"/>
      <c r="G1507" s="69"/>
      <c r="H1507" s="70"/>
      <c r="J1507" s="71"/>
      <c r="K1507" s="71"/>
      <c r="L1507" s="67"/>
      <c r="N1507" s="71"/>
      <c r="O1507" s="71"/>
      <c r="P1507" s="67"/>
      <c r="R1507" s="67"/>
      <c r="S1507" s="6"/>
      <c r="T1507" s="6"/>
      <c r="U1507" s="6"/>
      <c r="V1507" s="6"/>
      <c r="W1507" s="6"/>
      <c r="X1507" s="6"/>
      <c r="Y1507" s="6"/>
      <c r="Z1507" s="6"/>
      <c r="AA1507" s="6"/>
      <c r="AB1507" s="6"/>
      <c r="AC1507" s="6"/>
      <c r="AD1507" s="6"/>
      <c r="AE1507" s="6"/>
      <c r="AF1507" s="6"/>
      <c r="AG1507" s="6"/>
      <c r="AH1507" s="6"/>
      <c r="AI1507" s="6"/>
      <c r="AJ1507" s="6"/>
      <c r="AK1507" s="6"/>
      <c r="AL1507" s="6"/>
      <c r="AM1507" s="6"/>
      <c r="AN1507" s="6"/>
      <c r="AO1507" s="6"/>
      <c r="AP1507" s="6"/>
      <c r="AQ1507" s="6"/>
      <c r="AR1507" s="6"/>
      <c r="AS1507" s="6"/>
      <c r="AT1507" s="6"/>
      <c r="AU1507" s="6"/>
      <c r="AV1507" s="6"/>
      <c r="AW1507" s="6"/>
      <c r="AX1507" s="6"/>
      <c r="AY1507" s="6"/>
      <c r="AZ1507" s="6"/>
      <c r="BA1507" s="6"/>
      <c r="BB1507" s="6"/>
      <c r="BC1507" s="6"/>
      <c r="BD1507" s="6"/>
      <c r="BE1507" s="6"/>
      <c r="BF1507" s="6"/>
      <c r="BG1507" s="6"/>
      <c r="BH1507" s="6"/>
      <c r="BI1507" s="6"/>
      <c r="BJ1507" s="6"/>
      <c r="BK1507" s="6"/>
      <c r="BL1507" s="6"/>
      <c r="BM1507" s="6"/>
      <c r="BN1507" s="6"/>
      <c r="BO1507" s="6"/>
      <c r="BP1507" s="6"/>
      <c r="BQ1507" s="6"/>
      <c r="BR1507" s="6"/>
      <c r="BS1507" s="6"/>
      <c r="BT1507" s="6"/>
      <c r="BU1507" s="6"/>
      <c r="BV1507" s="6"/>
      <c r="BW1507" s="6"/>
      <c r="BX1507" s="6"/>
      <c r="BY1507" s="6"/>
      <c r="BZ1507" s="6"/>
      <c r="CA1507" s="6"/>
      <c r="CB1507" s="6"/>
      <c r="CC1507" s="6"/>
    </row>
    <row r="1508" spans="2:81" x14ac:dyDescent="0.2">
      <c r="B1508" s="68"/>
      <c r="C1508" s="69"/>
      <c r="D1508" s="70"/>
      <c r="F1508" s="68"/>
      <c r="G1508" s="69"/>
      <c r="H1508" s="70"/>
      <c r="J1508" s="71"/>
      <c r="K1508" s="71"/>
      <c r="L1508" s="67"/>
      <c r="N1508" s="71"/>
      <c r="O1508" s="71"/>
      <c r="P1508" s="67"/>
      <c r="R1508" s="67"/>
      <c r="S1508" s="6"/>
      <c r="T1508" s="6"/>
      <c r="U1508" s="6"/>
      <c r="V1508" s="6"/>
      <c r="W1508" s="6"/>
      <c r="X1508" s="6"/>
      <c r="Y1508" s="6"/>
      <c r="Z1508" s="6"/>
      <c r="AA1508" s="6"/>
      <c r="AB1508" s="6"/>
      <c r="AC1508" s="6"/>
      <c r="AD1508" s="6"/>
      <c r="AE1508" s="6"/>
      <c r="AF1508" s="6"/>
      <c r="AG1508" s="6"/>
      <c r="AH1508" s="6"/>
      <c r="AI1508" s="6"/>
      <c r="AJ1508" s="6"/>
      <c r="AK1508" s="6"/>
      <c r="AL1508" s="6"/>
      <c r="AM1508" s="6"/>
      <c r="AN1508" s="6"/>
      <c r="AO1508" s="6"/>
      <c r="AP1508" s="6"/>
      <c r="AQ1508" s="6"/>
      <c r="AR1508" s="6"/>
      <c r="AS1508" s="6"/>
      <c r="AT1508" s="6"/>
      <c r="AU1508" s="6"/>
      <c r="AV1508" s="6"/>
      <c r="AW1508" s="6"/>
      <c r="AX1508" s="6"/>
      <c r="AY1508" s="6"/>
      <c r="AZ1508" s="6"/>
      <c r="BA1508" s="6"/>
      <c r="BB1508" s="6"/>
      <c r="BC1508" s="6"/>
      <c r="BD1508" s="6"/>
      <c r="BE1508" s="6"/>
      <c r="BF1508" s="6"/>
      <c r="BG1508" s="6"/>
      <c r="BH1508" s="6"/>
      <c r="BI1508" s="6"/>
      <c r="BJ1508" s="6"/>
      <c r="BK1508" s="6"/>
      <c r="BL1508" s="6"/>
      <c r="BM1508" s="6"/>
      <c r="BN1508" s="6"/>
      <c r="BO1508" s="6"/>
      <c r="BP1508" s="6"/>
      <c r="BQ1508" s="6"/>
      <c r="BR1508" s="6"/>
      <c r="BS1508" s="6"/>
      <c r="BT1508" s="6"/>
      <c r="BU1508" s="6"/>
      <c r="BV1508" s="6"/>
      <c r="BW1508" s="6"/>
      <c r="BX1508" s="6"/>
      <c r="BY1508" s="6"/>
      <c r="BZ1508" s="6"/>
      <c r="CA1508" s="6"/>
      <c r="CB1508" s="6"/>
      <c r="CC1508" s="6"/>
    </row>
    <row r="1509" spans="2:81" x14ac:dyDescent="0.2">
      <c r="B1509" s="68"/>
      <c r="C1509" s="69"/>
      <c r="D1509" s="70"/>
      <c r="F1509" s="68"/>
      <c r="G1509" s="69"/>
      <c r="H1509" s="70"/>
      <c r="J1509" s="71"/>
      <c r="K1509" s="71"/>
      <c r="L1509" s="67"/>
      <c r="N1509" s="71"/>
      <c r="O1509" s="71"/>
      <c r="P1509" s="67"/>
      <c r="R1509" s="67"/>
      <c r="S1509" s="6"/>
      <c r="T1509" s="6"/>
      <c r="U1509" s="6"/>
      <c r="V1509" s="6"/>
      <c r="W1509" s="6"/>
      <c r="X1509" s="6"/>
      <c r="Y1509" s="6"/>
      <c r="Z1509" s="6"/>
      <c r="AA1509" s="6"/>
      <c r="AB1509" s="6"/>
      <c r="AC1509" s="6"/>
      <c r="AD1509" s="6"/>
      <c r="AE1509" s="6"/>
      <c r="AF1509" s="6"/>
      <c r="AG1509" s="6"/>
      <c r="AH1509" s="6"/>
      <c r="AI1509" s="6"/>
      <c r="AJ1509" s="6"/>
      <c r="AK1509" s="6"/>
      <c r="AL1509" s="6"/>
      <c r="AM1509" s="6"/>
      <c r="AN1509" s="6"/>
      <c r="AO1509" s="6"/>
      <c r="AP1509" s="6"/>
      <c r="AQ1509" s="6"/>
      <c r="AR1509" s="6"/>
      <c r="AS1509" s="6"/>
      <c r="AT1509" s="6"/>
      <c r="AU1509" s="6"/>
      <c r="AV1509" s="6"/>
      <c r="AW1509" s="6"/>
      <c r="AX1509" s="6"/>
      <c r="AY1509" s="6"/>
      <c r="AZ1509" s="6"/>
      <c r="BA1509" s="6"/>
      <c r="BB1509" s="6"/>
      <c r="BC1509" s="6"/>
      <c r="BD1509" s="6"/>
      <c r="BE1509" s="6"/>
      <c r="BF1509" s="6"/>
      <c r="BG1509" s="6"/>
      <c r="BH1509" s="6"/>
      <c r="BI1509" s="6"/>
      <c r="BJ1509" s="6"/>
      <c r="BK1509" s="6"/>
      <c r="BL1509" s="6"/>
      <c r="BM1509" s="6"/>
      <c r="BN1509" s="6"/>
      <c r="BO1509" s="6"/>
      <c r="BP1509" s="6"/>
      <c r="BQ1509" s="6"/>
      <c r="BR1509" s="6"/>
      <c r="BS1509" s="6"/>
      <c r="BT1509" s="6"/>
      <c r="BU1509" s="6"/>
      <c r="BV1509" s="6"/>
      <c r="BW1509" s="6"/>
      <c r="BX1509" s="6"/>
      <c r="BY1509" s="6"/>
      <c r="BZ1509" s="6"/>
      <c r="CA1509" s="6"/>
      <c r="CB1509" s="6"/>
      <c r="CC1509" s="6"/>
    </row>
    <row r="1510" spans="2:81" x14ac:dyDescent="0.2">
      <c r="B1510" s="68"/>
      <c r="C1510" s="69"/>
      <c r="D1510" s="70"/>
      <c r="F1510" s="68"/>
      <c r="G1510" s="69"/>
      <c r="H1510" s="70"/>
      <c r="J1510" s="71"/>
      <c r="K1510" s="71"/>
      <c r="L1510" s="67"/>
      <c r="N1510" s="71"/>
      <c r="O1510" s="71"/>
      <c r="P1510" s="67"/>
      <c r="R1510" s="67"/>
      <c r="S1510" s="6"/>
      <c r="T1510" s="6"/>
      <c r="U1510" s="6"/>
      <c r="V1510" s="6"/>
      <c r="W1510" s="6"/>
      <c r="X1510" s="6"/>
      <c r="Y1510" s="6"/>
      <c r="Z1510" s="6"/>
      <c r="AA1510" s="6"/>
      <c r="AB1510" s="6"/>
      <c r="AC1510" s="6"/>
      <c r="AD1510" s="6"/>
      <c r="AE1510" s="6"/>
      <c r="AF1510" s="6"/>
      <c r="AG1510" s="6"/>
      <c r="AH1510" s="6"/>
      <c r="AI1510" s="6"/>
      <c r="AJ1510" s="6"/>
      <c r="AK1510" s="6"/>
      <c r="AL1510" s="6"/>
      <c r="AM1510" s="6"/>
      <c r="AN1510" s="6"/>
      <c r="AO1510" s="6"/>
      <c r="AP1510" s="6"/>
      <c r="AQ1510" s="6"/>
      <c r="AR1510" s="6"/>
      <c r="AS1510" s="6"/>
      <c r="AT1510" s="6"/>
      <c r="AU1510" s="6"/>
      <c r="AV1510" s="6"/>
      <c r="AW1510" s="6"/>
      <c r="AX1510" s="6"/>
      <c r="AY1510" s="6"/>
      <c r="AZ1510" s="6"/>
      <c r="BA1510" s="6"/>
      <c r="BB1510" s="6"/>
      <c r="BC1510" s="6"/>
      <c r="BD1510" s="6"/>
      <c r="BE1510" s="6"/>
      <c r="BF1510" s="6"/>
      <c r="BG1510" s="6"/>
      <c r="BH1510" s="6"/>
      <c r="BI1510" s="6"/>
      <c r="BJ1510" s="6"/>
      <c r="BK1510" s="6"/>
      <c r="BL1510" s="6"/>
      <c r="BM1510" s="6"/>
      <c r="BN1510" s="6"/>
      <c r="BO1510" s="6"/>
      <c r="BP1510" s="6"/>
      <c r="BQ1510" s="6"/>
      <c r="BR1510" s="6"/>
      <c r="BS1510" s="6"/>
      <c r="BT1510" s="6"/>
      <c r="BU1510" s="6"/>
      <c r="BV1510" s="6"/>
      <c r="BW1510" s="6"/>
      <c r="BX1510" s="6"/>
      <c r="BY1510" s="6"/>
      <c r="BZ1510" s="6"/>
      <c r="CA1510" s="6"/>
      <c r="CB1510" s="6"/>
      <c r="CC1510" s="6"/>
    </row>
    <row r="1511" spans="2:81" x14ac:dyDescent="0.2">
      <c r="B1511" s="68"/>
      <c r="C1511" s="69"/>
      <c r="D1511" s="70"/>
      <c r="F1511" s="68"/>
      <c r="G1511" s="69"/>
      <c r="H1511" s="70"/>
      <c r="J1511" s="71"/>
      <c r="K1511" s="71"/>
      <c r="L1511" s="67"/>
      <c r="N1511" s="71"/>
      <c r="O1511" s="71"/>
      <c r="P1511" s="67"/>
      <c r="R1511" s="67"/>
      <c r="S1511" s="6"/>
      <c r="T1511" s="6"/>
      <c r="U1511" s="6"/>
      <c r="V1511" s="6"/>
      <c r="W1511" s="6"/>
      <c r="X1511" s="6"/>
      <c r="Y1511" s="6"/>
      <c r="Z1511" s="6"/>
      <c r="AA1511" s="6"/>
      <c r="AB1511" s="6"/>
      <c r="AC1511" s="6"/>
      <c r="AD1511" s="6"/>
      <c r="AE1511" s="6"/>
      <c r="AF1511" s="6"/>
      <c r="AG1511" s="6"/>
      <c r="AH1511" s="6"/>
      <c r="AI1511" s="6"/>
      <c r="AJ1511" s="6"/>
      <c r="AK1511" s="6"/>
      <c r="AL1511" s="6"/>
      <c r="AM1511" s="6"/>
      <c r="AN1511" s="6"/>
      <c r="AO1511" s="6"/>
      <c r="AP1511" s="6"/>
      <c r="AQ1511" s="6"/>
      <c r="AR1511" s="6"/>
      <c r="AS1511" s="6"/>
      <c r="AT1511" s="6"/>
      <c r="AU1511" s="6"/>
      <c r="AV1511" s="6"/>
      <c r="AW1511" s="6"/>
      <c r="AX1511" s="6"/>
      <c r="AY1511" s="6"/>
      <c r="AZ1511" s="6"/>
      <c r="BA1511" s="6"/>
      <c r="BB1511" s="6"/>
      <c r="BC1511" s="6"/>
      <c r="BD1511" s="6"/>
      <c r="BE1511" s="6"/>
      <c r="BF1511" s="6"/>
      <c r="BG1511" s="6"/>
      <c r="BH1511" s="6"/>
      <c r="BI1511" s="6"/>
      <c r="BJ1511" s="6"/>
      <c r="BK1511" s="6"/>
      <c r="BL1511" s="6"/>
      <c r="BM1511" s="6"/>
      <c r="BN1511" s="6"/>
      <c r="BO1511" s="6"/>
      <c r="BP1511" s="6"/>
      <c r="BQ1511" s="6"/>
      <c r="BR1511" s="6"/>
      <c r="BS1511" s="6"/>
      <c r="BT1511" s="6"/>
      <c r="BU1511" s="6"/>
      <c r="BV1511" s="6"/>
      <c r="BW1511" s="6"/>
      <c r="BX1511" s="6"/>
      <c r="BY1511" s="6"/>
      <c r="BZ1511" s="6"/>
      <c r="CA1511" s="6"/>
      <c r="CB1511" s="6"/>
      <c r="CC1511" s="6"/>
    </row>
    <row r="1512" spans="2:81" x14ac:dyDescent="0.2">
      <c r="B1512" s="68"/>
      <c r="C1512" s="69"/>
      <c r="D1512" s="70"/>
      <c r="F1512" s="68"/>
      <c r="G1512" s="69"/>
      <c r="H1512" s="70"/>
      <c r="J1512" s="71"/>
      <c r="K1512" s="71"/>
      <c r="L1512" s="67"/>
      <c r="N1512" s="71"/>
      <c r="O1512" s="71"/>
      <c r="P1512" s="67"/>
      <c r="R1512" s="67"/>
      <c r="S1512" s="6"/>
      <c r="T1512" s="6"/>
      <c r="U1512" s="6"/>
      <c r="V1512" s="6"/>
      <c r="W1512" s="6"/>
      <c r="X1512" s="6"/>
      <c r="Y1512" s="6"/>
      <c r="Z1512" s="6"/>
      <c r="AA1512" s="6"/>
      <c r="AB1512" s="6"/>
      <c r="AC1512" s="6"/>
      <c r="AD1512" s="6"/>
      <c r="AE1512" s="6"/>
      <c r="AF1512" s="6"/>
      <c r="AG1512" s="6"/>
      <c r="AH1512" s="6"/>
      <c r="AI1512" s="6"/>
      <c r="AJ1512" s="6"/>
      <c r="AK1512" s="6"/>
      <c r="AL1512" s="6"/>
      <c r="AM1512" s="6"/>
      <c r="AN1512" s="6"/>
      <c r="AO1512" s="6"/>
      <c r="AP1512" s="6"/>
      <c r="AQ1512" s="6"/>
      <c r="AR1512" s="6"/>
      <c r="AS1512" s="6"/>
      <c r="AT1512" s="6"/>
      <c r="AU1512" s="6"/>
      <c r="AV1512" s="6"/>
      <c r="AW1512" s="6"/>
      <c r="AX1512" s="6"/>
      <c r="AY1512" s="6"/>
      <c r="AZ1512" s="6"/>
      <c r="BA1512" s="6"/>
      <c r="BB1512" s="6"/>
      <c r="BC1512" s="6"/>
      <c r="BD1512" s="6"/>
      <c r="BE1512" s="6"/>
      <c r="BF1512" s="6"/>
      <c r="BG1512" s="6"/>
      <c r="BH1512" s="6"/>
      <c r="BI1512" s="6"/>
      <c r="BJ1512" s="6"/>
      <c r="BK1512" s="6"/>
      <c r="BL1512" s="6"/>
      <c r="BM1512" s="6"/>
      <c r="BN1512" s="6"/>
      <c r="BO1512" s="6"/>
      <c r="BP1512" s="6"/>
      <c r="BQ1512" s="6"/>
      <c r="BR1512" s="6"/>
      <c r="BS1512" s="6"/>
      <c r="BT1512" s="6"/>
      <c r="BU1512" s="6"/>
      <c r="BV1512" s="6"/>
      <c r="BW1512" s="6"/>
      <c r="BX1512" s="6"/>
      <c r="BY1512" s="6"/>
      <c r="BZ1512" s="6"/>
      <c r="CA1512" s="6"/>
      <c r="CB1512" s="6"/>
      <c r="CC1512" s="6"/>
    </row>
    <row r="1513" spans="2:81" x14ac:dyDescent="0.2">
      <c r="B1513" s="68"/>
      <c r="C1513" s="69"/>
      <c r="D1513" s="70"/>
      <c r="F1513" s="68"/>
      <c r="G1513" s="69"/>
      <c r="H1513" s="70"/>
      <c r="J1513" s="71"/>
      <c r="K1513" s="71"/>
      <c r="L1513" s="67"/>
      <c r="N1513" s="71"/>
      <c r="O1513" s="71"/>
      <c r="P1513" s="67"/>
      <c r="R1513" s="67"/>
      <c r="S1513" s="6"/>
      <c r="T1513" s="6"/>
      <c r="U1513" s="6"/>
      <c r="V1513" s="6"/>
      <c r="W1513" s="6"/>
      <c r="X1513" s="6"/>
      <c r="Y1513" s="6"/>
      <c r="Z1513" s="6"/>
      <c r="AA1513" s="6"/>
      <c r="AB1513" s="6"/>
      <c r="AC1513" s="6"/>
      <c r="AD1513" s="6"/>
      <c r="AE1513" s="6"/>
      <c r="AF1513" s="6"/>
      <c r="AG1513" s="6"/>
      <c r="AH1513" s="6"/>
      <c r="AI1513" s="6"/>
      <c r="AJ1513" s="6"/>
      <c r="AK1513" s="6"/>
      <c r="AL1513" s="6"/>
      <c r="AM1513" s="6"/>
      <c r="AN1513" s="6"/>
      <c r="AO1513" s="6"/>
      <c r="AP1513" s="6"/>
      <c r="AQ1513" s="6"/>
      <c r="AR1513" s="6"/>
      <c r="AS1513" s="6"/>
      <c r="AT1513" s="6"/>
      <c r="AU1513" s="6"/>
      <c r="AV1513" s="6"/>
      <c r="AW1513" s="6"/>
      <c r="AX1513" s="6"/>
      <c r="AY1513" s="6"/>
      <c r="AZ1513" s="6"/>
      <c r="BA1513" s="6"/>
      <c r="BB1513" s="6"/>
      <c r="BC1513" s="6"/>
      <c r="BD1513" s="6"/>
      <c r="BE1513" s="6"/>
      <c r="BF1513" s="6"/>
      <c r="BG1513" s="6"/>
      <c r="BH1513" s="6"/>
      <c r="BI1513" s="6"/>
      <c r="BJ1513" s="6"/>
      <c r="BK1513" s="6"/>
      <c r="BL1513" s="6"/>
      <c r="BM1513" s="6"/>
      <c r="BN1513" s="6"/>
      <c r="BO1513" s="6"/>
      <c r="BP1513" s="6"/>
      <c r="BQ1513" s="6"/>
      <c r="BR1513" s="6"/>
      <c r="BS1513" s="6"/>
      <c r="BT1513" s="6"/>
      <c r="BU1513" s="6"/>
      <c r="BV1513" s="6"/>
      <c r="BW1513" s="6"/>
      <c r="BX1513" s="6"/>
      <c r="BY1513" s="6"/>
      <c r="BZ1513" s="6"/>
      <c r="CA1513" s="6"/>
      <c r="CB1513" s="6"/>
      <c r="CC1513" s="6"/>
    </row>
    <row r="1514" spans="2:81" x14ac:dyDescent="0.2">
      <c r="B1514" s="68"/>
      <c r="C1514" s="69"/>
      <c r="D1514" s="70"/>
      <c r="F1514" s="68"/>
      <c r="G1514" s="69"/>
      <c r="H1514" s="70"/>
      <c r="J1514" s="71"/>
      <c r="K1514" s="71"/>
      <c r="L1514" s="67"/>
      <c r="N1514" s="71"/>
      <c r="O1514" s="71"/>
      <c r="P1514" s="67"/>
      <c r="R1514" s="67"/>
      <c r="S1514" s="6"/>
      <c r="T1514" s="6"/>
      <c r="U1514" s="6"/>
      <c r="V1514" s="6"/>
      <c r="W1514" s="6"/>
      <c r="X1514" s="6"/>
      <c r="Y1514" s="6"/>
      <c r="Z1514" s="6"/>
      <c r="AA1514" s="6"/>
      <c r="AB1514" s="6"/>
      <c r="AC1514" s="6"/>
      <c r="AD1514" s="6"/>
      <c r="AE1514" s="6"/>
      <c r="AF1514" s="6"/>
      <c r="AG1514" s="6"/>
      <c r="AH1514" s="6"/>
      <c r="AI1514" s="6"/>
      <c r="AJ1514" s="6"/>
      <c r="AK1514" s="6"/>
      <c r="AL1514" s="6"/>
      <c r="AM1514" s="6"/>
      <c r="AN1514" s="6"/>
      <c r="AO1514" s="6"/>
      <c r="AP1514" s="6"/>
      <c r="AQ1514" s="6"/>
      <c r="AR1514" s="6"/>
      <c r="AS1514" s="6"/>
      <c r="AT1514" s="6"/>
      <c r="AU1514" s="6"/>
      <c r="AV1514" s="6"/>
      <c r="AW1514" s="6"/>
      <c r="AX1514" s="6"/>
      <c r="AY1514" s="6"/>
      <c r="AZ1514" s="6"/>
      <c r="BA1514" s="6"/>
      <c r="BB1514" s="6"/>
      <c r="BC1514" s="6"/>
      <c r="BD1514" s="6"/>
      <c r="BE1514" s="6"/>
      <c r="BF1514" s="6"/>
      <c r="BG1514" s="6"/>
      <c r="BH1514" s="6"/>
      <c r="BI1514" s="6"/>
      <c r="BJ1514" s="6"/>
      <c r="BK1514" s="6"/>
      <c r="BL1514" s="6"/>
      <c r="BM1514" s="6"/>
      <c r="BN1514" s="6"/>
      <c r="BO1514" s="6"/>
      <c r="BP1514" s="6"/>
      <c r="BQ1514" s="6"/>
      <c r="BR1514" s="6"/>
      <c r="BS1514" s="6"/>
      <c r="BT1514" s="6"/>
      <c r="BU1514" s="6"/>
      <c r="BV1514" s="6"/>
      <c r="BW1514" s="6"/>
      <c r="BX1514" s="6"/>
      <c r="BY1514" s="6"/>
      <c r="BZ1514" s="6"/>
      <c r="CA1514" s="6"/>
      <c r="CB1514" s="6"/>
      <c r="CC1514" s="6"/>
    </row>
    <row r="1515" spans="2:81" x14ac:dyDescent="0.2">
      <c r="B1515" s="68"/>
      <c r="C1515" s="69"/>
      <c r="D1515" s="70"/>
      <c r="F1515" s="68"/>
      <c r="G1515" s="69"/>
      <c r="H1515" s="70"/>
      <c r="J1515" s="71"/>
      <c r="K1515" s="71"/>
      <c r="L1515" s="67"/>
      <c r="N1515" s="71"/>
      <c r="O1515" s="71"/>
      <c r="P1515" s="67"/>
      <c r="R1515" s="67"/>
      <c r="S1515" s="6"/>
      <c r="T1515" s="6"/>
      <c r="U1515" s="6"/>
      <c r="V1515" s="6"/>
      <c r="W1515" s="6"/>
      <c r="X1515" s="6"/>
      <c r="Y1515" s="6"/>
      <c r="Z1515" s="6"/>
      <c r="AA1515" s="6"/>
      <c r="AB1515" s="6"/>
      <c r="AC1515" s="6"/>
      <c r="AD1515" s="6"/>
      <c r="AE1515" s="6"/>
      <c r="AF1515" s="6"/>
      <c r="AG1515" s="6"/>
      <c r="AH1515" s="6"/>
      <c r="AI1515" s="6"/>
      <c r="AJ1515" s="6"/>
      <c r="AK1515" s="6"/>
      <c r="AL1515" s="6"/>
      <c r="AM1515" s="6"/>
      <c r="AN1515" s="6"/>
      <c r="AO1515" s="6"/>
      <c r="AP1515" s="6"/>
      <c r="AQ1515" s="6"/>
      <c r="AR1515" s="6"/>
      <c r="AS1515" s="6"/>
      <c r="AT1515" s="6"/>
      <c r="AU1515" s="6"/>
      <c r="AV1515" s="6"/>
      <c r="AW1515" s="6"/>
      <c r="AX1515" s="6"/>
      <c r="AY1515" s="6"/>
      <c r="AZ1515" s="6"/>
      <c r="BA1515" s="6"/>
      <c r="BB1515" s="6"/>
      <c r="BC1515" s="6"/>
      <c r="BD1515" s="6"/>
      <c r="BE1515" s="6"/>
      <c r="BF1515" s="6"/>
      <c r="BG1515" s="6"/>
      <c r="BH1515" s="6"/>
      <c r="BI1515" s="6"/>
      <c r="BJ1515" s="6"/>
      <c r="BK1515" s="6"/>
      <c r="BL1515" s="6"/>
      <c r="BM1515" s="6"/>
      <c r="BN1515" s="6"/>
      <c r="BO1515" s="6"/>
      <c r="BP1515" s="6"/>
      <c r="BQ1515" s="6"/>
      <c r="BR1515" s="6"/>
      <c r="BS1515" s="6"/>
      <c r="BT1515" s="6"/>
      <c r="BU1515" s="6"/>
      <c r="BV1515" s="6"/>
      <c r="BW1515" s="6"/>
      <c r="BX1515" s="6"/>
      <c r="BY1515" s="6"/>
      <c r="BZ1515" s="6"/>
      <c r="CA1515" s="6"/>
      <c r="CB1515" s="6"/>
      <c r="CC1515" s="6"/>
    </row>
    <row r="1516" spans="2:81" x14ac:dyDescent="0.2">
      <c r="B1516" s="68"/>
      <c r="C1516" s="69"/>
      <c r="D1516" s="70"/>
      <c r="F1516" s="68"/>
      <c r="G1516" s="69"/>
      <c r="H1516" s="70"/>
      <c r="J1516" s="71"/>
      <c r="K1516" s="71"/>
      <c r="L1516" s="67"/>
      <c r="N1516" s="71"/>
      <c r="O1516" s="71"/>
      <c r="P1516" s="67"/>
      <c r="R1516" s="67"/>
      <c r="S1516" s="6"/>
      <c r="T1516" s="6"/>
      <c r="U1516" s="6"/>
      <c r="V1516" s="6"/>
      <c r="W1516" s="6"/>
      <c r="X1516" s="6"/>
      <c r="Y1516" s="6"/>
      <c r="Z1516" s="6"/>
      <c r="AA1516" s="6"/>
      <c r="AB1516" s="6"/>
      <c r="AC1516" s="6"/>
      <c r="AD1516" s="6"/>
      <c r="AE1516" s="6"/>
      <c r="AF1516" s="6"/>
      <c r="AG1516" s="6"/>
      <c r="AH1516" s="6"/>
      <c r="AI1516" s="6"/>
      <c r="AJ1516" s="6"/>
      <c r="AK1516" s="6"/>
      <c r="AL1516" s="6"/>
      <c r="AM1516" s="6"/>
      <c r="AN1516" s="6"/>
      <c r="AO1516" s="6"/>
      <c r="AP1516" s="6"/>
      <c r="AQ1516" s="6"/>
      <c r="AR1516" s="6"/>
      <c r="AS1516" s="6"/>
      <c r="AT1516" s="6"/>
      <c r="AU1516" s="6"/>
      <c r="AV1516" s="6"/>
      <c r="AW1516" s="6"/>
      <c r="AX1516" s="6"/>
      <c r="AY1516" s="6"/>
      <c r="AZ1516" s="6"/>
      <c r="BA1516" s="6"/>
      <c r="BB1516" s="6"/>
      <c r="BC1516" s="6"/>
      <c r="BD1516" s="6"/>
      <c r="BE1516" s="6"/>
      <c r="BF1516" s="6"/>
      <c r="BG1516" s="6"/>
      <c r="BH1516" s="6"/>
      <c r="BI1516" s="6"/>
      <c r="BJ1516" s="6"/>
      <c r="BK1516" s="6"/>
      <c r="BL1516" s="6"/>
      <c r="BM1516" s="6"/>
      <c r="BN1516" s="6"/>
      <c r="BO1516" s="6"/>
      <c r="BP1516" s="6"/>
      <c r="BQ1516" s="6"/>
      <c r="BR1516" s="6"/>
      <c r="BS1516" s="6"/>
      <c r="BT1516" s="6"/>
      <c r="BU1516" s="6"/>
      <c r="BV1516" s="6"/>
      <c r="BW1516" s="6"/>
      <c r="BX1516" s="6"/>
      <c r="BY1516" s="6"/>
      <c r="BZ1516" s="6"/>
      <c r="CA1516" s="6"/>
      <c r="CB1516" s="6"/>
      <c r="CC1516" s="6"/>
    </row>
    <row r="1517" spans="2:81" x14ac:dyDescent="0.2">
      <c r="B1517" s="68"/>
      <c r="C1517" s="69"/>
      <c r="D1517" s="70"/>
      <c r="F1517" s="68"/>
      <c r="G1517" s="69"/>
      <c r="H1517" s="70"/>
      <c r="J1517" s="71"/>
      <c r="K1517" s="71"/>
      <c r="L1517" s="67"/>
      <c r="N1517" s="71"/>
      <c r="O1517" s="71"/>
      <c r="P1517" s="67"/>
      <c r="R1517" s="67"/>
      <c r="S1517" s="6"/>
      <c r="T1517" s="6"/>
      <c r="U1517" s="6"/>
      <c r="V1517" s="6"/>
      <c r="W1517" s="6"/>
      <c r="X1517" s="6"/>
      <c r="Y1517" s="6"/>
      <c r="Z1517" s="6"/>
      <c r="AA1517" s="6"/>
      <c r="AB1517" s="6"/>
      <c r="AC1517" s="6"/>
      <c r="AD1517" s="6"/>
      <c r="AE1517" s="6"/>
      <c r="AF1517" s="6"/>
      <c r="AG1517" s="6"/>
      <c r="AH1517" s="6"/>
      <c r="AI1517" s="6"/>
      <c r="AJ1517" s="6"/>
      <c r="AK1517" s="6"/>
      <c r="AL1517" s="6"/>
      <c r="AM1517" s="6"/>
      <c r="AN1517" s="6"/>
      <c r="AO1517" s="6"/>
      <c r="AP1517" s="6"/>
      <c r="AQ1517" s="6"/>
      <c r="AR1517" s="6"/>
      <c r="AS1517" s="6"/>
      <c r="AT1517" s="6"/>
      <c r="AU1517" s="6"/>
      <c r="AV1517" s="6"/>
      <c r="AW1517" s="6"/>
      <c r="AX1517" s="6"/>
      <c r="AY1517" s="6"/>
      <c r="AZ1517" s="6"/>
      <c r="BA1517" s="6"/>
      <c r="BB1517" s="6"/>
      <c r="BC1517" s="6"/>
      <c r="BD1517" s="6"/>
      <c r="BE1517" s="6"/>
      <c r="BF1517" s="6"/>
      <c r="BG1517" s="6"/>
      <c r="BH1517" s="6"/>
      <c r="BI1517" s="6"/>
      <c r="BJ1517" s="6"/>
      <c r="BK1517" s="6"/>
      <c r="BL1517" s="6"/>
      <c r="BM1517" s="6"/>
      <c r="BN1517" s="6"/>
      <c r="BO1517" s="6"/>
      <c r="BP1517" s="6"/>
      <c r="BQ1517" s="6"/>
      <c r="BR1517" s="6"/>
      <c r="BS1517" s="6"/>
      <c r="BT1517" s="6"/>
      <c r="BU1517" s="6"/>
      <c r="BV1517" s="6"/>
      <c r="BW1517" s="6"/>
      <c r="BX1517" s="6"/>
      <c r="BY1517" s="6"/>
      <c r="BZ1517" s="6"/>
      <c r="CA1517" s="6"/>
      <c r="CB1517" s="6"/>
      <c r="CC1517" s="6"/>
    </row>
    <row r="1518" spans="2:81" x14ac:dyDescent="0.2">
      <c r="B1518" s="68"/>
      <c r="C1518" s="69"/>
      <c r="D1518" s="70"/>
      <c r="F1518" s="68"/>
      <c r="G1518" s="69"/>
      <c r="H1518" s="70"/>
      <c r="J1518" s="71"/>
      <c r="K1518" s="71"/>
      <c r="L1518" s="67"/>
      <c r="N1518" s="71"/>
      <c r="O1518" s="71"/>
      <c r="P1518" s="67"/>
      <c r="R1518" s="67"/>
      <c r="S1518" s="6"/>
      <c r="T1518" s="6"/>
      <c r="U1518" s="6"/>
      <c r="V1518" s="6"/>
      <c r="W1518" s="6"/>
      <c r="X1518" s="6"/>
      <c r="Y1518" s="6"/>
      <c r="Z1518" s="6"/>
      <c r="AA1518" s="6"/>
      <c r="AB1518" s="6"/>
      <c r="AC1518" s="6"/>
      <c r="AD1518" s="6"/>
      <c r="AE1518" s="6"/>
      <c r="AF1518" s="6"/>
      <c r="AG1518" s="6"/>
      <c r="AH1518" s="6"/>
      <c r="AI1518" s="6"/>
      <c r="AJ1518" s="6"/>
      <c r="AK1518" s="6"/>
      <c r="AL1518" s="6"/>
      <c r="AM1518" s="6"/>
      <c r="AN1518" s="6"/>
      <c r="AO1518" s="6"/>
      <c r="AP1518" s="6"/>
      <c r="AQ1518" s="6"/>
      <c r="AR1518" s="6"/>
      <c r="AS1518" s="6"/>
      <c r="AT1518" s="6"/>
      <c r="AU1518" s="6"/>
      <c r="AV1518" s="6"/>
      <c r="AW1518" s="6"/>
      <c r="AX1518" s="6"/>
      <c r="AY1518" s="6"/>
      <c r="AZ1518" s="6"/>
      <c r="BA1518" s="6"/>
      <c r="BB1518" s="6"/>
      <c r="BC1518" s="6"/>
      <c r="BD1518" s="6"/>
      <c r="BE1518" s="6"/>
      <c r="BF1518" s="6"/>
      <c r="BG1518" s="6"/>
      <c r="BH1518" s="6"/>
      <c r="BI1518" s="6"/>
      <c r="BJ1518" s="6"/>
      <c r="BK1518" s="6"/>
      <c r="BL1518" s="6"/>
      <c r="BM1518" s="6"/>
      <c r="BN1518" s="6"/>
      <c r="BO1518" s="6"/>
      <c r="BP1518" s="6"/>
      <c r="BQ1518" s="6"/>
      <c r="BR1518" s="6"/>
      <c r="BS1518" s="6"/>
      <c r="BT1518" s="6"/>
      <c r="BU1518" s="6"/>
      <c r="BV1518" s="6"/>
      <c r="BW1518" s="6"/>
      <c r="BX1518" s="6"/>
      <c r="BY1518" s="6"/>
      <c r="BZ1518" s="6"/>
      <c r="CA1518" s="6"/>
      <c r="CB1518" s="6"/>
      <c r="CC1518" s="6"/>
    </row>
    <row r="1519" spans="2:81" x14ac:dyDescent="0.2">
      <c r="B1519" s="68"/>
      <c r="C1519" s="69"/>
      <c r="D1519" s="70"/>
      <c r="F1519" s="68"/>
      <c r="G1519" s="69"/>
      <c r="H1519" s="70"/>
      <c r="J1519" s="71"/>
      <c r="K1519" s="71"/>
      <c r="L1519" s="67"/>
      <c r="N1519" s="71"/>
      <c r="O1519" s="71"/>
      <c r="P1519" s="67"/>
      <c r="R1519" s="67"/>
      <c r="S1519" s="6"/>
      <c r="T1519" s="6"/>
      <c r="U1519" s="6"/>
      <c r="V1519" s="6"/>
      <c r="W1519" s="6"/>
      <c r="X1519" s="6"/>
      <c r="Y1519" s="6"/>
      <c r="Z1519" s="6"/>
      <c r="AA1519" s="6"/>
      <c r="AB1519" s="6"/>
      <c r="AC1519" s="6"/>
      <c r="AD1519" s="6"/>
      <c r="AE1519" s="6"/>
      <c r="AF1519" s="6"/>
      <c r="AG1519" s="6"/>
      <c r="AH1519" s="6"/>
      <c r="AI1519" s="6"/>
      <c r="AJ1519" s="6"/>
      <c r="AK1519" s="6"/>
      <c r="AL1519" s="6"/>
      <c r="AM1519" s="6"/>
      <c r="AN1519" s="6"/>
      <c r="AO1519" s="6"/>
      <c r="AP1519" s="6"/>
      <c r="AQ1519" s="6"/>
      <c r="AR1519" s="6"/>
      <c r="AS1519" s="6"/>
      <c r="AT1519" s="6"/>
      <c r="AU1519" s="6"/>
      <c r="AV1519" s="6"/>
      <c r="AW1519" s="6"/>
      <c r="AX1519" s="6"/>
      <c r="AY1519" s="6"/>
      <c r="AZ1519" s="6"/>
      <c r="BA1519" s="6"/>
      <c r="BB1519" s="6"/>
      <c r="BC1519" s="6"/>
      <c r="BD1519" s="6"/>
      <c r="BE1519" s="6"/>
      <c r="BF1519" s="6"/>
      <c r="BG1519" s="6"/>
      <c r="BH1519" s="6"/>
      <c r="BI1519" s="6"/>
      <c r="BJ1519" s="6"/>
      <c r="BK1519" s="6"/>
      <c r="BL1519" s="6"/>
      <c r="BM1519" s="6"/>
      <c r="BN1519" s="6"/>
      <c r="BO1519" s="6"/>
      <c r="BP1519" s="6"/>
      <c r="BQ1519" s="6"/>
      <c r="BR1519" s="6"/>
      <c r="BS1519" s="6"/>
      <c r="BT1519" s="6"/>
      <c r="BU1519" s="6"/>
      <c r="BV1519" s="6"/>
      <c r="BW1519" s="6"/>
      <c r="BX1519" s="6"/>
      <c r="BY1519" s="6"/>
      <c r="BZ1519" s="6"/>
      <c r="CA1519" s="6"/>
      <c r="CB1519" s="6"/>
      <c r="CC1519" s="6"/>
    </row>
    <row r="1520" spans="2:81" x14ac:dyDescent="0.2">
      <c r="B1520" s="68"/>
      <c r="C1520" s="69"/>
      <c r="D1520" s="70"/>
      <c r="F1520" s="68"/>
      <c r="G1520" s="69"/>
      <c r="H1520" s="70"/>
      <c r="J1520" s="71"/>
      <c r="K1520" s="71"/>
      <c r="L1520" s="67"/>
      <c r="N1520" s="71"/>
      <c r="O1520" s="71"/>
      <c r="P1520" s="67"/>
      <c r="R1520" s="67"/>
      <c r="S1520" s="6"/>
      <c r="T1520" s="6"/>
      <c r="U1520" s="6"/>
      <c r="V1520" s="6"/>
      <c r="W1520" s="6"/>
      <c r="X1520" s="6"/>
      <c r="Y1520" s="6"/>
      <c r="Z1520" s="6"/>
      <c r="AA1520" s="6"/>
      <c r="AB1520" s="6"/>
      <c r="AC1520" s="6"/>
      <c r="AD1520" s="6"/>
      <c r="AE1520" s="6"/>
      <c r="AF1520" s="6"/>
      <c r="AG1520" s="6"/>
      <c r="AH1520" s="6"/>
      <c r="AI1520" s="6"/>
      <c r="AJ1520" s="6"/>
      <c r="AK1520" s="6"/>
      <c r="AL1520" s="6"/>
      <c r="AM1520" s="6"/>
      <c r="AN1520" s="6"/>
      <c r="AO1520" s="6"/>
      <c r="AP1520" s="6"/>
      <c r="AQ1520" s="6"/>
      <c r="AR1520" s="6"/>
      <c r="AS1520" s="6"/>
      <c r="AT1520" s="6"/>
      <c r="AU1520" s="6"/>
      <c r="AV1520" s="6"/>
      <c r="AW1520" s="6"/>
      <c r="AX1520" s="6"/>
      <c r="AY1520" s="6"/>
      <c r="AZ1520" s="6"/>
      <c r="BA1520" s="6"/>
      <c r="BB1520" s="6"/>
      <c r="BC1520" s="6"/>
      <c r="BD1520" s="6"/>
      <c r="BE1520" s="6"/>
      <c r="BF1520" s="6"/>
      <c r="BG1520" s="6"/>
      <c r="BH1520" s="6"/>
      <c r="BI1520" s="6"/>
      <c r="BJ1520" s="6"/>
      <c r="BK1520" s="6"/>
      <c r="BL1520" s="6"/>
      <c r="BM1520" s="6"/>
      <c r="BN1520" s="6"/>
      <c r="BO1520" s="6"/>
      <c r="BP1520" s="6"/>
      <c r="BQ1520" s="6"/>
      <c r="BR1520" s="6"/>
      <c r="BS1520" s="6"/>
      <c r="BT1520" s="6"/>
      <c r="BU1520" s="6"/>
      <c r="BV1520" s="6"/>
      <c r="BW1520" s="6"/>
      <c r="BX1520" s="6"/>
      <c r="BY1520" s="6"/>
      <c r="BZ1520" s="6"/>
      <c r="CA1520" s="6"/>
      <c r="CB1520" s="6"/>
      <c r="CC1520" s="6"/>
    </row>
    <row r="1521" spans="2:81" x14ac:dyDescent="0.2">
      <c r="B1521" s="68"/>
      <c r="C1521" s="69"/>
      <c r="D1521" s="70"/>
      <c r="F1521" s="68"/>
      <c r="G1521" s="69"/>
      <c r="H1521" s="70"/>
      <c r="J1521" s="71"/>
      <c r="K1521" s="71"/>
      <c r="L1521" s="67"/>
      <c r="N1521" s="71"/>
      <c r="O1521" s="71"/>
      <c r="P1521" s="67"/>
      <c r="R1521" s="67"/>
      <c r="S1521" s="6"/>
      <c r="T1521" s="6"/>
      <c r="U1521" s="6"/>
      <c r="V1521" s="6"/>
      <c r="W1521" s="6"/>
      <c r="X1521" s="6"/>
      <c r="Y1521" s="6"/>
      <c r="Z1521" s="6"/>
      <c r="AA1521" s="6"/>
      <c r="AB1521" s="6"/>
      <c r="AC1521" s="6"/>
      <c r="AD1521" s="6"/>
      <c r="AE1521" s="6"/>
      <c r="AF1521" s="6"/>
      <c r="AG1521" s="6"/>
      <c r="AH1521" s="6"/>
      <c r="AI1521" s="6"/>
      <c r="AJ1521" s="6"/>
      <c r="AK1521" s="6"/>
      <c r="AL1521" s="6"/>
      <c r="AM1521" s="6"/>
      <c r="AN1521" s="6"/>
      <c r="AO1521" s="6"/>
      <c r="AP1521" s="6"/>
      <c r="AQ1521" s="6"/>
      <c r="AR1521" s="6"/>
      <c r="AS1521" s="6"/>
      <c r="AT1521" s="6"/>
      <c r="AU1521" s="6"/>
      <c r="AV1521" s="6"/>
      <c r="AW1521" s="6"/>
      <c r="AX1521" s="6"/>
      <c r="AY1521" s="6"/>
      <c r="AZ1521" s="6"/>
      <c r="BA1521" s="6"/>
      <c r="BB1521" s="6"/>
      <c r="BC1521" s="6"/>
      <c r="BD1521" s="6"/>
      <c r="BE1521" s="6"/>
      <c r="BF1521" s="6"/>
      <c r="BG1521" s="6"/>
      <c r="BH1521" s="6"/>
      <c r="BI1521" s="6"/>
      <c r="BJ1521" s="6"/>
      <c r="BK1521" s="6"/>
      <c r="BL1521" s="6"/>
      <c r="BM1521" s="6"/>
      <c r="BN1521" s="6"/>
      <c r="BO1521" s="6"/>
      <c r="BP1521" s="6"/>
      <c r="BQ1521" s="6"/>
      <c r="BR1521" s="6"/>
      <c r="BS1521" s="6"/>
      <c r="BT1521" s="6"/>
      <c r="BU1521" s="6"/>
      <c r="BV1521" s="6"/>
      <c r="BW1521" s="6"/>
      <c r="BX1521" s="6"/>
      <c r="BY1521" s="6"/>
      <c r="BZ1521" s="6"/>
      <c r="CA1521" s="6"/>
      <c r="CB1521" s="6"/>
      <c r="CC1521" s="6"/>
    </row>
    <row r="1522" spans="2:81" x14ac:dyDescent="0.2">
      <c r="B1522" s="68"/>
      <c r="C1522" s="69"/>
      <c r="D1522" s="70"/>
      <c r="F1522" s="68"/>
      <c r="G1522" s="69"/>
      <c r="H1522" s="70"/>
      <c r="J1522" s="71"/>
      <c r="K1522" s="71"/>
      <c r="L1522" s="67"/>
      <c r="N1522" s="71"/>
      <c r="O1522" s="71"/>
      <c r="P1522" s="67"/>
      <c r="R1522" s="67"/>
      <c r="S1522" s="6"/>
      <c r="T1522" s="6"/>
      <c r="U1522" s="6"/>
      <c r="V1522" s="6"/>
      <c r="W1522" s="6"/>
      <c r="X1522" s="6"/>
      <c r="Y1522" s="6"/>
      <c r="Z1522" s="6"/>
      <c r="AA1522" s="6"/>
      <c r="AB1522" s="6"/>
      <c r="AC1522" s="6"/>
      <c r="AD1522" s="6"/>
      <c r="AE1522" s="6"/>
      <c r="AF1522" s="6"/>
      <c r="AG1522" s="6"/>
      <c r="AH1522" s="6"/>
      <c r="AI1522" s="6"/>
      <c r="AJ1522" s="6"/>
      <c r="AK1522" s="6"/>
      <c r="AL1522" s="6"/>
      <c r="AM1522" s="6"/>
      <c r="AN1522" s="6"/>
      <c r="AO1522" s="6"/>
      <c r="AP1522" s="6"/>
      <c r="AQ1522" s="6"/>
      <c r="AR1522" s="6"/>
      <c r="AS1522" s="6"/>
      <c r="AT1522" s="6"/>
      <c r="AU1522" s="6"/>
      <c r="AV1522" s="6"/>
      <c r="AW1522" s="6"/>
      <c r="AX1522" s="6"/>
      <c r="AY1522" s="6"/>
      <c r="AZ1522" s="6"/>
      <c r="BA1522" s="6"/>
      <c r="BB1522" s="6"/>
      <c r="BC1522" s="6"/>
      <c r="BD1522" s="6"/>
      <c r="BE1522" s="6"/>
      <c r="BF1522" s="6"/>
      <c r="BG1522" s="6"/>
      <c r="BH1522" s="6"/>
      <c r="BI1522" s="6"/>
      <c r="BJ1522" s="6"/>
      <c r="BK1522" s="6"/>
      <c r="BL1522" s="6"/>
      <c r="BM1522" s="6"/>
      <c r="BN1522" s="6"/>
      <c r="BO1522" s="6"/>
      <c r="BP1522" s="6"/>
      <c r="BQ1522" s="6"/>
      <c r="BR1522" s="6"/>
      <c r="BS1522" s="6"/>
      <c r="BT1522" s="6"/>
      <c r="BU1522" s="6"/>
      <c r="BV1522" s="6"/>
      <c r="BW1522" s="6"/>
      <c r="BX1522" s="6"/>
      <c r="BY1522" s="6"/>
      <c r="BZ1522" s="6"/>
      <c r="CA1522" s="6"/>
      <c r="CB1522" s="6"/>
      <c r="CC1522" s="6"/>
    </row>
    <row r="1523" spans="2:81" x14ac:dyDescent="0.2">
      <c r="B1523" s="68"/>
      <c r="C1523" s="69"/>
      <c r="D1523" s="70"/>
      <c r="F1523" s="68"/>
      <c r="G1523" s="69"/>
      <c r="H1523" s="70"/>
      <c r="J1523" s="71"/>
      <c r="K1523" s="71"/>
      <c r="L1523" s="67"/>
      <c r="N1523" s="71"/>
      <c r="O1523" s="71"/>
      <c r="P1523" s="67"/>
      <c r="R1523" s="67"/>
      <c r="S1523" s="6"/>
      <c r="T1523" s="6"/>
      <c r="U1523" s="6"/>
      <c r="V1523" s="6"/>
      <c r="W1523" s="6"/>
      <c r="X1523" s="6"/>
      <c r="Y1523" s="6"/>
      <c r="Z1523" s="6"/>
      <c r="AA1523" s="6"/>
      <c r="AB1523" s="6"/>
      <c r="AC1523" s="6"/>
      <c r="AD1523" s="6"/>
      <c r="AE1523" s="6"/>
      <c r="AF1523" s="6"/>
      <c r="AG1523" s="6"/>
      <c r="AH1523" s="6"/>
      <c r="AI1523" s="6"/>
      <c r="AJ1523" s="6"/>
      <c r="AK1523" s="6"/>
      <c r="AL1523" s="6"/>
      <c r="AM1523" s="6"/>
      <c r="AN1523" s="6"/>
      <c r="AO1523" s="6"/>
      <c r="AP1523" s="6"/>
      <c r="AQ1523" s="6"/>
      <c r="AR1523" s="6"/>
      <c r="AS1523" s="6"/>
      <c r="AT1523" s="6"/>
      <c r="AU1523" s="6"/>
      <c r="AV1523" s="6"/>
      <c r="AW1523" s="6"/>
      <c r="AX1523" s="6"/>
      <c r="AY1523" s="6"/>
      <c r="AZ1523" s="6"/>
      <c r="BA1523" s="6"/>
      <c r="BB1523" s="6"/>
      <c r="BC1523" s="6"/>
      <c r="BD1523" s="6"/>
      <c r="BE1523" s="6"/>
      <c r="BF1523" s="6"/>
      <c r="BG1523" s="6"/>
      <c r="BH1523" s="6"/>
      <c r="BI1523" s="6"/>
      <c r="BJ1523" s="6"/>
      <c r="BK1523" s="6"/>
      <c r="BL1523" s="6"/>
      <c r="BM1523" s="6"/>
      <c r="BN1523" s="6"/>
      <c r="BO1523" s="6"/>
      <c r="BP1523" s="6"/>
      <c r="BQ1523" s="6"/>
      <c r="BR1523" s="6"/>
      <c r="BS1523" s="6"/>
      <c r="BT1523" s="6"/>
      <c r="BU1523" s="6"/>
      <c r="BV1523" s="6"/>
      <c r="BW1523" s="6"/>
      <c r="BX1523" s="6"/>
      <c r="BY1523" s="6"/>
      <c r="BZ1523" s="6"/>
      <c r="CA1523" s="6"/>
      <c r="CB1523" s="6"/>
      <c r="CC1523" s="6"/>
    </row>
    <row r="1524" spans="2:81" x14ac:dyDescent="0.2">
      <c r="B1524" s="68"/>
      <c r="C1524" s="69"/>
      <c r="D1524" s="70"/>
      <c r="F1524" s="68"/>
      <c r="G1524" s="69"/>
      <c r="H1524" s="70"/>
      <c r="J1524" s="71"/>
      <c r="K1524" s="71"/>
      <c r="L1524" s="67"/>
      <c r="N1524" s="71"/>
      <c r="O1524" s="71"/>
      <c r="P1524" s="67"/>
      <c r="R1524" s="67"/>
      <c r="S1524" s="6"/>
      <c r="T1524" s="6"/>
      <c r="U1524" s="6"/>
      <c r="V1524" s="6"/>
      <c r="W1524" s="6"/>
      <c r="X1524" s="6"/>
      <c r="Y1524" s="6"/>
      <c r="Z1524" s="6"/>
      <c r="AA1524" s="6"/>
      <c r="AB1524" s="6"/>
      <c r="AC1524" s="6"/>
      <c r="AD1524" s="6"/>
      <c r="AE1524" s="6"/>
      <c r="AF1524" s="6"/>
      <c r="AG1524" s="6"/>
      <c r="AH1524" s="6"/>
      <c r="AI1524" s="6"/>
      <c r="AJ1524" s="6"/>
      <c r="AK1524" s="6"/>
      <c r="AL1524" s="6"/>
      <c r="AM1524" s="6"/>
      <c r="AN1524" s="6"/>
      <c r="AO1524" s="6"/>
      <c r="AP1524" s="6"/>
      <c r="AQ1524" s="6"/>
      <c r="AR1524" s="6"/>
      <c r="AS1524" s="6"/>
      <c r="AT1524" s="6"/>
      <c r="AU1524" s="6"/>
      <c r="AV1524" s="6"/>
      <c r="AW1524" s="6"/>
      <c r="AX1524" s="6"/>
      <c r="AY1524" s="6"/>
      <c r="AZ1524" s="6"/>
      <c r="BA1524" s="6"/>
      <c r="BB1524" s="6"/>
      <c r="BC1524" s="6"/>
      <c r="BD1524" s="6"/>
      <c r="BE1524" s="6"/>
      <c r="BF1524" s="6"/>
      <c r="BG1524" s="6"/>
      <c r="BH1524" s="6"/>
      <c r="BI1524" s="6"/>
      <c r="BJ1524" s="6"/>
      <c r="BK1524" s="6"/>
      <c r="BL1524" s="6"/>
      <c r="BM1524" s="6"/>
      <c r="BN1524" s="6"/>
      <c r="BO1524" s="6"/>
      <c r="BP1524" s="6"/>
      <c r="BQ1524" s="6"/>
      <c r="BR1524" s="6"/>
      <c r="BS1524" s="6"/>
      <c r="BT1524" s="6"/>
      <c r="BU1524" s="6"/>
      <c r="BV1524" s="6"/>
      <c r="BW1524" s="6"/>
      <c r="BX1524" s="6"/>
      <c r="BY1524" s="6"/>
      <c r="BZ1524" s="6"/>
      <c r="CA1524" s="6"/>
      <c r="CB1524" s="6"/>
      <c r="CC1524" s="6"/>
    </row>
    <row r="1525" spans="2:81" x14ac:dyDescent="0.2">
      <c r="B1525" s="68"/>
      <c r="C1525" s="69"/>
      <c r="D1525" s="70"/>
      <c r="F1525" s="68"/>
      <c r="G1525" s="69"/>
      <c r="H1525" s="70"/>
      <c r="J1525" s="71"/>
      <c r="K1525" s="71"/>
      <c r="L1525" s="67"/>
      <c r="N1525" s="71"/>
      <c r="O1525" s="71"/>
      <c r="P1525" s="67"/>
      <c r="R1525" s="67"/>
      <c r="S1525" s="6"/>
      <c r="T1525" s="6"/>
      <c r="U1525" s="6"/>
      <c r="V1525" s="6"/>
      <c r="W1525" s="6"/>
      <c r="X1525" s="6"/>
      <c r="Y1525" s="6"/>
      <c r="Z1525" s="6"/>
      <c r="AA1525" s="6"/>
      <c r="AB1525" s="6"/>
      <c r="AC1525" s="6"/>
      <c r="AD1525" s="6"/>
      <c r="AE1525" s="6"/>
      <c r="AF1525" s="6"/>
      <c r="AG1525" s="6"/>
      <c r="AH1525" s="6"/>
      <c r="AI1525" s="6"/>
      <c r="AJ1525" s="6"/>
      <c r="AK1525" s="6"/>
      <c r="AL1525" s="6"/>
      <c r="AM1525" s="6"/>
      <c r="AN1525" s="6"/>
      <c r="AO1525" s="6"/>
      <c r="AP1525" s="6"/>
      <c r="AQ1525" s="6"/>
      <c r="AR1525" s="6"/>
      <c r="AS1525" s="6"/>
      <c r="AT1525" s="6"/>
      <c r="AU1525" s="6"/>
      <c r="AV1525" s="6"/>
      <c r="AW1525" s="6"/>
      <c r="AX1525" s="6"/>
      <c r="AY1525" s="6"/>
      <c r="AZ1525" s="6"/>
      <c r="BA1525" s="6"/>
      <c r="BB1525" s="6"/>
      <c r="BC1525" s="6"/>
      <c r="BD1525" s="6"/>
      <c r="BE1525" s="6"/>
      <c r="BF1525" s="6"/>
      <c r="BG1525" s="6"/>
      <c r="BH1525" s="6"/>
      <c r="BI1525" s="6"/>
      <c r="BJ1525" s="6"/>
      <c r="BK1525" s="6"/>
      <c r="BL1525" s="6"/>
      <c r="BM1525" s="6"/>
      <c r="BN1525" s="6"/>
      <c r="BO1525" s="6"/>
      <c r="BP1525" s="6"/>
      <c r="BQ1525" s="6"/>
      <c r="BR1525" s="6"/>
      <c r="BS1525" s="6"/>
      <c r="BT1525" s="6"/>
      <c r="BU1525" s="6"/>
      <c r="BV1525" s="6"/>
      <c r="BW1525" s="6"/>
      <c r="BX1525" s="6"/>
      <c r="BY1525" s="6"/>
      <c r="BZ1525" s="6"/>
      <c r="CA1525" s="6"/>
      <c r="CB1525" s="6"/>
      <c r="CC1525" s="6"/>
    </row>
    <row r="1526" spans="2:81" x14ac:dyDescent="0.2">
      <c r="B1526" s="68"/>
      <c r="C1526" s="69"/>
      <c r="D1526" s="70"/>
      <c r="F1526" s="68"/>
      <c r="G1526" s="69"/>
      <c r="H1526" s="70"/>
      <c r="J1526" s="71"/>
      <c r="K1526" s="71"/>
      <c r="L1526" s="67"/>
      <c r="N1526" s="71"/>
      <c r="O1526" s="71"/>
      <c r="P1526" s="67"/>
      <c r="R1526" s="67"/>
      <c r="S1526" s="6"/>
      <c r="T1526" s="6"/>
      <c r="U1526" s="6"/>
      <c r="V1526" s="6"/>
      <c r="W1526" s="6"/>
      <c r="X1526" s="6"/>
      <c r="Y1526" s="6"/>
      <c r="Z1526" s="6"/>
      <c r="AA1526" s="6"/>
      <c r="AB1526" s="6"/>
      <c r="AC1526" s="6"/>
      <c r="AD1526" s="6"/>
      <c r="AE1526" s="6"/>
      <c r="AF1526" s="6"/>
      <c r="AG1526" s="6"/>
      <c r="AH1526" s="6"/>
      <c r="AI1526" s="6"/>
      <c r="AJ1526" s="6"/>
      <c r="AK1526" s="6"/>
      <c r="AL1526" s="6"/>
      <c r="AM1526" s="6"/>
      <c r="AN1526" s="6"/>
      <c r="AO1526" s="6"/>
      <c r="AP1526" s="6"/>
      <c r="AQ1526" s="6"/>
      <c r="AR1526" s="6"/>
      <c r="AS1526" s="6"/>
      <c r="AT1526" s="6"/>
      <c r="AU1526" s="6"/>
      <c r="AV1526" s="6"/>
      <c r="AW1526" s="6"/>
      <c r="AX1526" s="6"/>
      <c r="AY1526" s="6"/>
      <c r="AZ1526" s="6"/>
      <c r="BA1526" s="6"/>
      <c r="BB1526" s="6"/>
      <c r="BC1526" s="6"/>
      <c r="BD1526" s="6"/>
      <c r="BE1526" s="6"/>
      <c r="BF1526" s="6"/>
      <c r="BG1526" s="6"/>
      <c r="BH1526" s="6"/>
      <c r="BI1526" s="6"/>
      <c r="BJ1526" s="6"/>
      <c r="BK1526" s="6"/>
      <c r="BL1526" s="6"/>
      <c r="BM1526" s="6"/>
      <c r="BN1526" s="6"/>
      <c r="BO1526" s="6"/>
      <c r="BP1526" s="6"/>
      <c r="BQ1526" s="6"/>
      <c r="BR1526" s="6"/>
      <c r="BS1526" s="6"/>
      <c r="BT1526" s="6"/>
      <c r="BU1526" s="6"/>
      <c r="BV1526" s="6"/>
      <c r="BW1526" s="6"/>
      <c r="BX1526" s="6"/>
      <c r="BY1526" s="6"/>
      <c r="BZ1526" s="6"/>
      <c r="CA1526" s="6"/>
      <c r="CB1526" s="6"/>
      <c r="CC1526" s="6"/>
    </row>
    <row r="1527" spans="2:81" x14ac:dyDescent="0.2">
      <c r="B1527" s="68"/>
      <c r="C1527" s="69"/>
      <c r="D1527" s="70"/>
      <c r="F1527" s="68"/>
      <c r="G1527" s="69"/>
      <c r="H1527" s="70"/>
      <c r="J1527" s="71"/>
      <c r="K1527" s="71"/>
      <c r="L1527" s="67"/>
      <c r="N1527" s="71"/>
      <c r="O1527" s="71"/>
      <c r="P1527" s="67"/>
      <c r="R1527" s="67"/>
      <c r="S1527" s="6"/>
      <c r="T1527" s="6"/>
      <c r="U1527" s="6"/>
      <c r="V1527" s="6"/>
      <c r="W1527" s="6"/>
      <c r="X1527" s="6"/>
      <c r="Y1527" s="6"/>
      <c r="Z1527" s="6"/>
      <c r="AA1527" s="6"/>
      <c r="AB1527" s="6"/>
      <c r="AC1527" s="6"/>
      <c r="AD1527" s="6"/>
      <c r="AE1527" s="6"/>
      <c r="AF1527" s="6"/>
      <c r="AG1527" s="6"/>
      <c r="AH1527" s="6"/>
      <c r="AI1527" s="6"/>
      <c r="AJ1527" s="6"/>
      <c r="AK1527" s="6"/>
      <c r="AL1527" s="6"/>
      <c r="AM1527" s="6"/>
      <c r="AN1527" s="6"/>
      <c r="AO1527" s="6"/>
      <c r="AP1527" s="6"/>
      <c r="AQ1527" s="6"/>
      <c r="AR1527" s="6"/>
      <c r="AS1527" s="6"/>
      <c r="AT1527" s="6"/>
      <c r="AU1527" s="6"/>
      <c r="AV1527" s="6"/>
      <c r="AW1527" s="6"/>
      <c r="AX1527" s="6"/>
      <c r="AY1527" s="6"/>
      <c r="AZ1527" s="6"/>
      <c r="BA1527" s="6"/>
      <c r="BB1527" s="6"/>
      <c r="BC1527" s="6"/>
      <c r="BD1527" s="6"/>
      <c r="BE1527" s="6"/>
      <c r="BF1527" s="6"/>
      <c r="BG1527" s="6"/>
      <c r="BH1527" s="6"/>
      <c r="BI1527" s="6"/>
      <c r="BJ1527" s="6"/>
      <c r="BK1527" s="6"/>
      <c r="BL1527" s="6"/>
      <c r="BM1527" s="6"/>
      <c r="BN1527" s="6"/>
      <c r="BO1527" s="6"/>
      <c r="BP1527" s="6"/>
      <c r="BQ1527" s="6"/>
      <c r="BR1527" s="6"/>
      <c r="BS1527" s="6"/>
      <c r="BT1527" s="6"/>
      <c r="BU1527" s="6"/>
      <c r="BV1527" s="6"/>
      <c r="BW1527" s="6"/>
      <c r="BX1527" s="6"/>
      <c r="BY1527" s="6"/>
      <c r="BZ1527" s="6"/>
      <c r="CA1527" s="6"/>
      <c r="CB1527" s="6"/>
      <c r="CC1527" s="6"/>
    </row>
    <row r="1528" spans="2:81" x14ac:dyDescent="0.2">
      <c r="B1528" s="68"/>
      <c r="C1528" s="69"/>
      <c r="D1528" s="70"/>
      <c r="F1528" s="68"/>
      <c r="G1528" s="69"/>
      <c r="H1528" s="70"/>
      <c r="J1528" s="71"/>
      <c r="K1528" s="71"/>
      <c r="L1528" s="67"/>
      <c r="N1528" s="71"/>
      <c r="O1528" s="71"/>
      <c r="P1528" s="67"/>
      <c r="R1528" s="67"/>
      <c r="S1528" s="6"/>
      <c r="T1528" s="6"/>
      <c r="U1528" s="6"/>
      <c r="V1528" s="6"/>
      <c r="W1528" s="6"/>
      <c r="X1528" s="6"/>
      <c r="Y1528" s="6"/>
      <c r="Z1528" s="6"/>
      <c r="AA1528" s="6"/>
      <c r="AB1528" s="6"/>
      <c r="AC1528" s="6"/>
      <c r="AD1528" s="6"/>
      <c r="AE1528" s="6"/>
      <c r="AF1528" s="6"/>
      <c r="AG1528" s="6"/>
      <c r="AH1528" s="6"/>
      <c r="AI1528" s="6"/>
      <c r="AJ1528" s="6"/>
      <c r="AK1528" s="6"/>
      <c r="AL1528" s="6"/>
      <c r="AM1528" s="6"/>
      <c r="AN1528" s="6"/>
      <c r="AO1528" s="6"/>
      <c r="AP1528" s="6"/>
      <c r="AQ1528" s="6"/>
      <c r="AR1528" s="6"/>
      <c r="AS1528" s="6"/>
      <c r="AT1528" s="6"/>
      <c r="AU1528" s="6"/>
      <c r="AV1528" s="6"/>
      <c r="AW1528" s="6"/>
      <c r="AX1528" s="6"/>
      <c r="AY1528" s="6"/>
      <c r="AZ1528" s="6"/>
      <c r="BA1528" s="6"/>
      <c r="BB1528" s="6"/>
      <c r="BC1528" s="6"/>
      <c r="BD1528" s="6"/>
      <c r="BE1528" s="6"/>
      <c r="BF1528" s="6"/>
      <c r="BG1528" s="6"/>
      <c r="BH1528" s="6"/>
      <c r="BI1528" s="6"/>
      <c r="BJ1528" s="6"/>
      <c r="BK1528" s="6"/>
      <c r="BL1528" s="6"/>
      <c r="BM1528" s="6"/>
      <c r="BN1528" s="6"/>
      <c r="BO1528" s="6"/>
      <c r="BP1528" s="6"/>
      <c r="BQ1528" s="6"/>
      <c r="BR1528" s="6"/>
      <c r="BS1528" s="6"/>
      <c r="BT1528" s="6"/>
      <c r="BU1528" s="6"/>
      <c r="BV1528" s="6"/>
      <c r="BW1528" s="6"/>
      <c r="BX1528" s="6"/>
      <c r="BY1528" s="6"/>
      <c r="BZ1528" s="6"/>
      <c r="CA1528" s="6"/>
      <c r="CB1528" s="6"/>
      <c r="CC1528" s="6"/>
    </row>
    <row r="1529" spans="2:81" x14ac:dyDescent="0.2">
      <c r="B1529" s="68"/>
      <c r="C1529" s="69"/>
      <c r="D1529" s="70"/>
      <c r="F1529" s="68"/>
      <c r="G1529" s="69"/>
      <c r="H1529" s="70"/>
      <c r="J1529" s="71"/>
      <c r="K1529" s="71"/>
      <c r="L1529" s="67"/>
      <c r="N1529" s="71"/>
      <c r="O1529" s="71"/>
      <c r="P1529" s="67"/>
      <c r="R1529" s="67"/>
      <c r="S1529" s="6"/>
      <c r="T1529" s="6"/>
      <c r="U1529" s="6"/>
      <c r="V1529" s="6"/>
      <c r="W1529" s="6"/>
      <c r="X1529" s="6"/>
      <c r="Y1529" s="6"/>
      <c r="Z1529" s="6"/>
      <c r="AA1529" s="6"/>
      <c r="AB1529" s="6"/>
      <c r="AC1529" s="6"/>
      <c r="AD1529" s="6"/>
      <c r="AE1529" s="6"/>
      <c r="AF1529" s="6"/>
      <c r="AG1529" s="6"/>
      <c r="AH1529" s="6"/>
      <c r="AI1529" s="6"/>
      <c r="AJ1529" s="6"/>
      <c r="AK1529" s="6"/>
      <c r="AL1529" s="6"/>
      <c r="AM1529" s="6"/>
      <c r="AN1529" s="6"/>
      <c r="AO1529" s="6"/>
      <c r="AP1529" s="6"/>
      <c r="AQ1529" s="6"/>
      <c r="AR1529" s="6"/>
      <c r="AS1529" s="6"/>
      <c r="AT1529" s="6"/>
      <c r="AU1529" s="6"/>
      <c r="AV1529" s="6"/>
      <c r="AW1529" s="6"/>
      <c r="AX1529" s="6"/>
      <c r="AY1529" s="6"/>
      <c r="AZ1529" s="6"/>
      <c r="BA1529" s="6"/>
      <c r="BB1529" s="6"/>
      <c r="BC1529" s="6"/>
      <c r="BD1529" s="6"/>
      <c r="BE1529" s="6"/>
      <c r="BF1529" s="6"/>
      <c r="BG1529" s="6"/>
      <c r="BH1529" s="6"/>
      <c r="BI1529" s="6"/>
      <c r="BJ1529" s="6"/>
      <c r="BK1529" s="6"/>
      <c r="BL1529" s="6"/>
      <c r="BM1529" s="6"/>
      <c r="BN1529" s="6"/>
      <c r="BO1529" s="6"/>
      <c r="BP1529" s="6"/>
      <c r="BQ1529" s="6"/>
      <c r="BR1529" s="6"/>
      <c r="BS1529" s="6"/>
      <c r="BT1529" s="6"/>
      <c r="BU1529" s="6"/>
      <c r="BV1529" s="6"/>
      <c r="BW1529" s="6"/>
      <c r="BX1529" s="6"/>
      <c r="BY1529" s="6"/>
      <c r="BZ1529" s="6"/>
      <c r="CA1529" s="6"/>
      <c r="CB1529" s="6"/>
      <c r="CC1529" s="6"/>
    </row>
    <row r="1530" spans="2:81" x14ac:dyDescent="0.2">
      <c r="B1530" s="68"/>
      <c r="C1530" s="69"/>
      <c r="D1530" s="70"/>
      <c r="F1530" s="68"/>
      <c r="G1530" s="69"/>
      <c r="H1530" s="70"/>
      <c r="J1530" s="71"/>
      <c r="K1530" s="71"/>
      <c r="L1530" s="67"/>
      <c r="N1530" s="71"/>
      <c r="O1530" s="71"/>
      <c r="P1530" s="67"/>
      <c r="R1530" s="67"/>
      <c r="S1530" s="6"/>
      <c r="T1530" s="6"/>
      <c r="U1530" s="6"/>
      <c r="V1530" s="6"/>
      <c r="W1530" s="6"/>
      <c r="X1530" s="6"/>
      <c r="Y1530" s="6"/>
      <c r="Z1530" s="6"/>
      <c r="AA1530" s="6"/>
      <c r="AB1530" s="6"/>
      <c r="AC1530" s="6"/>
      <c r="AD1530" s="6"/>
      <c r="AE1530" s="6"/>
      <c r="AF1530" s="6"/>
      <c r="AG1530" s="6"/>
      <c r="AH1530" s="6"/>
      <c r="AI1530" s="6"/>
      <c r="AJ1530" s="6"/>
      <c r="AK1530" s="6"/>
      <c r="AL1530" s="6"/>
      <c r="AM1530" s="6"/>
      <c r="AN1530" s="6"/>
      <c r="AO1530" s="6"/>
      <c r="AP1530" s="6"/>
      <c r="AQ1530" s="6"/>
      <c r="AR1530" s="6"/>
      <c r="AS1530" s="6"/>
      <c r="AT1530" s="6"/>
      <c r="AU1530" s="6"/>
      <c r="AV1530" s="6"/>
      <c r="AW1530" s="6"/>
      <c r="AX1530" s="6"/>
      <c r="AY1530" s="6"/>
      <c r="AZ1530" s="6"/>
      <c r="BA1530" s="6"/>
      <c r="BB1530" s="6"/>
      <c r="BC1530" s="6"/>
      <c r="BD1530" s="6"/>
      <c r="BE1530" s="6"/>
      <c r="BF1530" s="6"/>
      <c r="BG1530" s="6"/>
      <c r="BH1530" s="6"/>
      <c r="BI1530" s="6"/>
      <c r="BJ1530" s="6"/>
      <c r="BK1530" s="6"/>
      <c r="BL1530" s="6"/>
      <c r="BM1530" s="6"/>
      <c r="BN1530" s="6"/>
      <c r="BO1530" s="6"/>
      <c r="BP1530" s="6"/>
      <c r="BQ1530" s="6"/>
      <c r="BR1530" s="6"/>
      <c r="BS1530" s="6"/>
      <c r="BT1530" s="6"/>
      <c r="BU1530" s="6"/>
      <c r="BV1530" s="6"/>
      <c r="BW1530" s="6"/>
      <c r="BX1530" s="6"/>
      <c r="BY1530" s="6"/>
      <c r="BZ1530" s="6"/>
      <c r="CA1530" s="6"/>
      <c r="CB1530" s="6"/>
      <c r="CC1530" s="6"/>
    </row>
    <row r="1531" spans="2:81" x14ac:dyDescent="0.2">
      <c r="B1531" s="68"/>
      <c r="C1531" s="69"/>
      <c r="D1531" s="70"/>
      <c r="F1531" s="68"/>
      <c r="G1531" s="69"/>
      <c r="H1531" s="70"/>
      <c r="J1531" s="71"/>
      <c r="K1531" s="71"/>
      <c r="L1531" s="67"/>
      <c r="N1531" s="71"/>
      <c r="O1531" s="71"/>
      <c r="P1531" s="67"/>
      <c r="R1531" s="67"/>
      <c r="S1531" s="6"/>
      <c r="T1531" s="6"/>
      <c r="U1531" s="6"/>
      <c r="V1531" s="6"/>
      <c r="W1531" s="6"/>
      <c r="X1531" s="6"/>
      <c r="Y1531" s="6"/>
      <c r="Z1531" s="6"/>
      <c r="AA1531" s="6"/>
      <c r="AB1531" s="6"/>
      <c r="AC1531" s="6"/>
      <c r="AD1531" s="6"/>
      <c r="AE1531" s="6"/>
      <c r="AF1531" s="6"/>
      <c r="AG1531" s="6"/>
      <c r="AH1531" s="6"/>
      <c r="AI1531" s="6"/>
      <c r="AJ1531" s="6"/>
      <c r="AK1531" s="6"/>
      <c r="AL1531" s="6"/>
      <c r="AM1531" s="6"/>
      <c r="AN1531" s="6"/>
      <c r="AO1531" s="6"/>
      <c r="AP1531" s="6"/>
      <c r="AQ1531" s="6"/>
      <c r="AR1531" s="6"/>
      <c r="AS1531" s="6"/>
      <c r="AT1531" s="6"/>
      <c r="AU1531" s="6"/>
      <c r="AV1531" s="6"/>
      <c r="AW1531" s="6"/>
      <c r="AX1531" s="6"/>
      <c r="AY1531" s="6"/>
      <c r="AZ1531" s="6"/>
      <c r="BA1531" s="6"/>
      <c r="BB1531" s="6"/>
      <c r="BC1531" s="6"/>
      <c r="BD1531" s="6"/>
      <c r="BE1531" s="6"/>
      <c r="BF1531" s="6"/>
      <c r="BG1531" s="6"/>
      <c r="BH1531" s="6"/>
      <c r="BI1531" s="6"/>
      <c r="BJ1531" s="6"/>
      <c r="BK1531" s="6"/>
      <c r="BL1531" s="6"/>
      <c r="BM1531" s="6"/>
      <c r="BN1531" s="6"/>
      <c r="BO1531" s="6"/>
      <c r="BP1531" s="6"/>
      <c r="BQ1531" s="6"/>
      <c r="BR1531" s="6"/>
      <c r="BS1531" s="6"/>
      <c r="BT1531" s="6"/>
      <c r="BU1531" s="6"/>
      <c r="BV1531" s="6"/>
      <c r="BW1531" s="6"/>
      <c r="BX1531" s="6"/>
      <c r="BY1531" s="6"/>
      <c r="BZ1531" s="6"/>
      <c r="CA1531" s="6"/>
      <c r="CB1531" s="6"/>
      <c r="CC1531" s="6"/>
    </row>
    <row r="1532" spans="2:81" x14ac:dyDescent="0.2">
      <c r="B1532" s="68"/>
      <c r="C1532" s="69"/>
      <c r="D1532" s="70"/>
      <c r="F1532" s="68"/>
      <c r="G1532" s="69"/>
      <c r="H1532" s="70"/>
      <c r="J1532" s="71"/>
      <c r="K1532" s="71"/>
      <c r="L1532" s="67"/>
      <c r="N1532" s="71"/>
      <c r="O1532" s="71"/>
      <c r="P1532" s="67"/>
      <c r="R1532" s="67"/>
      <c r="S1532" s="6"/>
      <c r="T1532" s="6"/>
      <c r="U1532" s="6"/>
      <c r="V1532" s="6"/>
      <c r="W1532" s="6"/>
      <c r="X1532" s="6"/>
      <c r="Y1532" s="6"/>
      <c r="Z1532" s="6"/>
      <c r="AA1532" s="6"/>
      <c r="AB1532" s="6"/>
      <c r="AC1532" s="6"/>
      <c r="AD1532" s="6"/>
      <c r="AE1532" s="6"/>
      <c r="AF1532" s="6"/>
      <c r="AG1532" s="6"/>
      <c r="AH1532" s="6"/>
      <c r="AI1532" s="6"/>
      <c r="AJ1532" s="6"/>
      <c r="AK1532" s="6"/>
      <c r="AL1532" s="6"/>
      <c r="AM1532" s="6"/>
      <c r="AN1532" s="6"/>
      <c r="AO1532" s="6"/>
      <c r="AP1532" s="6"/>
      <c r="AQ1532" s="6"/>
      <c r="AR1532" s="6"/>
      <c r="AS1532" s="6"/>
      <c r="AT1532" s="6"/>
      <c r="AU1532" s="6"/>
      <c r="AV1532" s="6"/>
      <c r="AW1532" s="6"/>
      <c r="AX1532" s="6"/>
      <c r="AY1532" s="6"/>
      <c r="AZ1532" s="6"/>
      <c r="BA1532" s="6"/>
      <c r="BB1532" s="6"/>
      <c r="BC1532" s="6"/>
      <c r="BD1532" s="6"/>
      <c r="BE1532" s="6"/>
      <c r="BF1532" s="6"/>
      <c r="BG1532" s="6"/>
      <c r="BH1532" s="6"/>
      <c r="BI1532" s="6"/>
      <c r="BJ1532" s="6"/>
      <c r="BK1532" s="6"/>
      <c r="BL1532" s="6"/>
      <c r="BM1532" s="6"/>
      <c r="BN1532" s="6"/>
      <c r="BO1532" s="6"/>
      <c r="BP1532" s="6"/>
      <c r="BQ1532" s="6"/>
      <c r="BR1532" s="6"/>
      <c r="BS1532" s="6"/>
      <c r="BT1532" s="6"/>
      <c r="BU1532" s="6"/>
      <c r="BV1532" s="6"/>
      <c r="BW1532" s="6"/>
      <c r="BX1532" s="6"/>
      <c r="BY1532" s="6"/>
      <c r="BZ1532" s="6"/>
      <c r="CA1532" s="6"/>
      <c r="CB1532" s="6"/>
      <c r="CC1532" s="6"/>
    </row>
    <row r="1533" spans="2:81" x14ac:dyDescent="0.2">
      <c r="B1533" s="68"/>
      <c r="C1533" s="69"/>
      <c r="D1533" s="70"/>
      <c r="F1533" s="68"/>
      <c r="G1533" s="69"/>
      <c r="H1533" s="70"/>
      <c r="J1533" s="71"/>
      <c r="K1533" s="71"/>
      <c r="L1533" s="67"/>
      <c r="N1533" s="71"/>
      <c r="O1533" s="71"/>
      <c r="P1533" s="67"/>
      <c r="R1533" s="67"/>
      <c r="S1533" s="6"/>
      <c r="T1533" s="6"/>
      <c r="U1533" s="6"/>
      <c r="V1533" s="6"/>
      <c r="W1533" s="6"/>
      <c r="X1533" s="6"/>
      <c r="Y1533" s="6"/>
      <c r="Z1533" s="6"/>
      <c r="AA1533" s="6"/>
      <c r="AB1533" s="6"/>
      <c r="AC1533" s="6"/>
      <c r="AD1533" s="6"/>
      <c r="AE1533" s="6"/>
      <c r="AF1533" s="6"/>
      <c r="AG1533" s="6"/>
      <c r="AH1533" s="6"/>
      <c r="AI1533" s="6"/>
      <c r="AJ1533" s="6"/>
      <c r="AK1533" s="6"/>
      <c r="AL1533" s="6"/>
      <c r="AM1533" s="6"/>
      <c r="AN1533" s="6"/>
      <c r="AO1533" s="6"/>
      <c r="AP1533" s="6"/>
      <c r="AQ1533" s="6"/>
      <c r="AR1533" s="6"/>
      <c r="AS1533" s="6"/>
      <c r="AT1533" s="6"/>
      <c r="AU1533" s="6"/>
      <c r="AV1533" s="6"/>
      <c r="AW1533" s="6"/>
      <c r="AX1533" s="6"/>
      <c r="AY1533" s="6"/>
      <c r="AZ1533" s="6"/>
      <c r="BA1533" s="6"/>
      <c r="BB1533" s="6"/>
      <c r="BC1533" s="6"/>
      <c r="BD1533" s="6"/>
      <c r="BE1533" s="6"/>
      <c r="BF1533" s="6"/>
      <c r="BG1533" s="6"/>
      <c r="BH1533" s="6"/>
      <c r="BI1533" s="6"/>
      <c r="BJ1533" s="6"/>
      <c r="BK1533" s="6"/>
      <c r="BL1533" s="6"/>
      <c r="BM1533" s="6"/>
      <c r="BN1533" s="6"/>
      <c r="BO1533" s="6"/>
      <c r="BP1533" s="6"/>
      <c r="BQ1533" s="6"/>
      <c r="BR1533" s="6"/>
      <c r="BS1533" s="6"/>
      <c r="BT1533" s="6"/>
      <c r="BU1533" s="6"/>
      <c r="BV1533" s="6"/>
      <c r="BW1533" s="6"/>
      <c r="BX1533" s="6"/>
      <c r="BY1533" s="6"/>
      <c r="BZ1533" s="6"/>
      <c r="CA1533" s="6"/>
      <c r="CB1533" s="6"/>
      <c r="CC1533" s="6"/>
    </row>
    <row r="1534" spans="2:81" x14ac:dyDescent="0.2">
      <c r="B1534" s="68"/>
      <c r="C1534" s="69"/>
      <c r="D1534" s="70"/>
      <c r="F1534" s="68"/>
      <c r="G1534" s="69"/>
      <c r="H1534" s="70"/>
      <c r="J1534" s="71"/>
      <c r="K1534" s="71"/>
      <c r="L1534" s="67"/>
      <c r="N1534" s="71"/>
      <c r="O1534" s="71"/>
      <c r="P1534" s="67"/>
      <c r="R1534" s="67"/>
      <c r="S1534" s="6"/>
      <c r="T1534" s="6"/>
      <c r="U1534" s="6"/>
      <c r="V1534" s="6"/>
      <c r="W1534" s="6"/>
      <c r="X1534" s="6"/>
      <c r="Y1534" s="6"/>
      <c r="Z1534" s="6"/>
      <c r="AA1534" s="6"/>
      <c r="AB1534" s="6"/>
      <c r="AC1534" s="6"/>
      <c r="AD1534" s="6"/>
      <c r="AE1534" s="6"/>
      <c r="AF1534" s="6"/>
      <c r="AG1534" s="6"/>
      <c r="AH1534" s="6"/>
      <c r="AI1534" s="6"/>
      <c r="AJ1534" s="6"/>
      <c r="AK1534" s="6"/>
      <c r="AL1534" s="6"/>
      <c r="AM1534" s="6"/>
      <c r="AN1534" s="6"/>
      <c r="AO1534" s="6"/>
      <c r="AP1534" s="6"/>
      <c r="AQ1534" s="6"/>
      <c r="AR1534" s="6"/>
      <c r="AS1534" s="6"/>
      <c r="AT1534" s="6"/>
      <c r="AU1534" s="6"/>
      <c r="AV1534" s="6"/>
      <c r="AW1534" s="6"/>
      <c r="AX1534" s="6"/>
      <c r="AY1534" s="6"/>
      <c r="AZ1534" s="6"/>
      <c r="BA1534" s="6"/>
      <c r="BB1534" s="6"/>
      <c r="BC1534" s="6"/>
      <c r="BD1534" s="6"/>
      <c r="BE1534" s="6"/>
      <c r="BF1534" s="6"/>
      <c r="BG1534" s="6"/>
      <c r="BH1534" s="6"/>
      <c r="BI1534" s="6"/>
      <c r="BJ1534" s="6"/>
      <c r="BK1534" s="6"/>
      <c r="BL1534" s="6"/>
      <c r="BM1534" s="6"/>
      <c r="BN1534" s="6"/>
      <c r="BO1534" s="6"/>
      <c r="BP1534" s="6"/>
      <c r="BQ1534" s="6"/>
      <c r="BR1534" s="6"/>
      <c r="BS1534" s="6"/>
      <c r="BT1534" s="6"/>
      <c r="BU1534" s="6"/>
      <c r="BV1534" s="6"/>
      <c r="BW1534" s="6"/>
      <c r="BX1534" s="6"/>
      <c r="BY1534" s="6"/>
      <c r="BZ1534" s="6"/>
      <c r="CA1534" s="6"/>
      <c r="CB1534" s="6"/>
      <c r="CC1534" s="6"/>
    </row>
    <row r="1535" spans="2:81" x14ac:dyDescent="0.2">
      <c r="B1535" s="68"/>
      <c r="C1535" s="69"/>
      <c r="D1535" s="70"/>
      <c r="F1535" s="68"/>
      <c r="G1535" s="69"/>
      <c r="H1535" s="70"/>
      <c r="J1535" s="71"/>
      <c r="K1535" s="71"/>
      <c r="L1535" s="67"/>
      <c r="N1535" s="71"/>
      <c r="O1535" s="71"/>
      <c r="P1535" s="67"/>
      <c r="R1535" s="67"/>
      <c r="S1535" s="6"/>
      <c r="T1535" s="6"/>
      <c r="U1535" s="6"/>
      <c r="V1535" s="6"/>
      <c r="W1535" s="6"/>
      <c r="X1535" s="6"/>
      <c r="Y1535" s="6"/>
      <c r="Z1535" s="6"/>
      <c r="AA1535" s="6"/>
      <c r="AB1535" s="6"/>
      <c r="AC1535" s="6"/>
      <c r="AD1535" s="6"/>
      <c r="AE1535" s="6"/>
      <c r="AF1535" s="6"/>
      <c r="AG1535" s="6"/>
      <c r="AH1535" s="6"/>
      <c r="AI1535" s="6"/>
      <c r="AJ1535" s="6"/>
      <c r="AK1535" s="6"/>
      <c r="AL1535" s="6"/>
      <c r="AM1535" s="6"/>
      <c r="AN1535" s="6"/>
      <c r="AO1535" s="6"/>
      <c r="AP1535" s="6"/>
      <c r="AQ1535" s="6"/>
      <c r="AR1535" s="6"/>
      <c r="AS1535" s="6"/>
      <c r="AT1535" s="6"/>
      <c r="AU1535" s="6"/>
      <c r="AV1535" s="6"/>
      <c r="AW1535" s="6"/>
      <c r="AX1535" s="6"/>
      <c r="AY1535" s="6"/>
      <c r="AZ1535" s="6"/>
      <c r="BA1535" s="6"/>
      <c r="BB1535" s="6"/>
      <c r="BC1535" s="6"/>
      <c r="BD1535" s="6"/>
      <c r="BE1535" s="6"/>
      <c r="BF1535" s="6"/>
      <c r="BG1535" s="6"/>
      <c r="BH1535" s="6"/>
      <c r="BI1535" s="6"/>
      <c r="BJ1535" s="6"/>
      <c r="BK1535" s="6"/>
      <c r="BL1535" s="6"/>
      <c r="BM1535" s="6"/>
      <c r="BN1535" s="6"/>
      <c r="BO1535" s="6"/>
      <c r="BP1535" s="6"/>
      <c r="BQ1535" s="6"/>
      <c r="BR1535" s="6"/>
      <c r="BS1535" s="6"/>
      <c r="BT1535" s="6"/>
      <c r="BU1535" s="6"/>
      <c r="BV1535" s="6"/>
      <c r="BW1535" s="6"/>
      <c r="BX1535" s="6"/>
      <c r="BY1535" s="6"/>
      <c r="BZ1535" s="6"/>
      <c r="CA1535" s="6"/>
      <c r="CB1535" s="6"/>
      <c r="CC1535" s="6"/>
    </row>
    <row r="1536" spans="2:81" x14ac:dyDescent="0.2">
      <c r="B1536" s="68"/>
      <c r="C1536" s="69"/>
      <c r="D1536" s="70"/>
      <c r="F1536" s="68"/>
      <c r="G1536" s="69"/>
      <c r="H1536" s="70"/>
      <c r="J1536" s="71"/>
      <c r="K1536" s="71"/>
      <c r="L1536" s="67"/>
      <c r="N1536" s="71"/>
      <c r="O1536" s="71"/>
      <c r="P1536" s="67"/>
      <c r="R1536" s="67"/>
      <c r="S1536" s="6"/>
      <c r="T1536" s="6"/>
      <c r="U1536" s="6"/>
      <c r="V1536" s="6"/>
      <c r="W1536" s="6"/>
      <c r="X1536" s="6"/>
      <c r="Y1536" s="6"/>
      <c r="Z1536" s="6"/>
      <c r="AA1536" s="6"/>
      <c r="AB1536" s="6"/>
      <c r="AC1536" s="6"/>
      <c r="AD1536" s="6"/>
      <c r="AE1536" s="6"/>
      <c r="AF1536" s="6"/>
      <c r="AG1536" s="6"/>
      <c r="AH1536" s="6"/>
      <c r="AI1536" s="6"/>
      <c r="AJ1536" s="6"/>
      <c r="AK1536" s="6"/>
      <c r="AL1536" s="6"/>
      <c r="AM1536" s="6"/>
      <c r="AN1536" s="6"/>
      <c r="AO1536" s="6"/>
      <c r="AP1536" s="6"/>
      <c r="AQ1536" s="6"/>
      <c r="AR1536" s="6"/>
      <c r="AS1536" s="6"/>
      <c r="AT1536" s="6"/>
      <c r="AU1536" s="6"/>
      <c r="AV1536" s="6"/>
      <c r="AW1536" s="6"/>
      <c r="AX1536" s="6"/>
      <c r="AY1536" s="6"/>
      <c r="AZ1536" s="6"/>
      <c r="BA1536" s="6"/>
      <c r="BB1536" s="6"/>
      <c r="BC1536" s="6"/>
      <c r="BD1536" s="6"/>
      <c r="BE1536" s="6"/>
      <c r="BF1536" s="6"/>
      <c r="BG1536" s="6"/>
      <c r="BH1536" s="6"/>
      <c r="BI1536" s="6"/>
      <c r="BJ1536" s="6"/>
      <c r="BK1536" s="6"/>
      <c r="BL1536" s="6"/>
      <c r="BM1536" s="6"/>
      <c r="BN1536" s="6"/>
      <c r="BO1536" s="6"/>
      <c r="BP1536" s="6"/>
      <c r="BQ1536" s="6"/>
      <c r="BR1536" s="6"/>
      <c r="BS1536" s="6"/>
      <c r="BT1536" s="6"/>
      <c r="BU1536" s="6"/>
      <c r="BV1536" s="6"/>
      <c r="BW1536" s="6"/>
      <c r="BX1536" s="6"/>
      <c r="BY1536" s="6"/>
      <c r="BZ1536" s="6"/>
      <c r="CA1536" s="6"/>
      <c r="CB1536" s="6"/>
      <c r="CC1536" s="6"/>
    </row>
    <row r="1537" spans="2:81" x14ac:dyDescent="0.2">
      <c r="B1537" s="68"/>
      <c r="C1537" s="69"/>
      <c r="D1537" s="70"/>
      <c r="F1537" s="68"/>
      <c r="G1537" s="69"/>
      <c r="H1537" s="70"/>
      <c r="J1537" s="71"/>
      <c r="K1537" s="71"/>
      <c r="L1537" s="67"/>
      <c r="N1537" s="71"/>
      <c r="O1537" s="71"/>
      <c r="P1537" s="67"/>
      <c r="R1537" s="67"/>
      <c r="S1537" s="6"/>
      <c r="T1537" s="6"/>
      <c r="U1537" s="6"/>
      <c r="V1537" s="6"/>
      <c r="W1537" s="6"/>
      <c r="X1537" s="6"/>
      <c r="Y1537" s="6"/>
      <c r="Z1537" s="6"/>
      <c r="AA1537" s="6"/>
      <c r="AB1537" s="6"/>
      <c r="AC1537" s="6"/>
      <c r="AD1537" s="6"/>
      <c r="AE1537" s="6"/>
      <c r="AF1537" s="6"/>
      <c r="AG1537" s="6"/>
      <c r="AH1537" s="6"/>
      <c r="AI1537" s="6"/>
      <c r="AJ1537" s="6"/>
      <c r="AK1537" s="6"/>
      <c r="AL1537" s="6"/>
      <c r="AM1537" s="6"/>
      <c r="AN1537" s="6"/>
      <c r="AO1537" s="6"/>
      <c r="AP1537" s="6"/>
      <c r="AQ1537" s="6"/>
      <c r="AR1537" s="6"/>
      <c r="AS1537" s="6"/>
      <c r="AT1537" s="6"/>
      <c r="AU1537" s="6"/>
      <c r="AV1537" s="6"/>
      <c r="AW1537" s="6"/>
      <c r="AX1537" s="6"/>
      <c r="AY1537" s="6"/>
      <c r="AZ1537" s="6"/>
      <c r="BA1537" s="6"/>
      <c r="BB1537" s="6"/>
      <c r="BC1537" s="6"/>
      <c r="BD1537" s="6"/>
      <c r="BE1537" s="6"/>
      <c r="BF1537" s="6"/>
      <c r="BG1537" s="6"/>
      <c r="BH1537" s="6"/>
      <c r="BI1537" s="6"/>
      <c r="BJ1537" s="6"/>
      <c r="BK1537" s="6"/>
      <c r="BL1537" s="6"/>
      <c r="BM1537" s="6"/>
      <c r="BN1537" s="6"/>
      <c r="BO1537" s="6"/>
      <c r="BP1537" s="6"/>
      <c r="BQ1537" s="6"/>
      <c r="BR1537" s="6"/>
      <c r="BS1537" s="6"/>
      <c r="BT1537" s="6"/>
      <c r="BU1537" s="6"/>
      <c r="BV1537" s="6"/>
      <c r="BW1537" s="6"/>
      <c r="BX1537" s="6"/>
      <c r="BY1537" s="6"/>
      <c r="BZ1537" s="6"/>
      <c r="CA1537" s="6"/>
      <c r="CB1537" s="6"/>
      <c r="CC1537" s="6"/>
    </row>
    <row r="1538" spans="2:81" x14ac:dyDescent="0.2">
      <c r="B1538" s="68"/>
      <c r="C1538" s="69"/>
      <c r="D1538" s="70"/>
      <c r="F1538" s="68"/>
      <c r="G1538" s="69"/>
      <c r="H1538" s="70"/>
      <c r="J1538" s="71"/>
      <c r="K1538" s="71"/>
      <c r="L1538" s="67"/>
      <c r="N1538" s="71"/>
      <c r="O1538" s="71"/>
      <c r="P1538" s="67"/>
      <c r="R1538" s="67"/>
      <c r="S1538" s="6"/>
      <c r="T1538" s="6"/>
      <c r="U1538" s="6"/>
      <c r="V1538" s="6"/>
      <c r="W1538" s="6"/>
      <c r="X1538" s="6"/>
      <c r="Y1538" s="6"/>
      <c r="Z1538" s="6"/>
      <c r="AA1538" s="6"/>
      <c r="AB1538" s="6"/>
      <c r="AC1538" s="6"/>
      <c r="AD1538" s="6"/>
      <c r="AE1538" s="6"/>
      <c r="AF1538" s="6"/>
      <c r="AG1538" s="6"/>
      <c r="AH1538" s="6"/>
      <c r="AI1538" s="6"/>
      <c r="AJ1538" s="6"/>
      <c r="AK1538" s="6"/>
      <c r="AL1538" s="6"/>
      <c r="AM1538" s="6"/>
      <c r="AN1538" s="6"/>
      <c r="AO1538" s="6"/>
      <c r="AP1538" s="6"/>
      <c r="AQ1538" s="6"/>
      <c r="AR1538" s="6"/>
      <c r="AS1538" s="6"/>
      <c r="AT1538" s="6"/>
      <c r="AU1538" s="6"/>
      <c r="AV1538" s="6"/>
      <c r="AW1538" s="6"/>
      <c r="AX1538" s="6"/>
      <c r="AY1538" s="6"/>
      <c r="AZ1538" s="6"/>
      <c r="BA1538" s="6"/>
      <c r="BB1538" s="6"/>
      <c r="BC1538" s="6"/>
      <c r="BD1538" s="6"/>
      <c r="BE1538" s="6"/>
      <c r="BF1538" s="6"/>
      <c r="BG1538" s="6"/>
      <c r="BH1538" s="6"/>
      <c r="BI1538" s="6"/>
      <c r="BJ1538" s="6"/>
      <c r="BK1538" s="6"/>
      <c r="BL1538" s="6"/>
      <c r="BM1538" s="6"/>
      <c r="BN1538" s="6"/>
      <c r="BO1538" s="6"/>
      <c r="BP1538" s="6"/>
      <c r="BQ1538" s="6"/>
      <c r="BR1538" s="6"/>
      <c r="BS1538" s="6"/>
      <c r="BT1538" s="6"/>
      <c r="BU1538" s="6"/>
      <c r="BV1538" s="6"/>
      <c r="BW1538" s="6"/>
      <c r="BX1538" s="6"/>
      <c r="BY1538" s="6"/>
      <c r="BZ1538" s="6"/>
      <c r="CA1538" s="6"/>
      <c r="CB1538" s="6"/>
      <c r="CC1538" s="6"/>
    </row>
    <row r="1539" spans="2:81" x14ac:dyDescent="0.2">
      <c r="B1539" s="68"/>
      <c r="C1539" s="69"/>
      <c r="D1539" s="70"/>
      <c r="F1539" s="68"/>
      <c r="G1539" s="69"/>
      <c r="H1539" s="70"/>
      <c r="J1539" s="71"/>
      <c r="K1539" s="71"/>
      <c r="L1539" s="67"/>
      <c r="N1539" s="71"/>
      <c r="O1539" s="71"/>
      <c r="P1539" s="67"/>
      <c r="R1539" s="67"/>
      <c r="S1539" s="6"/>
      <c r="T1539" s="6"/>
      <c r="U1539" s="6"/>
      <c r="V1539" s="6"/>
      <c r="W1539" s="6"/>
      <c r="X1539" s="6"/>
      <c r="Y1539" s="6"/>
      <c r="Z1539" s="6"/>
      <c r="AA1539" s="6"/>
      <c r="AB1539" s="6"/>
      <c r="AC1539" s="6"/>
      <c r="AD1539" s="6"/>
      <c r="AE1539" s="6"/>
      <c r="AF1539" s="6"/>
      <c r="AG1539" s="6"/>
      <c r="AH1539" s="6"/>
      <c r="AI1539" s="6"/>
      <c r="AJ1539" s="6"/>
      <c r="AK1539" s="6"/>
      <c r="AL1539" s="6"/>
      <c r="AM1539" s="6"/>
      <c r="AN1539" s="6"/>
      <c r="AO1539" s="6"/>
      <c r="AP1539" s="6"/>
      <c r="AQ1539" s="6"/>
      <c r="AR1539" s="6"/>
      <c r="AS1539" s="6"/>
      <c r="AT1539" s="6"/>
      <c r="AU1539" s="6"/>
      <c r="AV1539" s="6"/>
      <c r="AW1539" s="6"/>
      <c r="AX1539" s="6"/>
      <c r="AY1539" s="6"/>
      <c r="AZ1539" s="6"/>
      <c r="BA1539" s="6"/>
      <c r="BB1539" s="6"/>
      <c r="BC1539" s="6"/>
      <c r="BD1539" s="6"/>
      <c r="BE1539" s="6"/>
      <c r="BF1539" s="6"/>
      <c r="BG1539" s="6"/>
      <c r="BH1539" s="6"/>
      <c r="BI1539" s="6"/>
      <c r="BJ1539" s="6"/>
      <c r="BK1539" s="6"/>
      <c r="BL1539" s="6"/>
      <c r="BM1539" s="6"/>
      <c r="BN1539" s="6"/>
      <c r="BO1539" s="6"/>
      <c r="BP1539" s="6"/>
      <c r="BQ1539" s="6"/>
      <c r="BR1539" s="6"/>
      <c r="BS1539" s="6"/>
      <c r="BT1539" s="6"/>
      <c r="BU1539" s="6"/>
      <c r="BV1539" s="6"/>
      <c r="BW1539" s="6"/>
      <c r="BX1539" s="6"/>
      <c r="BY1539" s="6"/>
      <c r="BZ1539" s="6"/>
      <c r="CA1539" s="6"/>
      <c r="CB1539" s="6"/>
      <c r="CC1539" s="6"/>
    </row>
    <row r="1540" spans="2:81" x14ac:dyDescent="0.2">
      <c r="B1540" s="68"/>
      <c r="C1540" s="69"/>
      <c r="D1540" s="70"/>
      <c r="F1540" s="68"/>
      <c r="G1540" s="69"/>
      <c r="H1540" s="70"/>
      <c r="J1540" s="71"/>
      <c r="K1540" s="71"/>
      <c r="L1540" s="67"/>
      <c r="N1540" s="71"/>
      <c r="O1540" s="71"/>
      <c r="P1540" s="67"/>
      <c r="R1540" s="67"/>
      <c r="S1540" s="6"/>
      <c r="T1540" s="6"/>
      <c r="U1540" s="6"/>
      <c r="V1540" s="6"/>
      <c r="W1540" s="6"/>
      <c r="X1540" s="6"/>
      <c r="Y1540" s="6"/>
      <c r="Z1540" s="6"/>
      <c r="AA1540" s="6"/>
      <c r="AB1540" s="6"/>
      <c r="AC1540" s="6"/>
      <c r="AD1540" s="6"/>
      <c r="AE1540" s="6"/>
      <c r="AF1540" s="6"/>
      <c r="AG1540" s="6"/>
      <c r="AH1540" s="6"/>
      <c r="AI1540" s="6"/>
      <c r="AJ1540" s="6"/>
      <c r="AK1540" s="6"/>
      <c r="AL1540" s="6"/>
      <c r="AM1540" s="6"/>
      <c r="AN1540" s="6"/>
      <c r="AO1540" s="6"/>
      <c r="AP1540" s="6"/>
      <c r="AQ1540" s="6"/>
      <c r="AR1540" s="6"/>
      <c r="AS1540" s="6"/>
      <c r="AT1540" s="6"/>
      <c r="AU1540" s="6"/>
      <c r="AV1540" s="6"/>
      <c r="AW1540" s="6"/>
      <c r="AX1540" s="6"/>
      <c r="AY1540" s="6"/>
      <c r="AZ1540" s="6"/>
      <c r="BA1540" s="6"/>
      <c r="BB1540" s="6"/>
      <c r="BC1540" s="6"/>
      <c r="BD1540" s="6"/>
      <c r="BE1540" s="6"/>
      <c r="BF1540" s="6"/>
      <c r="BG1540" s="6"/>
      <c r="BH1540" s="6"/>
      <c r="BI1540" s="6"/>
      <c r="BJ1540" s="6"/>
      <c r="BK1540" s="6"/>
      <c r="BL1540" s="6"/>
      <c r="BM1540" s="6"/>
      <c r="BN1540" s="6"/>
      <c r="BO1540" s="6"/>
      <c r="BP1540" s="6"/>
      <c r="BQ1540" s="6"/>
      <c r="BR1540" s="6"/>
      <c r="BS1540" s="6"/>
      <c r="BT1540" s="6"/>
      <c r="BU1540" s="6"/>
      <c r="BV1540" s="6"/>
      <c r="BW1540" s="6"/>
      <c r="BX1540" s="6"/>
      <c r="BY1540" s="6"/>
      <c r="BZ1540" s="6"/>
      <c r="CA1540" s="6"/>
      <c r="CB1540" s="6"/>
      <c r="CC1540" s="6"/>
    </row>
    <row r="1541" spans="2:81" x14ac:dyDescent="0.2">
      <c r="B1541" s="68"/>
      <c r="C1541" s="69"/>
      <c r="D1541" s="70"/>
      <c r="F1541" s="68"/>
      <c r="G1541" s="69"/>
      <c r="H1541" s="70"/>
      <c r="J1541" s="71"/>
      <c r="K1541" s="71"/>
      <c r="L1541" s="67"/>
      <c r="N1541" s="71"/>
      <c r="O1541" s="71"/>
      <c r="P1541" s="67"/>
      <c r="R1541" s="67"/>
      <c r="S1541" s="6"/>
      <c r="T1541" s="6"/>
      <c r="U1541" s="6"/>
      <c r="V1541" s="6"/>
      <c r="W1541" s="6"/>
      <c r="X1541" s="6"/>
      <c r="Y1541" s="6"/>
      <c r="Z1541" s="6"/>
      <c r="AA1541" s="6"/>
      <c r="AB1541" s="6"/>
      <c r="AC1541" s="6"/>
      <c r="AD1541" s="6"/>
      <c r="AE1541" s="6"/>
      <c r="AF1541" s="6"/>
      <c r="AG1541" s="6"/>
      <c r="AH1541" s="6"/>
      <c r="AI1541" s="6"/>
      <c r="AJ1541" s="6"/>
      <c r="AK1541" s="6"/>
      <c r="AL1541" s="6"/>
      <c r="AM1541" s="6"/>
      <c r="AN1541" s="6"/>
      <c r="AO1541" s="6"/>
      <c r="AP1541" s="6"/>
      <c r="AQ1541" s="6"/>
      <c r="AR1541" s="6"/>
      <c r="AS1541" s="6"/>
      <c r="AT1541" s="6"/>
      <c r="AU1541" s="6"/>
      <c r="AV1541" s="6"/>
      <c r="AW1541" s="6"/>
      <c r="AX1541" s="6"/>
      <c r="AY1541" s="6"/>
      <c r="AZ1541" s="6"/>
      <c r="BA1541" s="6"/>
      <c r="BB1541" s="6"/>
      <c r="BC1541" s="6"/>
      <c r="BD1541" s="6"/>
      <c r="BE1541" s="6"/>
      <c r="BF1541" s="6"/>
      <c r="BG1541" s="6"/>
      <c r="BH1541" s="6"/>
      <c r="BI1541" s="6"/>
      <c r="BJ1541" s="6"/>
      <c r="BK1541" s="6"/>
      <c r="BL1541" s="6"/>
      <c r="BM1541" s="6"/>
      <c r="BN1541" s="6"/>
      <c r="BO1541" s="6"/>
      <c r="BP1541" s="6"/>
      <c r="BQ1541" s="6"/>
      <c r="BR1541" s="6"/>
      <c r="BS1541" s="6"/>
      <c r="BT1541" s="6"/>
      <c r="BU1541" s="6"/>
      <c r="BV1541" s="6"/>
      <c r="BW1541" s="6"/>
      <c r="BX1541" s="6"/>
      <c r="BY1541" s="6"/>
      <c r="BZ1541" s="6"/>
      <c r="CA1541" s="6"/>
      <c r="CB1541" s="6"/>
      <c r="CC1541" s="6"/>
    </row>
    <row r="1542" spans="2:81" x14ac:dyDescent="0.2">
      <c r="B1542" s="68"/>
      <c r="C1542" s="69"/>
      <c r="D1542" s="70"/>
      <c r="F1542" s="68"/>
      <c r="G1542" s="69"/>
      <c r="H1542" s="70"/>
      <c r="J1542" s="71"/>
      <c r="K1542" s="71"/>
      <c r="L1542" s="67"/>
      <c r="N1542" s="71"/>
      <c r="O1542" s="71"/>
      <c r="P1542" s="67"/>
      <c r="R1542" s="67"/>
      <c r="S1542" s="6"/>
      <c r="T1542" s="6"/>
      <c r="U1542" s="6"/>
      <c r="V1542" s="6"/>
      <c r="W1542" s="6"/>
      <c r="X1542" s="6"/>
      <c r="Y1542" s="6"/>
      <c r="Z1542" s="6"/>
      <c r="AA1542" s="6"/>
      <c r="AB1542" s="6"/>
      <c r="AC1542" s="6"/>
      <c r="AD1542" s="6"/>
      <c r="AE1542" s="6"/>
      <c r="AF1542" s="6"/>
      <c r="AG1542" s="6"/>
      <c r="AH1542" s="6"/>
      <c r="AI1542" s="6"/>
      <c r="AJ1542" s="6"/>
      <c r="AK1542" s="6"/>
      <c r="AL1542" s="6"/>
      <c r="AM1542" s="6"/>
      <c r="AN1542" s="6"/>
      <c r="AO1542" s="6"/>
      <c r="AP1542" s="6"/>
      <c r="AQ1542" s="6"/>
      <c r="AR1542" s="6"/>
      <c r="AS1542" s="6"/>
      <c r="AT1542" s="6"/>
      <c r="AU1542" s="6"/>
      <c r="AV1542" s="6"/>
      <c r="AW1542" s="6"/>
      <c r="AX1542" s="6"/>
      <c r="AY1542" s="6"/>
      <c r="AZ1542" s="6"/>
      <c r="BA1542" s="6"/>
      <c r="BB1542" s="6"/>
      <c r="BC1542" s="6"/>
      <c r="BD1542" s="6"/>
      <c r="BE1542" s="6"/>
      <c r="BF1542" s="6"/>
      <c r="BG1542" s="6"/>
      <c r="BH1542" s="6"/>
      <c r="BI1542" s="6"/>
      <c r="BJ1542" s="6"/>
      <c r="BK1542" s="6"/>
      <c r="BL1542" s="6"/>
      <c r="BM1542" s="6"/>
      <c r="BN1542" s="6"/>
      <c r="BO1542" s="6"/>
      <c r="BP1542" s="6"/>
      <c r="BQ1542" s="6"/>
      <c r="BR1542" s="6"/>
      <c r="BS1542" s="6"/>
      <c r="BT1542" s="6"/>
      <c r="BU1542" s="6"/>
      <c r="BV1542" s="6"/>
      <c r="BW1542" s="6"/>
      <c r="BX1542" s="6"/>
      <c r="BY1542" s="6"/>
      <c r="BZ1542" s="6"/>
      <c r="CA1542" s="6"/>
      <c r="CB1542" s="6"/>
      <c r="CC1542" s="6"/>
    </row>
    <row r="1543" spans="2:81" x14ac:dyDescent="0.2">
      <c r="B1543" s="68"/>
      <c r="C1543" s="69"/>
      <c r="D1543" s="70"/>
      <c r="F1543" s="68"/>
      <c r="G1543" s="69"/>
      <c r="H1543" s="70"/>
      <c r="J1543" s="71"/>
      <c r="K1543" s="71"/>
      <c r="L1543" s="67"/>
      <c r="N1543" s="71"/>
      <c r="O1543" s="71"/>
      <c r="P1543" s="67"/>
      <c r="R1543" s="67"/>
      <c r="S1543" s="6"/>
      <c r="T1543" s="6"/>
      <c r="U1543" s="6"/>
      <c r="V1543" s="6"/>
      <c r="W1543" s="6"/>
      <c r="X1543" s="6"/>
      <c r="Y1543" s="6"/>
      <c r="Z1543" s="6"/>
      <c r="AA1543" s="6"/>
      <c r="AB1543" s="6"/>
      <c r="AC1543" s="6"/>
      <c r="AD1543" s="6"/>
      <c r="AE1543" s="6"/>
      <c r="AF1543" s="6"/>
      <c r="AG1543" s="6"/>
      <c r="AH1543" s="6"/>
      <c r="AI1543" s="6"/>
      <c r="AJ1543" s="6"/>
      <c r="AK1543" s="6"/>
      <c r="AL1543" s="6"/>
      <c r="AM1543" s="6"/>
      <c r="AN1543" s="6"/>
      <c r="AO1543" s="6"/>
      <c r="AP1543" s="6"/>
      <c r="AQ1543" s="6"/>
      <c r="AR1543" s="6"/>
      <c r="AS1543" s="6"/>
      <c r="AT1543" s="6"/>
      <c r="AU1543" s="6"/>
      <c r="AV1543" s="6"/>
      <c r="AW1543" s="6"/>
      <c r="AX1543" s="6"/>
      <c r="AY1543" s="6"/>
      <c r="AZ1543" s="6"/>
      <c r="BA1543" s="6"/>
      <c r="BB1543" s="6"/>
      <c r="BC1543" s="6"/>
      <c r="BD1543" s="6"/>
      <c r="BE1543" s="6"/>
      <c r="BF1543" s="6"/>
      <c r="BG1543" s="6"/>
      <c r="BH1543" s="6"/>
      <c r="BI1543" s="6"/>
      <c r="BJ1543" s="6"/>
      <c r="BK1543" s="6"/>
      <c r="BL1543" s="6"/>
      <c r="BM1543" s="6"/>
      <c r="BN1543" s="6"/>
      <c r="BO1543" s="6"/>
      <c r="BP1543" s="6"/>
      <c r="BQ1543" s="6"/>
      <c r="BR1543" s="6"/>
      <c r="BS1543" s="6"/>
      <c r="BT1543" s="6"/>
      <c r="BU1543" s="6"/>
      <c r="BV1543" s="6"/>
      <c r="BW1543" s="6"/>
      <c r="BX1543" s="6"/>
      <c r="BY1543" s="6"/>
      <c r="BZ1543" s="6"/>
      <c r="CA1543" s="6"/>
      <c r="CB1543" s="6"/>
      <c r="CC1543" s="6"/>
    </row>
    <row r="1544" spans="2:81" x14ac:dyDescent="0.2">
      <c r="B1544" s="68"/>
      <c r="C1544" s="69"/>
      <c r="D1544" s="70"/>
      <c r="F1544" s="68"/>
      <c r="G1544" s="69"/>
      <c r="H1544" s="70"/>
      <c r="J1544" s="71"/>
      <c r="K1544" s="71"/>
      <c r="L1544" s="67"/>
      <c r="N1544" s="71"/>
      <c r="O1544" s="71"/>
      <c r="P1544" s="67"/>
      <c r="R1544" s="67"/>
      <c r="S1544" s="6"/>
      <c r="T1544" s="6"/>
      <c r="U1544" s="6"/>
      <c r="V1544" s="6"/>
      <c r="W1544" s="6"/>
      <c r="X1544" s="6"/>
      <c r="Y1544" s="6"/>
      <c r="Z1544" s="6"/>
      <c r="AA1544" s="6"/>
      <c r="AB1544" s="6"/>
      <c r="AC1544" s="6"/>
      <c r="AD1544" s="6"/>
      <c r="AE1544" s="6"/>
      <c r="AF1544" s="6"/>
      <c r="AG1544" s="6"/>
      <c r="AH1544" s="6"/>
      <c r="AI1544" s="6"/>
      <c r="AJ1544" s="6"/>
      <c r="AK1544" s="6"/>
      <c r="AL1544" s="6"/>
      <c r="AM1544" s="6"/>
      <c r="AN1544" s="6"/>
      <c r="AO1544" s="6"/>
      <c r="AP1544" s="6"/>
      <c r="AQ1544" s="6"/>
      <c r="AR1544" s="6"/>
      <c r="AS1544" s="6"/>
      <c r="AT1544" s="6"/>
      <c r="AU1544" s="6"/>
      <c r="AV1544" s="6"/>
      <c r="AW1544" s="6"/>
      <c r="AX1544" s="6"/>
      <c r="AY1544" s="6"/>
      <c r="AZ1544" s="6"/>
      <c r="BA1544" s="6"/>
      <c r="BB1544" s="6"/>
      <c r="BC1544" s="6"/>
      <c r="BD1544" s="6"/>
      <c r="BE1544" s="6"/>
      <c r="BF1544" s="6"/>
      <c r="BG1544" s="6"/>
      <c r="BH1544" s="6"/>
      <c r="BI1544" s="6"/>
      <c r="BJ1544" s="6"/>
      <c r="BK1544" s="6"/>
      <c r="BL1544" s="6"/>
      <c r="BM1544" s="6"/>
      <c r="BN1544" s="6"/>
      <c r="BO1544" s="6"/>
      <c r="BP1544" s="6"/>
      <c r="BQ1544" s="6"/>
      <c r="BR1544" s="6"/>
      <c r="BS1544" s="6"/>
      <c r="BT1544" s="6"/>
      <c r="BU1544" s="6"/>
      <c r="BV1544" s="6"/>
      <c r="BW1544" s="6"/>
      <c r="BX1544" s="6"/>
      <c r="BY1544" s="6"/>
      <c r="BZ1544" s="6"/>
      <c r="CA1544" s="6"/>
      <c r="CB1544" s="6"/>
      <c r="CC1544" s="6"/>
    </row>
    <row r="1545" spans="2:81" x14ac:dyDescent="0.2">
      <c r="B1545" s="68"/>
      <c r="C1545" s="69"/>
      <c r="D1545" s="70"/>
      <c r="F1545" s="68"/>
      <c r="G1545" s="69"/>
      <c r="H1545" s="70"/>
      <c r="J1545" s="71"/>
      <c r="K1545" s="71"/>
      <c r="L1545" s="67"/>
      <c r="N1545" s="71"/>
      <c r="O1545" s="71"/>
      <c r="P1545" s="67"/>
      <c r="R1545" s="67"/>
      <c r="S1545" s="6"/>
      <c r="T1545" s="6"/>
      <c r="U1545" s="6"/>
      <c r="V1545" s="6"/>
      <c r="W1545" s="6"/>
      <c r="X1545" s="6"/>
      <c r="Y1545" s="6"/>
      <c r="Z1545" s="6"/>
      <c r="AA1545" s="6"/>
      <c r="AB1545" s="6"/>
      <c r="AC1545" s="6"/>
      <c r="AD1545" s="6"/>
      <c r="AE1545" s="6"/>
      <c r="AF1545" s="6"/>
      <c r="AG1545" s="6"/>
      <c r="AH1545" s="6"/>
      <c r="AI1545" s="6"/>
      <c r="AJ1545" s="6"/>
      <c r="AK1545" s="6"/>
      <c r="AL1545" s="6"/>
      <c r="AM1545" s="6"/>
      <c r="AN1545" s="6"/>
      <c r="AO1545" s="6"/>
      <c r="AP1545" s="6"/>
      <c r="AQ1545" s="6"/>
      <c r="AR1545" s="6"/>
      <c r="AS1545" s="6"/>
      <c r="AT1545" s="6"/>
      <c r="AU1545" s="6"/>
      <c r="AV1545" s="6"/>
      <c r="AW1545" s="6"/>
      <c r="AX1545" s="6"/>
      <c r="AY1545" s="6"/>
      <c r="AZ1545" s="6"/>
      <c r="BA1545" s="6"/>
      <c r="BB1545" s="6"/>
      <c r="BC1545" s="6"/>
      <c r="BD1545" s="6"/>
      <c r="BE1545" s="6"/>
      <c r="BF1545" s="6"/>
      <c r="BG1545" s="6"/>
      <c r="BH1545" s="6"/>
      <c r="BI1545" s="6"/>
      <c r="BJ1545" s="6"/>
      <c r="BK1545" s="6"/>
      <c r="BL1545" s="6"/>
      <c r="BM1545" s="6"/>
      <c r="BN1545" s="6"/>
      <c r="BO1545" s="6"/>
      <c r="BP1545" s="6"/>
      <c r="BQ1545" s="6"/>
      <c r="BR1545" s="6"/>
      <c r="BS1545" s="6"/>
      <c r="BT1545" s="6"/>
      <c r="BU1545" s="6"/>
      <c r="BV1545" s="6"/>
      <c r="BW1545" s="6"/>
      <c r="BX1545" s="6"/>
      <c r="BY1545" s="6"/>
      <c r="BZ1545" s="6"/>
      <c r="CA1545" s="6"/>
      <c r="CB1545" s="6"/>
      <c r="CC1545" s="6"/>
    </row>
    <row r="1546" spans="2:81" x14ac:dyDescent="0.2">
      <c r="B1546" s="68"/>
      <c r="C1546" s="69"/>
      <c r="D1546" s="70"/>
      <c r="F1546" s="68"/>
      <c r="G1546" s="69"/>
      <c r="H1546" s="70"/>
      <c r="J1546" s="71"/>
      <c r="K1546" s="71"/>
      <c r="L1546" s="67"/>
      <c r="N1546" s="71"/>
      <c r="O1546" s="71"/>
      <c r="P1546" s="67"/>
      <c r="R1546" s="67"/>
      <c r="S1546" s="6"/>
      <c r="T1546" s="6"/>
      <c r="U1546" s="6"/>
      <c r="V1546" s="6"/>
      <c r="W1546" s="6"/>
      <c r="X1546" s="6"/>
      <c r="Y1546" s="6"/>
      <c r="Z1546" s="6"/>
      <c r="AA1546" s="6"/>
      <c r="AB1546" s="6"/>
      <c r="AC1546" s="6"/>
      <c r="AD1546" s="6"/>
      <c r="AE1546" s="6"/>
      <c r="AF1546" s="6"/>
      <c r="AG1546" s="6"/>
      <c r="AH1546" s="6"/>
      <c r="AI1546" s="6"/>
      <c r="AJ1546" s="6"/>
      <c r="AK1546" s="6"/>
      <c r="AL1546" s="6"/>
      <c r="AM1546" s="6"/>
      <c r="AN1546" s="6"/>
      <c r="AO1546" s="6"/>
      <c r="AP1546" s="6"/>
      <c r="AQ1546" s="6"/>
      <c r="AR1546" s="6"/>
      <c r="AS1546" s="6"/>
      <c r="AT1546" s="6"/>
      <c r="AU1546" s="6"/>
      <c r="AV1546" s="6"/>
      <c r="AW1546" s="6"/>
      <c r="AX1546" s="6"/>
      <c r="AY1546" s="6"/>
      <c r="AZ1546" s="6"/>
      <c r="BA1546" s="6"/>
      <c r="BB1546" s="6"/>
      <c r="BC1546" s="6"/>
      <c r="BD1546" s="6"/>
      <c r="BE1546" s="6"/>
      <c r="BF1546" s="6"/>
      <c r="BG1546" s="6"/>
      <c r="BH1546" s="6"/>
      <c r="BI1546" s="6"/>
      <c r="BJ1546" s="6"/>
      <c r="BK1546" s="6"/>
      <c r="BL1546" s="6"/>
      <c r="BM1546" s="6"/>
      <c r="BN1546" s="6"/>
      <c r="BO1546" s="6"/>
      <c r="BP1546" s="6"/>
      <c r="BQ1546" s="6"/>
      <c r="BR1546" s="6"/>
      <c r="BS1546" s="6"/>
      <c r="BT1546" s="6"/>
      <c r="BU1546" s="6"/>
      <c r="BV1546" s="6"/>
      <c r="BW1546" s="6"/>
      <c r="BX1546" s="6"/>
      <c r="BY1546" s="6"/>
      <c r="BZ1546" s="6"/>
      <c r="CA1546" s="6"/>
      <c r="CB1546" s="6"/>
      <c r="CC1546" s="6"/>
    </row>
    <row r="1547" spans="2:81" x14ac:dyDescent="0.2">
      <c r="B1547" s="68"/>
      <c r="C1547" s="69"/>
      <c r="D1547" s="70"/>
      <c r="F1547" s="68"/>
      <c r="G1547" s="69"/>
      <c r="H1547" s="70"/>
      <c r="J1547" s="71"/>
      <c r="K1547" s="71"/>
      <c r="L1547" s="67"/>
      <c r="N1547" s="71"/>
      <c r="O1547" s="71"/>
      <c r="P1547" s="67"/>
      <c r="R1547" s="67"/>
      <c r="S1547" s="6"/>
      <c r="T1547" s="6"/>
      <c r="U1547" s="6"/>
      <c r="V1547" s="6"/>
      <c r="W1547" s="6"/>
      <c r="X1547" s="6"/>
      <c r="Y1547" s="6"/>
      <c r="Z1547" s="6"/>
      <c r="AA1547" s="6"/>
      <c r="AB1547" s="6"/>
      <c r="AC1547" s="6"/>
      <c r="AD1547" s="6"/>
      <c r="AE1547" s="6"/>
      <c r="AF1547" s="6"/>
      <c r="AG1547" s="6"/>
      <c r="AH1547" s="6"/>
      <c r="AI1547" s="6"/>
      <c r="AJ1547" s="6"/>
      <c r="AK1547" s="6"/>
      <c r="AL1547" s="6"/>
      <c r="AM1547" s="6"/>
      <c r="AN1547" s="6"/>
      <c r="AO1547" s="6"/>
      <c r="AP1547" s="6"/>
      <c r="AQ1547" s="6"/>
      <c r="AR1547" s="6"/>
      <c r="AS1547" s="6"/>
      <c r="AT1547" s="6"/>
      <c r="AU1547" s="6"/>
      <c r="AV1547" s="6"/>
      <c r="AW1547" s="6"/>
      <c r="AX1547" s="6"/>
      <c r="AY1547" s="6"/>
      <c r="AZ1547" s="6"/>
      <c r="BA1547" s="6"/>
      <c r="BB1547" s="6"/>
      <c r="BC1547" s="6"/>
      <c r="BD1547" s="6"/>
      <c r="BE1547" s="6"/>
      <c r="BF1547" s="6"/>
      <c r="BG1547" s="6"/>
      <c r="BH1547" s="6"/>
      <c r="BI1547" s="6"/>
      <c r="BJ1547" s="6"/>
      <c r="BK1547" s="6"/>
      <c r="BL1547" s="6"/>
      <c r="BM1547" s="6"/>
      <c r="BN1547" s="6"/>
      <c r="BO1547" s="6"/>
      <c r="BP1547" s="6"/>
      <c r="BQ1547" s="6"/>
      <c r="BR1547" s="6"/>
      <c r="BS1547" s="6"/>
      <c r="BT1547" s="6"/>
      <c r="BU1547" s="6"/>
      <c r="BV1547" s="6"/>
      <c r="BW1547" s="6"/>
      <c r="BX1547" s="6"/>
      <c r="BY1547" s="6"/>
      <c r="BZ1547" s="6"/>
      <c r="CA1547" s="6"/>
      <c r="CB1547" s="6"/>
      <c r="CC1547" s="6"/>
    </row>
    <row r="1548" spans="2:81" x14ac:dyDescent="0.2">
      <c r="B1548" s="68"/>
      <c r="C1548" s="69"/>
      <c r="D1548" s="70"/>
      <c r="F1548" s="68"/>
      <c r="G1548" s="69"/>
      <c r="H1548" s="70"/>
      <c r="J1548" s="71"/>
      <c r="K1548" s="71"/>
      <c r="L1548" s="67"/>
      <c r="N1548" s="71"/>
      <c r="O1548" s="71"/>
      <c r="P1548" s="67"/>
      <c r="R1548" s="67"/>
      <c r="S1548" s="6"/>
      <c r="T1548" s="6"/>
      <c r="U1548" s="6"/>
      <c r="V1548" s="6"/>
      <c r="W1548" s="6"/>
      <c r="X1548" s="6"/>
      <c r="Y1548" s="6"/>
      <c r="Z1548" s="6"/>
      <c r="AA1548" s="6"/>
      <c r="AB1548" s="6"/>
      <c r="AC1548" s="6"/>
      <c r="AD1548" s="6"/>
      <c r="AE1548" s="6"/>
      <c r="AF1548" s="6"/>
      <c r="AG1548" s="6"/>
      <c r="AH1548" s="6"/>
      <c r="AI1548" s="6"/>
      <c r="AJ1548" s="6"/>
      <c r="AK1548" s="6"/>
      <c r="AL1548" s="6"/>
      <c r="AM1548" s="6"/>
      <c r="AN1548" s="6"/>
      <c r="AO1548" s="6"/>
      <c r="AP1548" s="6"/>
      <c r="AQ1548" s="6"/>
      <c r="AR1548" s="6"/>
      <c r="AS1548" s="6"/>
      <c r="AT1548" s="6"/>
      <c r="AU1548" s="6"/>
      <c r="AV1548" s="6"/>
      <c r="AW1548" s="6"/>
      <c r="AX1548" s="6"/>
      <c r="AY1548" s="6"/>
      <c r="AZ1548" s="6"/>
      <c r="BA1548" s="6"/>
      <c r="BB1548" s="6"/>
      <c r="BC1548" s="6"/>
      <c r="BD1548" s="6"/>
      <c r="BE1548" s="6"/>
      <c r="BF1548" s="6"/>
      <c r="BG1548" s="6"/>
      <c r="BH1548" s="6"/>
      <c r="BI1548" s="6"/>
      <c r="BJ1548" s="6"/>
      <c r="BK1548" s="6"/>
      <c r="BL1548" s="6"/>
      <c r="BM1548" s="6"/>
      <c r="BN1548" s="6"/>
      <c r="BO1548" s="6"/>
      <c r="BP1548" s="6"/>
      <c r="BQ1548" s="6"/>
      <c r="BR1548" s="6"/>
      <c r="BS1548" s="6"/>
      <c r="BT1548" s="6"/>
      <c r="BU1548" s="6"/>
      <c r="BV1548" s="6"/>
      <c r="BW1548" s="6"/>
      <c r="BX1548" s="6"/>
      <c r="BY1548" s="6"/>
      <c r="BZ1548" s="6"/>
      <c r="CA1548" s="6"/>
      <c r="CB1548" s="6"/>
      <c r="CC1548" s="6"/>
    </row>
    <row r="1549" spans="2:81" x14ac:dyDescent="0.2">
      <c r="B1549" s="68"/>
      <c r="C1549" s="69"/>
      <c r="D1549" s="70"/>
      <c r="F1549" s="68"/>
      <c r="G1549" s="69"/>
      <c r="H1549" s="70"/>
      <c r="J1549" s="71"/>
      <c r="K1549" s="71"/>
      <c r="L1549" s="67"/>
      <c r="N1549" s="71"/>
      <c r="O1549" s="71"/>
      <c r="P1549" s="67"/>
      <c r="R1549" s="67"/>
      <c r="S1549" s="6"/>
      <c r="T1549" s="6"/>
      <c r="U1549" s="6"/>
      <c r="V1549" s="6"/>
      <c r="W1549" s="6"/>
      <c r="X1549" s="6"/>
      <c r="Y1549" s="6"/>
      <c r="Z1549" s="6"/>
      <c r="AA1549" s="6"/>
      <c r="AB1549" s="6"/>
      <c r="AC1549" s="6"/>
      <c r="AD1549" s="6"/>
      <c r="AE1549" s="6"/>
      <c r="AF1549" s="6"/>
      <c r="AG1549" s="6"/>
      <c r="AH1549" s="6"/>
      <c r="AI1549" s="6"/>
      <c r="AJ1549" s="6"/>
      <c r="AK1549" s="6"/>
      <c r="AL1549" s="6"/>
      <c r="AM1549" s="6"/>
      <c r="AN1549" s="6"/>
      <c r="AO1549" s="6"/>
      <c r="AP1549" s="6"/>
      <c r="AQ1549" s="6"/>
      <c r="AR1549" s="6"/>
      <c r="AS1549" s="6"/>
      <c r="AT1549" s="6"/>
      <c r="AU1549" s="6"/>
      <c r="AV1549" s="6"/>
      <c r="AW1549" s="6"/>
      <c r="AX1549" s="6"/>
      <c r="AY1549" s="6"/>
      <c r="AZ1549" s="6"/>
      <c r="BA1549" s="6"/>
      <c r="BB1549" s="6"/>
      <c r="BC1549" s="6"/>
      <c r="BD1549" s="6"/>
      <c r="BE1549" s="6"/>
      <c r="BF1549" s="6"/>
      <c r="BG1549" s="6"/>
      <c r="BH1549" s="6"/>
      <c r="BI1549" s="6"/>
      <c r="BJ1549" s="6"/>
      <c r="BK1549" s="6"/>
      <c r="BL1549" s="6"/>
      <c r="BM1549" s="6"/>
      <c r="BN1549" s="6"/>
      <c r="BO1549" s="6"/>
      <c r="BP1549" s="6"/>
      <c r="BQ1549" s="6"/>
      <c r="BR1549" s="6"/>
      <c r="BS1549" s="6"/>
      <c r="BT1549" s="6"/>
      <c r="BU1549" s="6"/>
      <c r="BV1549" s="6"/>
      <c r="BW1549" s="6"/>
      <c r="BX1549" s="6"/>
      <c r="BY1549" s="6"/>
      <c r="BZ1549" s="6"/>
      <c r="CA1549" s="6"/>
      <c r="CB1549" s="6"/>
      <c r="CC1549" s="6"/>
    </row>
    <row r="1550" spans="2:81" x14ac:dyDescent="0.2">
      <c r="B1550" s="68"/>
      <c r="C1550" s="69"/>
      <c r="D1550" s="70"/>
      <c r="F1550" s="68"/>
      <c r="G1550" s="69"/>
      <c r="H1550" s="70"/>
      <c r="J1550" s="71"/>
      <c r="K1550" s="71"/>
      <c r="L1550" s="67"/>
      <c r="N1550" s="71"/>
      <c r="O1550" s="71"/>
      <c r="P1550" s="67"/>
      <c r="R1550" s="67"/>
      <c r="S1550" s="6"/>
      <c r="T1550" s="6"/>
      <c r="U1550" s="6"/>
      <c r="V1550" s="6"/>
      <c r="W1550" s="6"/>
      <c r="X1550" s="6"/>
      <c r="Y1550" s="6"/>
      <c r="Z1550" s="6"/>
      <c r="AA1550" s="6"/>
      <c r="AB1550" s="6"/>
      <c r="AC1550" s="6"/>
      <c r="AD1550" s="6"/>
      <c r="AE1550" s="6"/>
      <c r="AF1550" s="6"/>
      <c r="AG1550" s="6"/>
      <c r="AH1550" s="6"/>
      <c r="AI1550" s="6"/>
      <c r="AJ1550" s="6"/>
      <c r="AK1550" s="6"/>
      <c r="AL1550" s="6"/>
      <c r="AM1550" s="6"/>
      <c r="AN1550" s="6"/>
      <c r="AO1550" s="6"/>
      <c r="AP1550" s="6"/>
      <c r="AQ1550" s="6"/>
      <c r="AR1550" s="6"/>
      <c r="AS1550" s="6"/>
      <c r="AT1550" s="6"/>
      <c r="AU1550" s="6"/>
      <c r="AV1550" s="6"/>
      <c r="AW1550" s="6"/>
      <c r="AX1550" s="6"/>
      <c r="AY1550" s="6"/>
      <c r="AZ1550" s="6"/>
      <c r="BA1550" s="6"/>
      <c r="BB1550" s="6"/>
      <c r="BC1550" s="6"/>
      <c r="BD1550" s="6"/>
      <c r="BE1550" s="6"/>
      <c r="BF1550" s="6"/>
      <c r="BG1550" s="6"/>
      <c r="BH1550" s="6"/>
      <c r="BI1550" s="6"/>
      <c r="BJ1550" s="6"/>
      <c r="BK1550" s="6"/>
      <c r="BL1550" s="6"/>
      <c r="BM1550" s="6"/>
      <c r="BN1550" s="6"/>
      <c r="BO1550" s="6"/>
      <c r="BP1550" s="6"/>
      <c r="BQ1550" s="6"/>
      <c r="BR1550" s="6"/>
      <c r="BS1550" s="6"/>
      <c r="BT1550" s="6"/>
      <c r="BU1550" s="6"/>
      <c r="BV1550" s="6"/>
      <c r="BW1550" s="6"/>
      <c r="BX1550" s="6"/>
      <c r="BY1550" s="6"/>
      <c r="BZ1550" s="6"/>
      <c r="CA1550" s="6"/>
      <c r="CB1550" s="6"/>
      <c r="CC1550" s="6"/>
    </row>
    <row r="1551" spans="2:81" x14ac:dyDescent="0.2">
      <c r="B1551" s="68"/>
      <c r="C1551" s="69"/>
      <c r="D1551" s="70"/>
      <c r="F1551" s="68"/>
      <c r="G1551" s="69"/>
      <c r="H1551" s="70"/>
      <c r="J1551" s="71"/>
      <c r="K1551" s="71"/>
      <c r="L1551" s="67"/>
      <c r="N1551" s="71"/>
      <c r="O1551" s="71"/>
      <c r="P1551" s="67"/>
      <c r="R1551" s="67"/>
      <c r="S1551" s="6"/>
      <c r="T1551" s="6"/>
      <c r="U1551" s="6"/>
      <c r="V1551" s="6"/>
      <c r="W1551" s="6"/>
      <c r="X1551" s="6"/>
      <c r="Y1551" s="6"/>
      <c r="Z1551" s="6"/>
      <c r="AA1551" s="6"/>
      <c r="AB1551" s="6"/>
      <c r="AC1551" s="6"/>
      <c r="AD1551" s="6"/>
      <c r="AE1551" s="6"/>
      <c r="AF1551" s="6"/>
      <c r="AG1551" s="6"/>
      <c r="AH1551" s="6"/>
      <c r="AI1551" s="6"/>
      <c r="AJ1551" s="6"/>
      <c r="AK1551" s="6"/>
      <c r="AL1551" s="6"/>
      <c r="AM1551" s="6"/>
      <c r="AN1551" s="6"/>
      <c r="AO1551" s="6"/>
      <c r="AP1551" s="6"/>
      <c r="AQ1551" s="6"/>
      <c r="AR1551" s="6"/>
      <c r="AS1551" s="6"/>
      <c r="AT1551" s="6"/>
      <c r="AU1551" s="6"/>
      <c r="AV1551" s="6"/>
      <c r="AW1551" s="6"/>
      <c r="AX1551" s="6"/>
      <c r="AY1551" s="6"/>
      <c r="AZ1551" s="6"/>
      <c r="BA1551" s="6"/>
      <c r="BB1551" s="6"/>
      <c r="BC1551" s="6"/>
      <c r="BD1551" s="6"/>
      <c r="BE1551" s="6"/>
      <c r="BF1551" s="6"/>
      <c r="BG1551" s="6"/>
      <c r="BH1551" s="6"/>
      <c r="BI1551" s="6"/>
      <c r="BJ1551" s="6"/>
      <c r="BK1551" s="6"/>
      <c r="BL1551" s="6"/>
      <c r="BM1551" s="6"/>
      <c r="BN1551" s="6"/>
      <c r="BO1551" s="6"/>
      <c r="BP1551" s="6"/>
      <c r="BQ1551" s="6"/>
      <c r="BR1551" s="6"/>
      <c r="BS1551" s="6"/>
      <c r="BT1551" s="6"/>
      <c r="BU1551" s="6"/>
      <c r="BV1551" s="6"/>
      <c r="BW1551" s="6"/>
      <c r="BX1551" s="6"/>
      <c r="BY1551" s="6"/>
      <c r="BZ1551" s="6"/>
      <c r="CA1551" s="6"/>
      <c r="CB1551" s="6"/>
      <c r="CC1551" s="6"/>
    </row>
    <row r="1552" spans="2:81" x14ac:dyDescent="0.2">
      <c r="B1552" s="68"/>
      <c r="C1552" s="69"/>
      <c r="D1552" s="70"/>
      <c r="F1552" s="68"/>
      <c r="G1552" s="69"/>
      <c r="H1552" s="70"/>
      <c r="J1552" s="71"/>
      <c r="K1552" s="71"/>
      <c r="L1552" s="67"/>
      <c r="N1552" s="71"/>
      <c r="O1552" s="71"/>
      <c r="P1552" s="67"/>
      <c r="R1552" s="67"/>
      <c r="S1552" s="6"/>
      <c r="T1552" s="6"/>
      <c r="U1552" s="6"/>
      <c r="V1552" s="6"/>
      <c r="W1552" s="6"/>
      <c r="X1552" s="6"/>
      <c r="Y1552" s="6"/>
      <c r="Z1552" s="6"/>
      <c r="AA1552" s="6"/>
      <c r="AB1552" s="6"/>
      <c r="AC1552" s="6"/>
      <c r="AD1552" s="6"/>
      <c r="AE1552" s="6"/>
      <c r="AF1552" s="6"/>
      <c r="AG1552" s="6"/>
      <c r="AH1552" s="6"/>
      <c r="AI1552" s="6"/>
      <c r="AJ1552" s="6"/>
      <c r="AK1552" s="6"/>
      <c r="AL1552" s="6"/>
      <c r="AM1552" s="6"/>
      <c r="AN1552" s="6"/>
      <c r="AO1552" s="6"/>
      <c r="AP1552" s="6"/>
      <c r="AQ1552" s="6"/>
      <c r="AR1552" s="6"/>
      <c r="AS1552" s="6"/>
      <c r="AT1552" s="6"/>
      <c r="AU1552" s="6"/>
      <c r="AV1552" s="6"/>
      <c r="AW1552" s="6"/>
      <c r="AX1552" s="6"/>
      <c r="AY1552" s="6"/>
      <c r="AZ1552" s="6"/>
      <c r="BA1552" s="6"/>
      <c r="BB1552" s="6"/>
      <c r="BC1552" s="6"/>
      <c r="BD1552" s="6"/>
      <c r="BE1552" s="6"/>
      <c r="BF1552" s="6"/>
      <c r="BG1552" s="6"/>
      <c r="BH1552" s="6"/>
      <c r="BI1552" s="6"/>
      <c r="BJ1552" s="6"/>
      <c r="BK1552" s="6"/>
      <c r="BL1552" s="6"/>
      <c r="BM1552" s="6"/>
      <c r="BN1552" s="6"/>
      <c r="BO1552" s="6"/>
      <c r="BP1552" s="6"/>
      <c r="BQ1552" s="6"/>
      <c r="BR1552" s="6"/>
      <c r="BS1552" s="6"/>
      <c r="BT1552" s="6"/>
      <c r="BU1552" s="6"/>
      <c r="BV1552" s="6"/>
      <c r="BW1552" s="6"/>
      <c r="BX1552" s="6"/>
      <c r="BY1552" s="6"/>
      <c r="BZ1552" s="6"/>
      <c r="CA1552" s="6"/>
      <c r="CB1552" s="6"/>
      <c r="CC1552" s="6"/>
    </row>
    <row r="1553" spans="2:81" x14ac:dyDescent="0.2">
      <c r="B1553" s="68"/>
      <c r="C1553" s="69"/>
      <c r="D1553" s="70"/>
      <c r="F1553" s="68"/>
      <c r="G1553" s="69"/>
      <c r="H1553" s="70"/>
      <c r="J1553" s="71"/>
      <c r="K1553" s="71"/>
      <c r="L1553" s="67"/>
      <c r="N1553" s="71"/>
      <c r="O1553" s="71"/>
      <c r="P1553" s="67"/>
      <c r="R1553" s="67"/>
      <c r="S1553" s="6"/>
      <c r="T1553" s="6"/>
      <c r="U1553" s="6"/>
      <c r="V1553" s="6"/>
      <c r="W1553" s="6"/>
      <c r="X1553" s="6"/>
      <c r="Y1553" s="6"/>
      <c r="Z1553" s="6"/>
      <c r="AA1553" s="6"/>
      <c r="AB1553" s="6"/>
      <c r="AC1553" s="6"/>
      <c r="AD1553" s="6"/>
      <c r="AE1553" s="6"/>
      <c r="AF1553" s="6"/>
      <c r="AG1553" s="6"/>
      <c r="AH1553" s="6"/>
      <c r="AI1553" s="6"/>
      <c r="AJ1553" s="6"/>
      <c r="AK1553" s="6"/>
      <c r="AL1553" s="6"/>
      <c r="AM1553" s="6"/>
      <c r="AN1553" s="6"/>
      <c r="AO1553" s="6"/>
      <c r="AP1553" s="6"/>
      <c r="AQ1553" s="6"/>
      <c r="AR1553" s="6"/>
      <c r="AS1553" s="6"/>
      <c r="AT1553" s="6"/>
      <c r="AU1553" s="6"/>
      <c r="AV1553" s="6"/>
      <c r="AW1553" s="6"/>
      <c r="AX1553" s="6"/>
      <c r="AY1553" s="6"/>
      <c r="AZ1553" s="6"/>
      <c r="BA1553" s="6"/>
      <c r="BB1553" s="6"/>
      <c r="BC1553" s="6"/>
      <c r="BD1553" s="6"/>
      <c r="BE1553" s="6"/>
      <c r="BF1553" s="6"/>
      <c r="BG1553" s="6"/>
      <c r="BH1553" s="6"/>
      <c r="BI1553" s="6"/>
      <c r="BJ1553" s="6"/>
      <c r="BK1553" s="6"/>
      <c r="BL1553" s="6"/>
      <c r="BM1553" s="6"/>
      <c r="BN1553" s="6"/>
      <c r="BO1553" s="6"/>
      <c r="BP1553" s="6"/>
      <c r="BQ1553" s="6"/>
      <c r="BR1553" s="6"/>
      <c r="BS1553" s="6"/>
      <c r="BT1553" s="6"/>
      <c r="BU1553" s="6"/>
      <c r="BV1553" s="6"/>
      <c r="BW1553" s="6"/>
      <c r="BX1553" s="6"/>
      <c r="BY1553" s="6"/>
      <c r="BZ1553" s="6"/>
      <c r="CA1553" s="6"/>
      <c r="CB1553" s="6"/>
      <c r="CC1553" s="6"/>
    </row>
    <row r="1554" spans="2:81" x14ac:dyDescent="0.2">
      <c r="B1554" s="68"/>
      <c r="C1554" s="69"/>
      <c r="D1554" s="70"/>
      <c r="F1554" s="68"/>
      <c r="G1554" s="69"/>
      <c r="H1554" s="70"/>
      <c r="J1554" s="71"/>
      <c r="K1554" s="71"/>
      <c r="L1554" s="67"/>
      <c r="N1554" s="71"/>
      <c r="O1554" s="71"/>
      <c r="P1554" s="67"/>
      <c r="R1554" s="67"/>
      <c r="S1554" s="6"/>
      <c r="T1554" s="6"/>
      <c r="U1554" s="6"/>
      <c r="V1554" s="6"/>
      <c r="W1554" s="6"/>
      <c r="X1554" s="6"/>
      <c r="Y1554" s="6"/>
      <c r="Z1554" s="6"/>
      <c r="AA1554" s="6"/>
      <c r="AB1554" s="6"/>
      <c r="AC1554" s="6"/>
      <c r="AD1554" s="6"/>
      <c r="AE1554" s="6"/>
      <c r="AF1554" s="6"/>
      <c r="AG1554" s="6"/>
      <c r="AH1554" s="6"/>
      <c r="AI1554" s="6"/>
      <c r="AJ1554" s="6"/>
      <c r="AK1554" s="6"/>
      <c r="AL1554" s="6"/>
      <c r="AM1554" s="6"/>
      <c r="AN1554" s="6"/>
      <c r="AO1554" s="6"/>
      <c r="AP1554" s="6"/>
      <c r="AQ1554" s="6"/>
      <c r="AR1554" s="6"/>
      <c r="AS1554" s="6"/>
      <c r="AT1554" s="6"/>
      <c r="AU1554" s="6"/>
      <c r="AV1554" s="6"/>
      <c r="AW1554" s="6"/>
      <c r="AX1554" s="6"/>
      <c r="AY1554" s="6"/>
      <c r="AZ1554" s="6"/>
      <c r="BA1554" s="6"/>
      <c r="BB1554" s="6"/>
      <c r="BC1554" s="6"/>
      <c r="BD1554" s="6"/>
      <c r="BE1554" s="6"/>
      <c r="BF1554" s="6"/>
      <c r="BG1554" s="6"/>
      <c r="BH1554" s="6"/>
      <c r="BI1554" s="6"/>
      <c r="BJ1554" s="6"/>
      <c r="BK1554" s="6"/>
      <c r="BL1554" s="6"/>
      <c r="BM1554" s="6"/>
      <c r="BN1554" s="6"/>
      <c r="BO1554" s="6"/>
      <c r="BP1554" s="6"/>
      <c r="BQ1554" s="6"/>
      <c r="BR1554" s="6"/>
      <c r="BS1554" s="6"/>
      <c r="BT1554" s="6"/>
      <c r="BU1554" s="6"/>
      <c r="BV1554" s="6"/>
      <c r="BW1554" s="6"/>
      <c r="BX1554" s="6"/>
      <c r="BY1554" s="6"/>
      <c r="BZ1554" s="6"/>
      <c r="CA1554" s="6"/>
      <c r="CB1554" s="6"/>
      <c r="CC1554" s="6"/>
    </row>
    <row r="1555" spans="2:81" x14ac:dyDescent="0.2">
      <c r="B1555" s="68"/>
      <c r="C1555" s="69"/>
      <c r="D1555" s="70"/>
      <c r="F1555" s="68"/>
      <c r="G1555" s="69"/>
      <c r="H1555" s="70"/>
      <c r="J1555" s="71"/>
      <c r="K1555" s="71"/>
      <c r="L1555" s="67"/>
      <c r="N1555" s="71"/>
      <c r="O1555" s="71"/>
      <c r="P1555" s="67"/>
      <c r="R1555" s="67"/>
      <c r="S1555" s="6"/>
      <c r="T1555" s="6"/>
      <c r="U1555" s="6"/>
      <c r="V1555" s="6"/>
      <c r="W1555" s="6"/>
      <c r="X1555" s="6"/>
      <c r="Y1555" s="6"/>
      <c r="Z1555" s="6"/>
      <c r="AA1555" s="6"/>
      <c r="AB1555" s="6"/>
      <c r="AC1555" s="6"/>
      <c r="AD1555" s="6"/>
      <c r="AE1555" s="6"/>
      <c r="AF1555" s="6"/>
      <c r="AG1555" s="6"/>
      <c r="AH1555" s="6"/>
      <c r="AI1555" s="6"/>
      <c r="AJ1555" s="6"/>
      <c r="AK1555" s="6"/>
      <c r="AL1555" s="6"/>
      <c r="AM1555" s="6"/>
      <c r="AN1555" s="6"/>
      <c r="AO1555" s="6"/>
      <c r="AP1555" s="6"/>
      <c r="AQ1555" s="6"/>
      <c r="AR1555" s="6"/>
      <c r="AS1555" s="6"/>
      <c r="AT1555" s="6"/>
      <c r="AU1555" s="6"/>
      <c r="AV1555" s="6"/>
      <c r="AW1555" s="6"/>
      <c r="AX1555" s="6"/>
      <c r="AY1555" s="6"/>
      <c r="AZ1555" s="6"/>
      <c r="BA1555" s="6"/>
      <c r="BB1555" s="6"/>
      <c r="BC1555" s="6"/>
      <c r="BD1555" s="6"/>
      <c r="BE1555" s="6"/>
      <c r="BF1555" s="6"/>
      <c r="BG1555" s="6"/>
      <c r="BH1555" s="6"/>
      <c r="BI1555" s="6"/>
      <c r="BJ1555" s="6"/>
      <c r="BK1555" s="6"/>
      <c r="BL1555" s="6"/>
      <c r="BM1555" s="6"/>
      <c r="BN1555" s="6"/>
      <c r="BO1555" s="6"/>
      <c r="BP1555" s="6"/>
      <c r="BQ1555" s="6"/>
      <c r="BR1555" s="6"/>
      <c r="BS1555" s="6"/>
      <c r="BT1555" s="6"/>
      <c r="BU1555" s="6"/>
      <c r="BV1555" s="6"/>
      <c r="BW1555" s="6"/>
      <c r="BX1555" s="6"/>
      <c r="BY1555" s="6"/>
      <c r="BZ1555" s="6"/>
      <c r="CA1555" s="6"/>
      <c r="CB1555" s="6"/>
      <c r="CC1555" s="6"/>
    </row>
    <row r="1556" spans="2:81" x14ac:dyDescent="0.2">
      <c r="B1556" s="68"/>
      <c r="C1556" s="69"/>
      <c r="D1556" s="70"/>
      <c r="F1556" s="68"/>
      <c r="G1556" s="69"/>
      <c r="H1556" s="70"/>
      <c r="J1556" s="71"/>
      <c r="K1556" s="71"/>
      <c r="L1556" s="67"/>
      <c r="N1556" s="71"/>
      <c r="O1556" s="71"/>
      <c r="P1556" s="67"/>
      <c r="R1556" s="67"/>
      <c r="S1556" s="6"/>
      <c r="T1556" s="6"/>
      <c r="U1556" s="6"/>
      <c r="V1556" s="6"/>
      <c r="W1556" s="6"/>
      <c r="X1556" s="6"/>
      <c r="Y1556" s="6"/>
      <c r="Z1556" s="6"/>
      <c r="AA1556" s="6"/>
      <c r="AB1556" s="6"/>
      <c r="AC1556" s="6"/>
      <c r="AD1556" s="6"/>
      <c r="AE1556" s="6"/>
      <c r="AF1556" s="6"/>
      <c r="AG1556" s="6"/>
      <c r="AH1556" s="6"/>
      <c r="AI1556" s="6"/>
      <c r="AJ1556" s="6"/>
      <c r="AK1556" s="6"/>
      <c r="AL1556" s="6"/>
      <c r="AM1556" s="6"/>
      <c r="AN1556" s="6"/>
      <c r="AO1556" s="6"/>
      <c r="AP1556" s="6"/>
      <c r="AQ1556" s="6"/>
      <c r="AR1556" s="6"/>
      <c r="AS1556" s="6"/>
      <c r="AT1556" s="6"/>
      <c r="AU1556" s="6"/>
      <c r="AV1556" s="6"/>
      <c r="AW1556" s="6"/>
      <c r="AX1556" s="6"/>
      <c r="AY1556" s="6"/>
      <c r="AZ1556" s="6"/>
      <c r="BA1556" s="6"/>
      <c r="BB1556" s="6"/>
      <c r="BC1556" s="6"/>
      <c r="BD1556" s="6"/>
      <c r="BE1556" s="6"/>
      <c r="BF1556" s="6"/>
      <c r="BG1556" s="6"/>
      <c r="BH1556" s="6"/>
      <c r="BI1556" s="6"/>
      <c r="BJ1556" s="6"/>
      <c r="BK1556" s="6"/>
      <c r="BL1556" s="6"/>
      <c r="BM1556" s="6"/>
      <c r="BN1556" s="6"/>
      <c r="BO1556" s="6"/>
      <c r="BP1556" s="6"/>
      <c r="BQ1556" s="6"/>
      <c r="BR1556" s="6"/>
      <c r="BS1556" s="6"/>
      <c r="BT1556" s="6"/>
      <c r="BU1556" s="6"/>
      <c r="BV1556" s="6"/>
      <c r="BW1556" s="6"/>
      <c r="BX1556" s="6"/>
      <c r="BY1556" s="6"/>
      <c r="BZ1556" s="6"/>
      <c r="CA1556" s="6"/>
      <c r="CB1556" s="6"/>
      <c r="CC1556" s="6"/>
    </row>
    <row r="1557" spans="2:81" x14ac:dyDescent="0.2">
      <c r="B1557" s="68"/>
      <c r="C1557" s="69"/>
      <c r="D1557" s="70"/>
      <c r="F1557" s="68"/>
      <c r="G1557" s="69"/>
      <c r="H1557" s="70"/>
      <c r="J1557" s="71"/>
      <c r="K1557" s="71"/>
      <c r="L1557" s="67"/>
      <c r="N1557" s="71"/>
      <c r="O1557" s="71"/>
      <c r="P1557" s="67"/>
      <c r="R1557" s="67"/>
      <c r="S1557" s="6"/>
      <c r="T1557" s="6"/>
      <c r="U1557" s="6"/>
      <c r="V1557" s="6"/>
      <c r="W1557" s="6"/>
      <c r="X1557" s="6"/>
      <c r="Y1557" s="6"/>
      <c r="Z1557" s="6"/>
      <c r="AA1557" s="6"/>
      <c r="AB1557" s="6"/>
      <c r="AC1557" s="6"/>
      <c r="AD1557" s="6"/>
      <c r="AE1557" s="6"/>
      <c r="AF1557" s="6"/>
      <c r="AG1557" s="6"/>
      <c r="AH1557" s="6"/>
      <c r="AI1557" s="6"/>
      <c r="AJ1557" s="6"/>
      <c r="AK1557" s="6"/>
      <c r="AL1557" s="6"/>
      <c r="AM1557" s="6"/>
      <c r="AN1557" s="6"/>
      <c r="AO1557" s="6"/>
      <c r="AP1557" s="6"/>
      <c r="AQ1557" s="6"/>
      <c r="AR1557" s="6"/>
      <c r="AS1557" s="6"/>
      <c r="AT1557" s="6"/>
      <c r="AU1557" s="6"/>
      <c r="AV1557" s="6"/>
      <c r="AW1557" s="6"/>
      <c r="AX1557" s="6"/>
      <c r="AY1557" s="6"/>
      <c r="AZ1557" s="6"/>
      <c r="BA1557" s="6"/>
      <c r="BB1557" s="6"/>
      <c r="BC1557" s="6"/>
      <c r="BD1557" s="6"/>
      <c r="BE1557" s="6"/>
      <c r="BF1557" s="6"/>
      <c r="BG1557" s="6"/>
      <c r="BH1557" s="6"/>
      <c r="BI1557" s="6"/>
      <c r="BJ1557" s="6"/>
      <c r="BK1557" s="6"/>
      <c r="BL1557" s="6"/>
      <c r="BM1557" s="6"/>
      <c r="BN1557" s="6"/>
      <c r="BO1557" s="6"/>
      <c r="BP1557" s="6"/>
      <c r="BQ1557" s="6"/>
      <c r="BR1557" s="6"/>
      <c r="BS1557" s="6"/>
      <c r="BT1557" s="6"/>
      <c r="BU1557" s="6"/>
      <c r="BV1557" s="6"/>
      <c r="BW1557" s="6"/>
      <c r="BX1557" s="6"/>
      <c r="BY1557" s="6"/>
      <c r="BZ1557" s="6"/>
      <c r="CA1557" s="6"/>
      <c r="CB1557" s="6"/>
      <c r="CC1557" s="6"/>
    </row>
    <row r="1558" spans="2:81" x14ac:dyDescent="0.2">
      <c r="B1558" s="68"/>
      <c r="C1558" s="69"/>
      <c r="D1558" s="70"/>
      <c r="F1558" s="68"/>
      <c r="G1558" s="69"/>
      <c r="H1558" s="70"/>
      <c r="J1558" s="71"/>
      <c r="K1558" s="71"/>
      <c r="L1558" s="67"/>
      <c r="N1558" s="71"/>
      <c r="O1558" s="71"/>
      <c r="P1558" s="67"/>
      <c r="R1558" s="67"/>
      <c r="S1558" s="6"/>
      <c r="T1558" s="6"/>
      <c r="U1558" s="6"/>
      <c r="V1558" s="6"/>
      <c r="W1558" s="6"/>
      <c r="X1558" s="6"/>
      <c r="Y1558" s="6"/>
      <c r="Z1558" s="6"/>
      <c r="AA1558" s="6"/>
      <c r="AB1558" s="6"/>
      <c r="AC1558" s="6"/>
      <c r="AD1558" s="6"/>
      <c r="AE1558" s="6"/>
      <c r="AF1558" s="6"/>
      <c r="AG1558" s="6"/>
      <c r="AH1558" s="6"/>
      <c r="AI1558" s="6"/>
      <c r="AJ1558" s="6"/>
      <c r="AK1558" s="6"/>
      <c r="AL1558" s="6"/>
      <c r="AM1558" s="6"/>
      <c r="AN1558" s="6"/>
      <c r="AO1558" s="6"/>
      <c r="AP1558" s="6"/>
      <c r="AQ1558" s="6"/>
      <c r="AR1558" s="6"/>
      <c r="AS1558" s="6"/>
      <c r="AT1558" s="6"/>
      <c r="AU1558" s="6"/>
      <c r="AV1558" s="6"/>
      <c r="AW1558" s="6"/>
      <c r="AX1558" s="6"/>
      <c r="AY1558" s="6"/>
      <c r="AZ1558" s="6"/>
      <c r="BA1558" s="6"/>
      <c r="BB1558" s="6"/>
      <c r="BC1558" s="6"/>
      <c r="BD1558" s="6"/>
      <c r="BE1558" s="6"/>
      <c r="BF1558" s="6"/>
      <c r="BG1558" s="6"/>
      <c r="BH1558" s="6"/>
      <c r="BI1558" s="6"/>
      <c r="BJ1558" s="6"/>
      <c r="BK1558" s="6"/>
      <c r="BL1558" s="6"/>
      <c r="BM1558" s="6"/>
      <c r="BN1558" s="6"/>
      <c r="BO1558" s="6"/>
      <c r="BP1558" s="6"/>
      <c r="BQ1558" s="6"/>
      <c r="BR1558" s="6"/>
      <c r="BS1558" s="6"/>
      <c r="BT1558" s="6"/>
      <c r="BU1558" s="6"/>
      <c r="BV1558" s="6"/>
      <c r="BW1558" s="6"/>
      <c r="BX1558" s="6"/>
      <c r="BY1558" s="6"/>
      <c r="BZ1558" s="6"/>
      <c r="CA1558" s="6"/>
      <c r="CB1558" s="6"/>
      <c r="CC1558" s="6"/>
    </row>
    <row r="1559" spans="2:81" x14ac:dyDescent="0.2">
      <c r="B1559" s="68"/>
      <c r="C1559" s="69"/>
      <c r="D1559" s="70"/>
      <c r="F1559" s="68"/>
      <c r="G1559" s="69"/>
      <c r="H1559" s="70"/>
      <c r="J1559" s="71"/>
      <c r="K1559" s="71"/>
      <c r="L1559" s="67"/>
      <c r="N1559" s="71"/>
      <c r="O1559" s="71"/>
      <c r="P1559" s="67"/>
      <c r="R1559" s="67"/>
      <c r="S1559" s="6"/>
      <c r="T1559" s="6"/>
      <c r="U1559" s="6"/>
      <c r="V1559" s="6"/>
      <c r="W1559" s="6"/>
      <c r="X1559" s="6"/>
      <c r="Y1559" s="6"/>
      <c r="Z1559" s="6"/>
      <c r="AA1559" s="6"/>
      <c r="AB1559" s="6"/>
      <c r="AC1559" s="6"/>
      <c r="AD1559" s="6"/>
      <c r="AE1559" s="6"/>
      <c r="AF1559" s="6"/>
      <c r="AG1559" s="6"/>
      <c r="AH1559" s="6"/>
      <c r="AI1559" s="6"/>
      <c r="AJ1559" s="6"/>
      <c r="AK1559" s="6"/>
      <c r="AL1559" s="6"/>
      <c r="AM1559" s="6"/>
      <c r="AN1559" s="6"/>
      <c r="AO1559" s="6"/>
      <c r="AP1559" s="6"/>
      <c r="AQ1559" s="6"/>
      <c r="AR1559" s="6"/>
      <c r="AS1559" s="6"/>
      <c r="AT1559" s="6"/>
      <c r="AU1559" s="6"/>
      <c r="AV1559" s="6"/>
      <c r="AW1559" s="6"/>
      <c r="AX1559" s="6"/>
      <c r="AY1559" s="6"/>
      <c r="AZ1559" s="6"/>
      <c r="BA1559" s="6"/>
      <c r="BB1559" s="6"/>
      <c r="BC1559" s="6"/>
      <c r="BD1559" s="6"/>
      <c r="BE1559" s="6"/>
      <c r="BF1559" s="6"/>
      <c r="BG1559" s="6"/>
      <c r="BH1559" s="6"/>
      <c r="BI1559" s="6"/>
      <c r="BJ1559" s="6"/>
      <c r="BK1559" s="6"/>
      <c r="BL1559" s="6"/>
      <c r="BM1559" s="6"/>
      <c r="BN1559" s="6"/>
      <c r="BO1559" s="6"/>
      <c r="BP1559" s="6"/>
      <c r="BQ1559" s="6"/>
      <c r="BR1559" s="6"/>
      <c r="BS1559" s="6"/>
      <c r="BT1559" s="6"/>
      <c r="BU1559" s="6"/>
      <c r="BV1559" s="6"/>
      <c r="BW1559" s="6"/>
      <c r="BX1559" s="6"/>
      <c r="BY1559" s="6"/>
      <c r="BZ1559" s="6"/>
      <c r="CA1559" s="6"/>
      <c r="CB1559" s="6"/>
      <c r="CC1559" s="6"/>
    </row>
    <row r="1560" spans="2:81" x14ac:dyDescent="0.2">
      <c r="B1560" s="68"/>
      <c r="C1560" s="69"/>
      <c r="D1560" s="70"/>
      <c r="F1560" s="68"/>
      <c r="G1560" s="69"/>
      <c r="H1560" s="70"/>
      <c r="J1560" s="71"/>
      <c r="K1560" s="71"/>
      <c r="L1560" s="67"/>
      <c r="N1560" s="71"/>
      <c r="O1560" s="71"/>
      <c r="P1560" s="67"/>
      <c r="R1560" s="67"/>
      <c r="S1560" s="6"/>
      <c r="T1560" s="6"/>
      <c r="U1560" s="6"/>
      <c r="V1560" s="6"/>
      <c r="W1560" s="6"/>
      <c r="X1560" s="6"/>
      <c r="Y1560" s="6"/>
      <c r="Z1560" s="6"/>
      <c r="AA1560" s="6"/>
      <c r="AB1560" s="6"/>
      <c r="AC1560" s="6"/>
      <c r="AD1560" s="6"/>
      <c r="AE1560" s="6"/>
      <c r="AF1560" s="6"/>
      <c r="AG1560" s="6"/>
      <c r="AH1560" s="6"/>
      <c r="AI1560" s="6"/>
      <c r="AJ1560" s="6"/>
      <c r="AK1560" s="6"/>
      <c r="AL1560" s="6"/>
      <c r="AM1560" s="6"/>
      <c r="AN1560" s="6"/>
      <c r="AO1560" s="6"/>
      <c r="AP1560" s="6"/>
      <c r="AQ1560" s="6"/>
      <c r="AR1560" s="6"/>
      <c r="AS1560" s="6"/>
      <c r="AT1560" s="6"/>
      <c r="AU1560" s="6"/>
      <c r="AV1560" s="6"/>
      <c r="AW1560" s="6"/>
      <c r="AX1560" s="6"/>
      <c r="AY1560" s="6"/>
      <c r="AZ1560" s="6"/>
      <c r="BA1560" s="6"/>
      <c r="BB1560" s="6"/>
      <c r="BC1560" s="6"/>
      <c r="BD1560" s="6"/>
      <c r="BE1560" s="6"/>
      <c r="BF1560" s="6"/>
      <c r="BG1560" s="6"/>
      <c r="BH1560" s="6"/>
      <c r="BI1560" s="6"/>
      <c r="BJ1560" s="6"/>
      <c r="BK1560" s="6"/>
      <c r="BL1560" s="6"/>
      <c r="BM1560" s="6"/>
      <c r="BN1560" s="6"/>
      <c r="BO1560" s="6"/>
      <c r="BP1560" s="6"/>
      <c r="BQ1560" s="6"/>
      <c r="BR1560" s="6"/>
      <c r="BS1560" s="6"/>
      <c r="BT1560" s="6"/>
      <c r="BU1560" s="6"/>
      <c r="BV1560" s="6"/>
      <c r="BW1560" s="6"/>
      <c r="BX1560" s="6"/>
      <c r="BY1560" s="6"/>
      <c r="BZ1560" s="6"/>
      <c r="CA1560" s="6"/>
      <c r="CB1560" s="6"/>
      <c r="CC1560" s="6"/>
    </row>
    <row r="1561" spans="2:81" x14ac:dyDescent="0.2">
      <c r="B1561" s="68"/>
      <c r="C1561" s="69"/>
      <c r="D1561" s="70"/>
      <c r="F1561" s="68"/>
      <c r="G1561" s="69"/>
      <c r="H1561" s="70"/>
      <c r="J1561" s="71"/>
      <c r="K1561" s="71"/>
      <c r="L1561" s="67"/>
      <c r="N1561" s="71"/>
      <c r="O1561" s="71"/>
      <c r="P1561" s="67"/>
      <c r="R1561" s="67"/>
      <c r="S1561" s="6"/>
      <c r="T1561" s="6"/>
      <c r="U1561" s="6"/>
      <c r="V1561" s="6"/>
      <c r="W1561" s="6"/>
      <c r="X1561" s="6"/>
      <c r="Y1561" s="6"/>
      <c r="Z1561" s="6"/>
      <c r="AA1561" s="6"/>
      <c r="AB1561" s="6"/>
      <c r="AC1561" s="6"/>
      <c r="AD1561" s="6"/>
      <c r="AE1561" s="6"/>
      <c r="AF1561" s="6"/>
      <c r="AG1561" s="6"/>
      <c r="AH1561" s="6"/>
      <c r="AI1561" s="6"/>
      <c r="AJ1561" s="6"/>
      <c r="AK1561" s="6"/>
      <c r="AL1561" s="6"/>
      <c r="AM1561" s="6"/>
      <c r="AN1561" s="6"/>
      <c r="AO1561" s="6"/>
      <c r="AP1561" s="6"/>
      <c r="AQ1561" s="6"/>
      <c r="AR1561" s="6"/>
      <c r="AS1561" s="6"/>
      <c r="AT1561" s="6"/>
      <c r="AU1561" s="6"/>
      <c r="AV1561" s="6"/>
      <c r="AW1561" s="6"/>
      <c r="AX1561" s="6"/>
      <c r="AY1561" s="6"/>
      <c r="AZ1561" s="6"/>
      <c r="BA1561" s="6"/>
      <c r="BB1561" s="6"/>
      <c r="BC1561" s="6"/>
      <c r="BD1561" s="6"/>
      <c r="BE1561" s="6"/>
      <c r="BF1561" s="6"/>
      <c r="BG1561" s="6"/>
      <c r="BH1561" s="6"/>
      <c r="BI1561" s="6"/>
      <c r="BJ1561" s="6"/>
      <c r="BK1561" s="6"/>
      <c r="BL1561" s="6"/>
      <c r="BM1561" s="6"/>
      <c r="BN1561" s="6"/>
      <c r="BO1561" s="6"/>
      <c r="BP1561" s="6"/>
      <c r="BQ1561" s="6"/>
      <c r="BR1561" s="6"/>
      <c r="BS1561" s="6"/>
      <c r="BT1561" s="6"/>
      <c r="BU1561" s="6"/>
      <c r="BV1561" s="6"/>
      <c r="BW1561" s="6"/>
      <c r="BX1561" s="6"/>
      <c r="BY1561" s="6"/>
      <c r="BZ1561" s="6"/>
      <c r="CA1561" s="6"/>
      <c r="CB1561" s="6"/>
      <c r="CC1561" s="6"/>
    </row>
    <row r="1562" spans="2:81" x14ac:dyDescent="0.2">
      <c r="B1562" s="68"/>
      <c r="C1562" s="69"/>
      <c r="D1562" s="70"/>
      <c r="F1562" s="68"/>
      <c r="G1562" s="69"/>
      <c r="H1562" s="70"/>
      <c r="J1562" s="71"/>
      <c r="K1562" s="71"/>
      <c r="L1562" s="67"/>
      <c r="N1562" s="71"/>
      <c r="O1562" s="71"/>
      <c r="P1562" s="67"/>
      <c r="R1562" s="67"/>
      <c r="S1562" s="6"/>
      <c r="T1562" s="6"/>
      <c r="U1562" s="6"/>
      <c r="V1562" s="6"/>
      <c r="W1562" s="6"/>
      <c r="X1562" s="6"/>
      <c r="Y1562" s="6"/>
      <c r="Z1562" s="6"/>
      <c r="AA1562" s="6"/>
      <c r="AB1562" s="6"/>
      <c r="AC1562" s="6"/>
      <c r="AD1562" s="6"/>
      <c r="AE1562" s="6"/>
      <c r="AF1562" s="6"/>
      <c r="AG1562" s="6"/>
      <c r="AH1562" s="6"/>
      <c r="AI1562" s="6"/>
      <c r="AJ1562" s="6"/>
      <c r="AK1562" s="6"/>
      <c r="AL1562" s="6"/>
      <c r="AM1562" s="6"/>
      <c r="AN1562" s="6"/>
      <c r="AO1562" s="6"/>
      <c r="AP1562" s="6"/>
      <c r="AQ1562" s="6"/>
      <c r="AR1562" s="6"/>
      <c r="AS1562" s="6"/>
      <c r="AT1562" s="6"/>
      <c r="AU1562" s="6"/>
      <c r="AV1562" s="6"/>
      <c r="AW1562" s="6"/>
      <c r="AX1562" s="6"/>
      <c r="AY1562" s="6"/>
      <c r="AZ1562" s="6"/>
      <c r="BA1562" s="6"/>
      <c r="BB1562" s="6"/>
      <c r="BC1562" s="6"/>
      <c r="BD1562" s="6"/>
      <c r="BE1562" s="6"/>
      <c r="BF1562" s="6"/>
      <c r="BG1562" s="6"/>
      <c r="BH1562" s="6"/>
      <c r="BI1562" s="6"/>
      <c r="BJ1562" s="6"/>
      <c r="BK1562" s="6"/>
      <c r="BL1562" s="6"/>
      <c r="BM1562" s="6"/>
      <c r="BN1562" s="6"/>
      <c r="BO1562" s="6"/>
      <c r="BP1562" s="6"/>
      <c r="BQ1562" s="6"/>
      <c r="BR1562" s="6"/>
      <c r="BS1562" s="6"/>
      <c r="BT1562" s="6"/>
      <c r="BU1562" s="6"/>
      <c r="BV1562" s="6"/>
      <c r="BW1562" s="6"/>
      <c r="BX1562" s="6"/>
      <c r="BY1562" s="6"/>
      <c r="BZ1562" s="6"/>
      <c r="CA1562" s="6"/>
      <c r="CB1562" s="6"/>
      <c r="CC1562" s="6"/>
    </row>
    <row r="1563" spans="2:81" x14ac:dyDescent="0.2">
      <c r="B1563" s="68"/>
      <c r="C1563" s="69"/>
      <c r="D1563" s="70"/>
      <c r="F1563" s="68"/>
      <c r="G1563" s="69"/>
      <c r="H1563" s="70"/>
      <c r="J1563" s="71"/>
      <c r="K1563" s="71"/>
      <c r="L1563" s="67"/>
      <c r="N1563" s="71"/>
      <c r="O1563" s="71"/>
      <c r="P1563" s="67"/>
      <c r="R1563" s="67"/>
      <c r="S1563" s="6"/>
      <c r="T1563" s="6"/>
      <c r="U1563" s="6"/>
      <c r="V1563" s="6"/>
      <c r="W1563" s="6"/>
      <c r="X1563" s="6"/>
      <c r="Y1563" s="6"/>
      <c r="Z1563" s="6"/>
      <c r="AA1563" s="6"/>
      <c r="AB1563" s="6"/>
      <c r="AC1563" s="6"/>
      <c r="AD1563" s="6"/>
      <c r="AE1563" s="6"/>
      <c r="AF1563" s="6"/>
      <c r="AG1563" s="6"/>
      <c r="AH1563" s="6"/>
      <c r="AI1563" s="6"/>
      <c r="AJ1563" s="6"/>
      <c r="AK1563" s="6"/>
      <c r="AL1563" s="6"/>
      <c r="AM1563" s="6"/>
      <c r="AN1563" s="6"/>
      <c r="AO1563" s="6"/>
      <c r="AP1563" s="6"/>
      <c r="AQ1563" s="6"/>
      <c r="AR1563" s="6"/>
      <c r="AS1563" s="6"/>
      <c r="AT1563" s="6"/>
      <c r="AU1563" s="6"/>
      <c r="AV1563" s="6"/>
      <c r="AW1563" s="6"/>
      <c r="AX1563" s="6"/>
      <c r="AY1563" s="6"/>
      <c r="AZ1563" s="6"/>
      <c r="BA1563" s="6"/>
      <c r="BB1563" s="6"/>
      <c r="BC1563" s="6"/>
      <c r="BD1563" s="6"/>
      <c r="BE1563" s="6"/>
      <c r="BF1563" s="6"/>
      <c r="BG1563" s="6"/>
      <c r="BH1563" s="6"/>
      <c r="BI1563" s="6"/>
      <c r="BJ1563" s="6"/>
      <c r="BK1563" s="6"/>
      <c r="BL1563" s="6"/>
      <c r="BM1563" s="6"/>
      <c r="BN1563" s="6"/>
      <c r="BO1563" s="6"/>
      <c r="BP1563" s="6"/>
      <c r="BQ1563" s="6"/>
      <c r="BR1563" s="6"/>
      <c r="BS1563" s="6"/>
      <c r="BT1563" s="6"/>
      <c r="BU1563" s="6"/>
      <c r="BV1563" s="6"/>
      <c r="BW1563" s="6"/>
      <c r="BX1563" s="6"/>
      <c r="BY1563" s="6"/>
      <c r="BZ1563" s="6"/>
      <c r="CA1563" s="6"/>
      <c r="CB1563" s="6"/>
      <c r="CC1563" s="6"/>
    </row>
    <row r="1564" spans="2:81" x14ac:dyDescent="0.2">
      <c r="B1564" s="68"/>
      <c r="C1564" s="69"/>
      <c r="D1564" s="70"/>
      <c r="F1564" s="68"/>
      <c r="G1564" s="69"/>
      <c r="H1564" s="70"/>
      <c r="J1564" s="71"/>
      <c r="K1564" s="71"/>
      <c r="L1564" s="67"/>
      <c r="N1564" s="71"/>
      <c r="O1564" s="71"/>
      <c r="P1564" s="67"/>
      <c r="R1564" s="67"/>
      <c r="S1564" s="6"/>
      <c r="T1564" s="6"/>
      <c r="U1564" s="6"/>
      <c r="V1564" s="6"/>
      <c r="W1564" s="6"/>
      <c r="X1564" s="6"/>
      <c r="Y1564" s="6"/>
      <c r="Z1564" s="6"/>
      <c r="AA1564" s="6"/>
      <c r="AB1564" s="6"/>
      <c r="AC1564" s="6"/>
      <c r="AD1564" s="6"/>
      <c r="AE1564" s="6"/>
      <c r="AF1564" s="6"/>
      <c r="AG1564" s="6"/>
      <c r="AH1564" s="6"/>
      <c r="AI1564" s="6"/>
      <c r="AJ1564" s="6"/>
      <c r="AK1564" s="6"/>
      <c r="AL1564" s="6"/>
      <c r="AM1564" s="6"/>
      <c r="AN1564" s="6"/>
      <c r="AO1564" s="6"/>
      <c r="AP1564" s="6"/>
      <c r="AQ1564" s="6"/>
      <c r="AR1564" s="6"/>
      <c r="AS1564" s="6"/>
      <c r="AT1564" s="6"/>
      <c r="AU1564" s="6"/>
      <c r="AV1564" s="6"/>
      <c r="AW1564" s="6"/>
      <c r="AX1564" s="6"/>
      <c r="AY1564" s="6"/>
      <c r="AZ1564" s="6"/>
      <c r="BA1564" s="6"/>
      <c r="BB1564" s="6"/>
      <c r="BC1564" s="6"/>
      <c r="BD1564" s="6"/>
      <c r="BE1564" s="6"/>
      <c r="BF1564" s="6"/>
      <c r="BG1564" s="6"/>
      <c r="BH1564" s="6"/>
      <c r="BI1564" s="6"/>
      <c r="BJ1564" s="6"/>
      <c r="BK1564" s="6"/>
      <c r="BL1564" s="6"/>
      <c r="BM1564" s="6"/>
      <c r="BN1564" s="6"/>
      <c r="BO1564" s="6"/>
      <c r="BP1564" s="6"/>
      <c r="BQ1564" s="6"/>
      <c r="BR1564" s="6"/>
      <c r="BS1564" s="6"/>
      <c r="BT1564" s="6"/>
      <c r="BU1564" s="6"/>
      <c r="BV1564" s="6"/>
      <c r="BW1564" s="6"/>
      <c r="BX1564" s="6"/>
      <c r="BY1564" s="6"/>
      <c r="BZ1564" s="6"/>
      <c r="CA1564" s="6"/>
      <c r="CB1564" s="6"/>
      <c r="CC1564" s="6"/>
    </row>
    <row r="1565" spans="2:81" x14ac:dyDescent="0.2">
      <c r="B1565" s="68"/>
      <c r="C1565" s="69"/>
      <c r="D1565" s="70"/>
      <c r="F1565" s="68"/>
      <c r="G1565" s="69"/>
      <c r="H1565" s="70"/>
      <c r="J1565" s="71"/>
      <c r="K1565" s="71"/>
      <c r="L1565" s="67"/>
      <c r="N1565" s="71"/>
      <c r="O1565" s="71"/>
      <c r="P1565" s="67"/>
      <c r="R1565" s="67"/>
      <c r="S1565" s="6"/>
      <c r="T1565" s="6"/>
      <c r="U1565" s="6"/>
      <c r="V1565" s="6"/>
      <c r="W1565" s="6"/>
      <c r="X1565" s="6"/>
      <c r="Y1565" s="6"/>
      <c r="Z1565" s="6"/>
      <c r="AA1565" s="6"/>
      <c r="AB1565" s="6"/>
      <c r="AC1565" s="6"/>
      <c r="AD1565" s="6"/>
      <c r="AE1565" s="6"/>
      <c r="AF1565" s="6"/>
      <c r="AG1565" s="6"/>
      <c r="AH1565" s="6"/>
      <c r="AI1565" s="6"/>
      <c r="AJ1565" s="6"/>
      <c r="AK1565" s="6"/>
      <c r="AL1565" s="6"/>
      <c r="AM1565" s="6"/>
      <c r="AN1565" s="6"/>
      <c r="AO1565" s="6"/>
      <c r="AP1565" s="6"/>
      <c r="AQ1565" s="6"/>
      <c r="AR1565" s="6"/>
      <c r="AS1565" s="6"/>
      <c r="AT1565" s="6"/>
      <c r="AU1565" s="6"/>
      <c r="AV1565" s="6"/>
      <c r="AW1565" s="6"/>
      <c r="AX1565" s="6"/>
      <c r="AY1565" s="6"/>
      <c r="AZ1565" s="6"/>
      <c r="BA1565" s="6"/>
      <c r="BB1565" s="6"/>
      <c r="BC1565" s="6"/>
      <c r="BD1565" s="6"/>
      <c r="BE1565" s="6"/>
      <c r="BF1565" s="6"/>
      <c r="BG1565" s="6"/>
      <c r="BH1565" s="6"/>
      <c r="BI1565" s="6"/>
      <c r="BJ1565" s="6"/>
      <c r="BK1565" s="6"/>
      <c r="BL1565" s="6"/>
      <c r="BM1565" s="6"/>
      <c r="BN1565" s="6"/>
      <c r="BO1565" s="6"/>
      <c r="BP1565" s="6"/>
      <c r="BQ1565" s="6"/>
      <c r="BR1565" s="6"/>
      <c r="BS1565" s="6"/>
      <c r="BT1565" s="6"/>
      <c r="BU1565" s="6"/>
      <c r="BV1565" s="6"/>
      <c r="BW1565" s="6"/>
      <c r="BX1565" s="6"/>
      <c r="BY1565" s="6"/>
      <c r="BZ1565" s="6"/>
      <c r="CA1565" s="6"/>
      <c r="CB1565" s="6"/>
      <c r="CC1565" s="6"/>
    </row>
    <row r="1566" spans="2:81" x14ac:dyDescent="0.2">
      <c r="B1566" s="68"/>
      <c r="C1566" s="69"/>
      <c r="D1566" s="70"/>
      <c r="F1566" s="68"/>
      <c r="G1566" s="69"/>
      <c r="H1566" s="70"/>
      <c r="J1566" s="71"/>
      <c r="K1566" s="71"/>
      <c r="L1566" s="67"/>
      <c r="N1566" s="71"/>
      <c r="O1566" s="71"/>
      <c r="P1566" s="67"/>
      <c r="R1566" s="67"/>
      <c r="S1566" s="6"/>
      <c r="T1566" s="6"/>
      <c r="U1566" s="6"/>
      <c r="V1566" s="6"/>
      <c r="W1566" s="6"/>
      <c r="X1566" s="6"/>
      <c r="Y1566" s="6"/>
      <c r="Z1566" s="6"/>
      <c r="AA1566" s="6"/>
      <c r="AB1566" s="6"/>
      <c r="AC1566" s="6"/>
      <c r="AD1566" s="6"/>
      <c r="AE1566" s="6"/>
      <c r="AF1566" s="6"/>
      <c r="AG1566" s="6"/>
      <c r="AH1566" s="6"/>
      <c r="AI1566" s="6"/>
      <c r="AJ1566" s="6"/>
      <c r="AK1566" s="6"/>
      <c r="AL1566" s="6"/>
      <c r="AM1566" s="6"/>
      <c r="AN1566" s="6"/>
      <c r="AO1566" s="6"/>
      <c r="AP1566" s="6"/>
      <c r="AQ1566" s="6"/>
      <c r="AR1566" s="6"/>
      <c r="AS1566" s="6"/>
      <c r="AT1566" s="6"/>
      <c r="AU1566" s="6"/>
      <c r="AV1566" s="6"/>
      <c r="AW1566" s="6"/>
      <c r="AX1566" s="6"/>
      <c r="AY1566" s="6"/>
      <c r="AZ1566" s="6"/>
      <c r="BA1566" s="6"/>
      <c r="BB1566" s="6"/>
      <c r="BC1566" s="6"/>
      <c r="BD1566" s="6"/>
      <c r="BE1566" s="6"/>
      <c r="BF1566" s="6"/>
      <c r="BG1566" s="6"/>
      <c r="BH1566" s="6"/>
      <c r="BI1566" s="6"/>
      <c r="BJ1566" s="6"/>
      <c r="BK1566" s="6"/>
      <c r="BL1566" s="6"/>
      <c r="BM1566" s="6"/>
      <c r="BN1566" s="6"/>
      <c r="BO1566" s="6"/>
      <c r="BP1566" s="6"/>
      <c r="BQ1566" s="6"/>
      <c r="BR1566" s="6"/>
      <c r="BS1566" s="6"/>
      <c r="BT1566" s="6"/>
      <c r="BU1566" s="6"/>
      <c r="BV1566" s="6"/>
      <c r="BW1566" s="6"/>
      <c r="BX1566" s="6"/>
      <c r="BY1566" s="6"/>
      <c r="BZ1566" s="6"/>
      <c r="CA1566" s="6"/>
      <c r="CB1566" s="6"/>
      <c r="CC1566" s="6"/>
    </row>
    <row r="1567" spans="2:81" x14ac:dyDescent="0.2">
      <c r="B1567" s="68"/>
      <c r="C1567" s="69"/>
      <c r="D1567" s="70"/>
      <c r="F1567" s="68"/>
      <c r="G1567" s="69"/>
      <c r="H1567" s="70"/>
      <c r="J1567" s="71"/>
      <c r="K1567" s="71"/>
      <c r="L1567" s="67"/>
      <c r="N1567" s="71"/>
      <c r="O1567" s="71"/>
      <c r="P1567" s="67"/>
      <c r="R1567" s="67"/>
      <c r="S1567" s="6"/>
      <c r="T1567" s="6"/>
      <c r="U1567" s="6"/>
      <c r="V1567" s="6"/>
      <c r="W1567" s="6"/>
      <c r="X1567" s="6"/>
      <c r="Y1567" s="6"/>
      <c r="Z1567" s="6"/>
      <c r="AA1567" s="6"/>
      <c r="AB1567" s="6"/>
      <c r="AC1567" s="6"/>
      <c r="AD1567" s="6"/>
      <c r="AE1567" s="6"/>
      <c r="AF1567" s="6"/>
      <c r="AG1567" s="6"/>
      <c r="AH1567" s="6"/>
      <c r="AI1567" s="6"/>
      <c r="AJ1567" s="6"/>
      <c r="AK1567" s="6"/>
      <c r="AL1567" s="6"/>
      <c r="AM1567" s="6"/>
      <c r="AN1567" s="6"/>
      <c r="AO1567" s="6"/>
      <c r="AP1567" s="6"/>
      <c r="AQ1567" s="6"/>
      <c r="AR1567" s="6"/>
      <c r="AS1567" s="6"/>
      <c r="AT1567" s="6"/>
      <c r="AU1567" s="6"/>
      <c r="AV1567" s="6"/>
      <c r="AW1567" s="6"/>
      <c r="AX1567" s="6"/>
      <c r="AY1567" s="6"/>
      <c r="AZ1567" s="6"/>
      <c r="BA1567" s="6"/>
      <c r="BB1567" s="6"/>
      <c r="BC1567" s="6"/>
      <c r="BD1567" s="6"/>
      <c r="BE1567" s="6"/>
      <c r="BF1567" s="6"/>
      <c r="BG1567" s="6"/>
      <c r="BH1567" s="6"/>
      <c r="BI1567" s="6"/>
      <c r="BJ1567" s="6"/>
      <c r="BK1567" s="6"/>
      <c r="BL1567" s="6"/>
      <c r="BM1567" s="6"/>
      <c r="BN1567" s="6"/>
      <c r="BO1567" s="6"/>
      <c r="BP1567" s="6"/>
      <c r="BQ1567" s="6"/>
      <c r="BR1567" s="6"/>
      <c r="BS1567" s="6"/>
      <c r="BT1567" s="6"/>
      <c r="BU1567" s="6"/>
      <c r="BV1567" s="6"/>
      <c r="BW1567" s="6"/>
      <c r="BX1567" s="6"/>
      <c r="BY1567" s="6"/>
      <c r="BZ1567" s="6"/>
      <c r="CA1567" s="6"/>
      <c r="CB1567" s="6"/>
      <c r="CC1567" s="6"/>
    </row>
    <row r="1568" spans="2:81" x14ac:dyDescent="0.2">
      <c r="B1568" s="68"/>
      <c r="C1568" s="69"/>
      <c r="D1568" s="70"/>
      <c r="F1568" s="68"/>
      <c r="G1568" s="69"/>
      <c r="H1568" s="70"/>
      <c r="J1568" s="71"/>
      <c r="K1568" s="71"/>
      <c r="L1568" s="67"/>
      <c r="N1568" s="71"/>
      <c r="O1568" s="71"/>
      <c r="P1568" s="67"/>
      <c r="R1568" s="67"/>
      <c r="S1568" s="6"/>
      <c r="T1568" s="6"/>
      <c r="U1568" s="6"/>
      <c r="V1568" s="6"/>
      <c r="W1568" s="6"/>
      <c r="X1568" s="6"/>
      <c r="Y1568" s="6"/>
      <c r="Z1568" s="6"/>
      <c r="AA1568" s="6"/>
      <c r="AB1568" s="6"/>
      <c r="AC1568" s="6"/>
      <c r="AD1568" s="6"/>
      <c r="AE1568" s="6"/>
      <c r="AF1568" s="6"/>
      <c r="AG1568" s="6"/>
      <c r="AH1568" s="6"/>
      <c r="AI1568" s="6"/>
      <c r="AJ1568" s="6"/>
      <c r="AK1568" s="6"/>
      <c r="AL1568" s="6"/>
      <c r="AM1568" s="6"/>
      <c r="AN1568" s="6"/>
      <c r="AO1568" s="6"/>
      <c r="AP1568" s="6"/>
      <c r="AQ1568" s="6"/>
      <c r="AR1568" s="6"/>
      <c r="AS1568" s="6"/>
      <c r="AT1568" s="6"/>
      <c r="AU1568" s="6"/>
      <c r="AV1568" s="6"/>
      <c r="AW1568" s="6"/>
      <c r="AX1568" s="6"/>
      <c r="AY1568" s="6"/>
      <c r="AZ1568" s="6"/>
      <c r="BA1568" s="6"/>
      <c r="BB1568" s="6"/>
      <c r="BC1568" s="6"/>
      <c r="BD1568" s="6"/>
      <c r="BE1568" s="6"/>
      <c r="BF1568" s="6"/>
      <c r="BG1568" s="6"/>
      <c r="BH1568" s="6"/>
      <c r="BI1568" s="6"/>
      <c r="BJ1568" s="6"/>
      <c r="BK1568" s="6"/>
      <c r="BL1568" s="6"/>
      <c r="BM1568" s="6"/>
      <c r="BN1568" s="6"/>
      <c r="BO1568" s="6"/>
      <c r="BP1568" s="6"/>
      <c r="BQ1568" s="6"/>
      <c r="BR1568" s="6"/>
      <c r="BS1568" s="6"/>
      <c r="BT1568" s="6"/>
      <c r="BU1568" s="6"/>
      <c r="BV1568" s="6"/>
      <c r="BW1568" s="6"/>
      <c r="BX1568" s="6"/>
      <c r="BY1568" s="6"/>
      <c r="BZ1568" s="6"/>
      <c r="CA1568" s="6"/>
      <c r="CB1568" s="6"/>
      <c r="CC1568" s="6"/>
    </row>
    <row r="1569" spans="2:81" x14ac:dyDescent="0.2">
      <c r="B1569" s="68"/>
      <c r="C1569" s="69"/>
      <c r="D1569" s="70"/>
      <c r="F1569" s="68"/>
      <c r="G1569" s="69"/>
      <c r="H1569" s="70"/>
      <c r="J1569" s="71"/>
      <c r="K1569" s="71"/>
      <c r="L1569" s="67"/>
      <c r="N1569" s="71"/>
      <c r="O1569" s="71"/>
      <c r="P1569" s="67"/>
      <c r="R1569" s="67"/>
      <c r="S1569" s="6"/>
      <c r="T1569" s="6"/>
      <c r="U1569" s="6"/>
      <c r="V1569" s="6"/>
      <c r="W1569" s="6"/>
      <c r="X1569" s="6"/>
      <c r="Y1569" s="6"/>
      <c r="Z1569" s="6"/>
      <c r="AA1569" s="6"/>
      <c r="AB1569" s="6"/>
      <c r="AC1569" s="6"/>
      <c r="AD1569" s="6"/>
      <c r="AE1569" s="6"/>
      <c r="AF1569" s="6"/>
      <c r="AG1569" s="6"/>
      <c r="AH1569" s="6"/>
      <c r="AI1569" s="6"/>
      <c r="AJ1569" s="6"/>
      <c r="AK1569" s="6"/>
      <c r="AL1569" s="6"/>
      <c r="AM1569" s="6"/>
      <c r="AN1569" s="6"/>
      <c r="AO1569" s="6"/>
      <c r="AP1569" s="6"/>
      <c r="AQ1569" s="6"/>
      <c r="AR1569" s="6"/>
      <c r="AS1569" s="6"/>
      <c r="AT1569" s="6"/>
      <c r="AU1569" s="6"/>
      <c r="AV1569" s="6"/>
      <c r="AW1569" s="6"/>
      <c r="AX1569" s="6"/>
      <c r="AY1569" s="6"/>
      <c r="AZ1569" s="6"/>
      <c r="BA1569" s="6"/>
      <c r="BB1569" s="6"/>
      <c r="BC1569" s="6"/>
      <c r="BD1569" s="6"/>
      <c r="BE1569" s="6"/>
      <c r="BF1569" s="6"/>
      <c r="BG1569" s="6"/>
      <c r="BH1569" s="6"/>
      <c r="BI1569" s="6"/>
      <c r="BJ1569" s="6"/>
      <c r="BK1569" s="6"/>
      <c r="BL1569" s="6"/>
      <c r="BM1569" s="6"/>
      <c r="BN1569" s="6"/>
      <c r="BO1569" s="6"/>
      <c r="BP1569" s="6"/>
      <c r="BQ1569" s="6"/>
      <c r="BR1569" s="6"/>
      <c r="BS1569" s="6"/>
      <c r="BT1569" s="6"/>
      <c r="BU1569" s="6"/>
      <c r="BV1569" s="6"/>
      <c r="BW1569" s="6"/>
      <c r="BX1569" s="6"/>
      <c r="BY1569" s="6"/>
      <c r="BZ1569" s="6"/>
      <c r="CA1569" s="6"/>
      <c r="CB1569" s="6"/>
      <c r="CC1569" s="6"/>
    </row>
    <row r="1570" spans="2:81" x14ac:dyDescent="0.2">
      <c r="B1570" s="68"/>
      <c r="C1570" s="69"/>
      <c r="D1570" s="70"/>
      <c r="F1570" s="68"/>
      <c r="G1570" s="69"/>
      <c r="H1570" s="70"/>
      <c r="J1570" s="71"/>
      <c r="K1570" s="71"/>
      <c r="L1570" s="67"/>
      <c r="N1570" s="71"/>
      <c r="O1570" s="71"/>
      <c r="P1570" s="67"/>
      <c r="R1570" s="67"/>
      <c r="S1570" s="6"/>
      <c r="T1570" s="6"/>
      <c r="U1570" s="6"/>
      <c r="V1570" s="6"/>
      <c r="W1570" s="6"/>
      <c r="X1570" s="6"/>
      <c r="Y1570" s="6"/>
      <c r="Z1570" s="6"/>
      <c r="AA1570" s="6"/>
      <c r="AB1570" s="6"/>
      <c r="AC1570" s="6"/>
      <c r="AD1570" s="6"/>
      <c r="AE1570" s="6"/>
      <c r="AF1570" s="6"/>
      <c r="AG1570" s="6"/>
      <c r="AH1570" s="6"/>
      <c r="AI1570" s="6"/>
      <c r="AJ1570" s="6"/>
      <c r="AK1570" s="6"/>
      <c r="AL1570" s="6"/>
      <c r="AM1570" s="6"/>
      <c r="AN1570" s="6"/>
      <c r="AO1570" s="6"/>
      <c r="AP1570" s="6"/>
      <c r="AQ1570" s="6"/>
      <c r="AR1570" s="6"/>
      <c r="AS1570" s="6"/>
      <c r="AT1570" s="6"/>
      <c r="AU1570" s="6"/>
      <c r="AV1570" s="6"/>
      <c r="AW1570" s="6"/>
      <c r="AX1570" s="6"/>
      <c r="AY1570" s="6"/>
      <c r="AZ1570" s="6"/>
      <c r="BA1570" s="6"/>
      <c r="BB1570" s="6"/>
      <c r="BC1570" s="6"/>
      <c r="BD1570" s="6"/>
      <c r="BE1570" s="6"/>
      <c r="BF1570" s="6"/>
      <c r="BG1570" s="6"/>
      <c r="BH1570" s="6"/>
      <c r="BI1570" s="6"/>
      <c r="BJ1570" s="6"/>
      <c r="BK1570" s="6"/>
      <c r="BL1570" s="6"/>
      <c r="BM1570" s="6"/>
      <c r="BN1570" s="6"/>
      <c r="BO1570" s="6"/>
      <c r="BP1570" s="6"/>
      <c r="BQ1570" s="6"/>
      <c r="BR1570" s="6"/>
      <c r="BS1570" s="6"/>
      <c r="BT1570" s="6"/>
      <c r="BU1570" s="6"/>
      <c r="BV1570" s="6"/>
      <c r="BW1570" s="6"/>
      <c r="BX1570" s="6"/>
      <c r="BY1570" s="6"/>
      <c r="BZ1570" s="6"/>
      <c r="CA1570" s="6"/>
      <c r="CB1570" s="6"/>
      <c r="CC1570" s="6"/>
    </row>
    <row r="1571" spans="2:81" x14ac:dyDescent="0.2">
      <c r="B1571" s="68"/>
      <c r="C1571" s="69"/>
      <c r="D1571" s="70"/>
      <c r="F1571" s="68"/>
      <c r="G1571" s="69"/>
      <c r="H1571" s="70"/>
      <c r="J1571" s="71"/>
      <c r="K1571" s="71"/>
      <c r="L1571" s="67"/>
      <c r="N1571" s="71"/>
      <c r="O1571" s="71"/>
      <c r="P1571" s="67"/>
      <c r="R1571" s="67"/>
      <c r="S1571" s="6"/>
      <c r="T1571" s="6"/>
      <c r="U1571" s="6"/>
      <c r="V1571" s="6"/>
      <c r="W1571" s="6"/>
      <c r="X1571" s="6"/>
      <c r="Y1571" s="6"/>
      <c r="Z1571" s="6"/>
      <c r="AA1571" s="6"/>
      <c r="AB1571" s="6"/>
      <c r="AC1571" s="6"/>
      <c r="AD1571" s="6"/>
      <c r="AE1571" s="6"/>
      <c r="AF1571" s="6"/>
      <c r="AG1571" s="6"/>
      <c r="AH1571" s="6"/>
      <c r="AI1571" s="6"/>
      <c r="AJ1571" s="6"/>
      <c r="AK1571" s="6"/>
      <c r="AL1571" s="6"/>
      <c r="AM1571" s="6"/>
      <c r="AN1571" s="6"/>
      <c r="AO1571" s="6"/>
      <c r="AP1571" s="6"/>
      <c r="AQ1571" s="6"/>
      <c r="AR1571" s="6"/>
      <c r="AS1571" s="6"/>
      <c r="AT1571" s="6"/>
      <c r="AU1571" s="6"/>
      <c r="AV1571" s="6"/>
      <c r="AW1571" s="6"/>
      <c r="AX1571" s="6"/>
      <c r="AY1571" s="6"/>
      <c r="AZ1571" s="6"/>
      <c r="BA1571" s="6"/>
      <c r="BB1571" s="6"/>
      <c r="BC1571" s="6"/>
      <c r="BD1571" s="6"/>
      <c r="BE1571" s="6"/>
      <c r="BF1571" s="6"/>
      <c r="BG1571" s="6"/>
      <c r="BH1571" s="6"/>
      <c r="BI1571" s="6"/>
      <c r="BJ1571" s="6"/>
      <c r="BK1571" s="6"/>
      <c r="BL1571" s="6"/>
      <c r="BM1571" s="6"/>
      <c r="BN1571" s="6"/>
      <c r="BO1571" s="6"/>
      <c r="BP1571" s="6"/>
      <c r="BQ1571" s="6"/>
      <c r="BR1571" s="6"/>
      <c r="BS1571" s="6"/>
      <c r="BT1571" s="6"/>
      <c r="BU1571" s="6"/>
      <c r="BV1571" s="6"/>
      <c r="BW1571" s="6"/>
      <c r="BX1571" s="6"/>
      <c r="BY1571" s="6"/>
      <c r="BZ1571" s="6"/>
      <c r="CA1571" s="6"/>
      <c r="CB1571" s="6"/>
      <c r="CC1571" s="6"/>
    </row>
    <row r="1572" spans="2:81" x14ac:dyDescent="0.2">
      <c r="B1572" s="68"/>
      <c r="C1572" s="69"/>
      <c r="D1572" s="70"/>
      <c r="F1572" s="68"/>
      <c r="G1572" s="69"/>
      <c r="H1572" s="70"/>
      <c r="J1572" s="71"/>
      <c r="K1572" s="71"/>
      <c r="L1572" s="67"/>
      <c r="N1572" s="71"/>
      <c r="O1572" s="71"/>
      <c r="P1572" s="67"/>
      <c r="R1572" s="67"/>
      <c r="S1572" s="6"/>
      <c r="T1572" s="6"/>
      <c r="U1572" s="6"/>
      <c r="V1572" s="6"/>
      <c r="W1572" s="6"/>
      <c r="X1572" s="6"/>
      <c r="Y1572" s="6"/>
      <c r="Z1572" s="6"/>
      <c r="AA1572" s="6"/>
      <c r="AB1572" s="6"/>
      <c r="AC1572" s="6"/>
      <c r="AD1572" s="6"/>
      <c r="AE1572" s="6"/>
      <c r="AF1572" s="6"/>
      <c r="AG1572" s="6"/>
      <c r="AH1572" s="6"/>
      <c r="AI1572" s="6"/>
      <c r="AJ1572" s="6"/>
      <c r="AK1572" s="6"/>
      <c r="AL1572" s="6"/>
      <c r="AM1572" s="6"/>
      <c r="AN1572" s="6"/>
      <c r="AO1572" s="6"/>
      <c r="AP1572" s="6"/>
      <c r="AQ1572" s="6"/>
      <c r="AR1572" s="6"/>
      <c r="AS1572" s="6"/>
      <c r="AT1572" s="6"/>
      <c r="AU1572" s="6"/>
      <c r="AV1572" s="6"/>
      <c r="AW1572" s="6"/>
      <c r="AX1572" s="6"/>
      <c r="AY1572" s="6"/>
      <c r="AZ1572" s="6"/>
      <c r="BA1572" s="6"/>
      <c r="BB1572" s="6"/>
      <c r="BC1572" s="6"/>
      <c r="BD1572" s="6"/>
      <c r="BE1572" s="6"/>
      <c r="BF1572" s="6"/>
      <c r="BG1572" s="6"/>
      <c r="BH1572" s="6"/>
      <c r="BI1572" s="6"/>
      <c r="BJ1572" s="6"/>
      <c r="BK1572" s="6"/>
      <c r="BL1572" s="6"/>
      <c r="BM1572" s="6"/>
      <c r="BN1572" s="6"/>
      <c r="BO1572" s="6"/>
      <c r="BP1572" s="6"/>
      <c r="BQ1572" s="6"/>
      <c r="BR1572" s="6"/>
      <c r="BS1572" s="6"/>
      <c r="BT1572" s="6"/>
      <c r="BU1572" s="6"/>
      <c r="BV1572" s="6"/>
      <c r="BW1572" s="6"/>
      <c r="BX1572" s="6"/>
      <c r="BY1572" s="6"/>
      <c r="BZ1572" s="6"/>
      <c r="CA1572" s="6"/>
      <c r="CB1572" s="6"/>
      <c r="CC1572" s="6"/>
    </row>
    <row r="1573" spans="2:81" x14ac:dyDescent="0.2">
      <c r="B1573" s="68"/>
      <c r="C1573" s="69"/>
      <c r="D1573" s="70"/>
      <c r="F1573" s="68"/>
      <c r="G1573" s="69"/>
      <c r="H1573" s="70"/>
      <c r="J1573" s="71"/>
      <c r="K1573" s="71"/>
      <c r="L1573" s="67"/>
      <c r="N1573" s="71"/>
      <c r="O1573" s="71"/>
      <c r="P1573" s="67"/>
      <c r="R1573" s="67"/>
      <c r="S1573" s="6"/>
      <c r="T1573" s="6"/>
      <c r="U1573" s="6"/>
      <c r="V1573" s="6"/>
      <c r="W1573" s="6"/>
      <c r="X1573" s="6"/>
      <c r="Y1573" s="6"/>
      <c r="Z1573" s="6"/>
      <c r="AA1573" s="6"/>
      <c r="AB1573" s="6"/>
      <c r="AC1573" s="6"/>
      <c r="AD1573" s="6"/>
      <c r="AE1573" s="6"/>
      <c r="AF1573" s="6"/>
      <c r="AG1573" s="6"/>
      <c r="AH1573" s="6"/>
      <c r="AI1573" s="6"/>
      <c r="AJ1573" s="6"/>
      <c r="AK1573" s="6"/>
      <c r="AL1573" s="6"/>
      <c r="AM1573" s="6"/>
      <c r="AN1573" s="6"/>
      <c r="AO1573" s="6"/>
      <c r="AP1573" s="6"/>
      <c r="AQ1573" s="6"/>
      <c r="AR1573" s="6"/>
      <c r="AS1573" s="6"/>
      <c r="AT1573" s="6"/>
      <c r="AU1573" s="6"/>
      <c r="AV1573" s="6"/>
      <c r="AW1573" s="6"/>
      <c r="AX1573" s="6"/>
      <c r="AY1573" s="6"/>
      <c r="AZ1573" s="6"/>
      <c r="BA1573" s="6"/>
      <c r="BB1573" s="6"/>
      <c r="BC1573" s="6"/>
      <c r="BD1573" s="6"/>
      <c r="BE1573" s="6"/>
      <c r="BF1573" s="6"/>
      <c r="BG1573" s="6"/>
      <c r="BH1573" s="6"/>
      <c r="BI1573" s="6"/>
      <c r="BJ1573" s="6"/>
      <c r="BK1573" s="6"/>
      <c r="BL1573" s="6"/>
      <c r="BM1573" s="6"/>
      <c r="BN1573" s="6"/>
      <c r="BO1573" s="6"/>
      <c r="BP1573" s="6"/>
      <c r="BQ1573" s="6"/>
      <c r="BR1573" s="6"/>
      <c r="BS1573" s="6"/>
      <c r="BT1573" s="6"/>
      <c r="BU1573" s="6"/>
      <c r="BV1573" s="6"/>
      <c r="BW1573" s="6"/>
      <c r="BX1573" s="6"/>
      <c r="BY1573" s="6"/>
      <c r="BZ1573" s="6"/>
      <c r="CA1573" s="6"/>
      <c r="CB1573" s="6"/>
      <c r="CC1573" s="6"/>
    </row>
    <row r="1574" spans="2:81" x14ac:dyDescent="0.2">
      <c r="B1574" s="68"/>
      <c r="C1574" s="69"/>
      <c r="D1574" s="70"/>
      <c r="F1574" s="68"/>
      <c r="G1574" s="69"/>
      <c r="H1574" s="70"/>
      <c r="J1574" s="71"/>
      <c r="K1574" s="71"/>
      <c r="L1574" s="67"/>
      <c r="N1574" s="71"/>
      <c r="O1574" s="71"/>
      <c r="P1574" s="67"/>
      <c r="R1574" s="67"/>
      <c r="S1574" s="6"/>
      <c r="T1574" s="6"/>
      <c r="U1574" s="6"/>
      <c r="V1574" s="6"/>
      <c r="W1574" s="6"/>
      <c r="X1574" s="6"/>
      <c r="Y1574" s="6"/>
      <c r="Z1574" s="6"/>
      <c r="AA1574" s="6"/>
      <c r="AB1574" s="6"/>
      <c r="AC1574" s="6"/>
      <c r="AD1574" s="6"/>
      <c r="AE1574" s="6"/>
      <c r="AF1574" s="6"/>
      <c r="AG1574" s="6"/>
      <c r="AH1574" s="6"/>
      <c r="AI1574" s="6"/>
      <c r="AJ1574" s="6"/>
      <c r="AK1574" s="6"/>
      <c r="AL1574" s="6"/>
      <c r="AM1574" s="6"/>
      <c r="AN1574" s="6"/>
      <c r="AO1574" s="6"/>
      <c r="AP1574" s="6"/>
      <c r="AQ1574" s="6"/>
      <c r="AR1574" s="6"/>
      <c r="AS1574" s="6"/>
      <c r="AT1574" s="6"/>
      <c r="AU1574" s="6"/>
      <c r="AV1574" s="6"/>
      <c r="AW1574" s="6"/>
      <c r="AX1574" s="6"/>
      <c r="AY1574" s="6"/>
      <c r="AZ1574" s="6"/>
      <c r="BA1574" s="6"/>
      <c r="BB1574" s="6"/>
      <c r="BC1574" s="6"/>
      <c r="BD1574" s="6"/>
      <c r="BE1574" s="6"/>
      <c r="BF1574" s="6"/>
      <c r="BG1574" s="6"/>
      <c r="BH1574" s="6"/>
      <c r="BI1574" s="6"/>
      <c r="BJ1574" s="6"/>
      <c r="BK1574" s="6"/>
      <c r="BL1574" s="6"/>
      <c r="BM1574" s="6"/>
      <c r="BN1574" s="6"/>
      <c r="BO1574" s="6"/>
      <c r="BP1574" s="6"/>
      <c r="BQ1574" s="6"/>
      <c r="BR1574" s="6"/>
      <c r="BS1574" s="6"/>
      <c r="BT1574" s="6"/>
      <c r="BU1574" s="6"/>
      <c r="BV1574" s="6"/>
      <c r="BW1574" s="6"/>
      <c r="BX1574" s="6"/>
      <c r="BY1574" s="6"/>
      <c r="BZ1574" s="6"/>
      <c r="CA1574" s="6"/>
      <c r="CB1574" s="6"/>
      <c r="CC1574" s="6"/>
    </row>
    <row r="1575" spans="2:81" x14ac:dyDescent="0.2">
      <c r="B1575" s="68"/>
      <c r="C1575" s="69"/>
      <c r="D1575" s="70"/>
      <c r="F1575" s="68"/>
      <c r="G1575" s="69"/>
      <c r="H1575" s="70"/>
      <c r="J1575" s="71"/>
      <c r="K1575" s="71"/>
      <c r="L1575" s="67"/>
      <c r="N1575" s="71"/>
      <c r="O1575" s="71"/>
      <c r="P1575" s="67"/>
      <c r="R1575" s="67"/>
      <c r="S1575" s="6"/>
      <c r="T1575" s="6"/>
      <c r="U1575" s="6"/>
      <c r="V1575" s="6"/>
      <c r="W1575" s="6"/>
      <c r="X1575" s="6"/>
      <c r="Y1575" s="6"/>
      <c r="Z1575" s="6"/>
      <c r="AA1575" s="6"/>
      <c r="AB1575" s="6"/>
      <c r="AC1575" s="6"/>
      <c r="AD1575" s="6"/>
      <c r="AE1575" s="6"/>
      <c r="AF1575" s="6"/>
      <c r="AG1575" s="6"/>
      <c r="AH1575" s="6"/>
      <c r="AI1575" s="6"/>
      <c r="AJ1575" s="6"/>
      <c r="AK1575" s="6"/>
      <c r="AL1575" s="6"/>
      <c r="AM1575" s="6"/>
      <c r="AN1575" s="6"/>
      <c r="AO1575" s="6"/>
      <c r="AP1575" s="6"/>
      <c r="AQ1575" s="6"/>
      <c r="AR1575" s="6"/>
      <c r="AS1575" s="6"/>
      <c r="AT1575" s="6"/>
      <c r="AU1575" s="6"/>
      <c r="AV1575" s="6"/>
      <c r="AW1575" s="6"/>
      <c r="AX1575" s="6"/>
      <c r="AY1575" s="6"/>
      <c r="AZ1575" s="6"/>
      <c r="BA1575" s="6"/>
      <c r="BB1575" s="6"/>
      <c r="BC1575" s="6"/>
      <c r="BD1575" s="6"/>
      <c r="BE1575" s="6"/>
      <c r="BF1575" s="6"/>
      <c r="BG1575" s="6"/>
      <c r="BH1575" s="6"/>
      <c r="BI1575" s="6"/>
      <c r="BJ1575" s="6"/>
      <c r="BK1575" s="6"/>
      <c r="BL1575" s="6"/>
      <c r="BM1575" s="6"/>
      <c r="BN1575" s="6"/>
      <c r="BO1575" s="6"/>
      <c r="BP1575" s="6"/>
      <c r="BQ1575" s="6"/>
      <c r="BR1575" s="6"/>
      <c r="BS1575" s="6"/>
      <c r="BT1575" s="6"/>
      <c r="BU1575" s="6"/>
      <c r="BV1575" s="6"/>
      <c r="BW1575" s="6"/>
      <c r="BX1575" s="6"/>
      <c r="BY1575" s="6"/>
      <c r="BZ1575" s="6"/>
      <c r="CA1575" s="6"/>
      <c r="CB1575" s="6"/>
      <c r="CC1575" s="6"/>
    </row>
    <row r="1576" spans="2:81" x14ac:dyDescent="0.2">
      <c r="B1576" s="68"/>
      <c r="C1576" s="69"/>
      <c r="D1576" s="70"/>
      <c r="F1576" s="68"/>
      <c r="G1576" s="69"/>
      <c r="H1576" s="70"/>
      <c r="J1576" s="71"/>
      <c r="K1576" s="71"/>
      <c r="L1576" s="67"/>
      <c r="N1576" s="71"/>
      <c r="O1576" s="71"/>
      <c r="P1576" s="67"/>
      <c r="R1576" s="67"/>
      <c r="S1576" s="6"/>
      <c r="T1576" s="6"/>
      <c r="U1576" s="6"/>
      <c r="V1576" s="6"/>
      <c r="W1576" s="6"/>
      <c r="X1576" s="6"/>
      <c r="Y1576" s="6"/>
      <c r="Z1576" s="6"/>
      <c r="AA1576" s="6"/>
      <c r="AB1576" s="6"/>
      <c r="AC1576" s="6"/>
      <c r="AD1576" s="6"/>
      <c r="AE1576" s="6"/>
      <c r="AF1576" s="6"/>
      <c r="AG1576" s="6"/>
      <c r="AH1576" s="6"/>
      <c r="AI1576" s="6"/>
      <c r="AJ1576" s="6"/>
      <c r="AK1576" s="6"/>
      <c r="AL1576" s="6"/>
      <c r="AM1576" s="6"/>
      <c r="AN1576" s="6"/>
      <c r="AO1576" s="6"/>
      <c r="AP1576" s="6"/>
      <c r="AQ1576" s="6"/>
      <c r="AR1576" s="6"/>
      <c r="AS1576" s="6"/>
      <c r="AT1576" s="6"/>
      <c r="AU1576" s="6"/>
      <c r="AV1576" s="6"/>
      <c r="AW1576" s="6"/>
      <c r="AX1576" s="6"/>
      <c r="AY1576" s="6"/>
      <c r="AZ1576" s="6"/>
      <c r="BA1576" s="6"/>
      <c r="BB1576" s="6"/>
      <c r="BC1576" s="6"/>
      <c r="BD1576" s="6"/>
      <c r="BE1576" s="6"/>
      <c r="BF1576" s="6"/>
      <c r="BG1576" s="6"/>
      <c r="BH1576" s="6"/>
      <c r="BI1576" s="6"/>
      <c r="BJ1576" s="6"/>
      <c r="BK1576" s="6"/>
      <c r="BL1576" s="6"/>
      <c r="BM1576" s="6"/>
      <c r="BN1576" s="6"/>
      <c r="BO1576" s="6"/>
      <c r="BP1576" s="6"/>
      <c r="BQ1576" s="6"/>
      <c r="BR1576" s="6"/>
      <c r="BS1576" s="6"/>
      <c r="BT1576" s="6"/>
      <c r="BU1576" s="6"/>
      <c r="BV1576" s="6"/>
      <c r="BW1576" s="6"/>
      <c r="BX1576" s="6"/>
      <c r="BY1576" s="6"/>
      <c r="BZ1576" s="6"/>
      <c r="CA1576" s="6"/>
      <c r="CB1576" s="6"/>
      <c r="CC1576" s="6"/>
    </row>
    <row r="1577" spans="2:81" x14ac:dyDescent="0.2">
      <c r="B1577" s="68"/>
      <c r="C1577" s="69"/>
      <c r="D1577" s="70"/>
      <c r="F1577" s="68"/>
      <c r="G1577" s="69"/>
      <c r="H1577" s="70"/>
      <c r="J1577" s="71"/>
      <c r="K1577" s="71"/>
      <c r="L1577" s="67"/>
      <c r="N1577" s="71"/>
      <c r="O1577" s="71"/>
      <c r="P1577" s="67"/>
      <c r="R1577" s="67"/>
      <c r="S1577" s="6"/>
      <c r="T1577" s="6"/>
      <c r="U1577" s="6"/>
      <c r="V1577" s="6"/>
      <c r="W1577" s="6"/>
      <c r="X1577" s="6"/>
      <c r="Y1577" s="6"/>
      <c r="Z1577" s="6"/>
      <c r="AA1577" s="6"/>
      <c r="AB1577" s="6"/>
      <c r="AC1577" s="6"/>
      <c r="AD1577" s="6"/>
      <c r="AE1577" s="6"/>
      <c r="AF1577" s="6"/>
      <c r="AG1577" s="6"/>
      <c r="AH1577" s="6"/>
      <c r="AI1577" s="6"/>
      <c r="AJ1577" s="6"/>
      <c r="AK1577" s="6"/>
      <c r="AL1577" s="6"/>
      <c r="AM1577" s="6"/>
      <c r="AN1577" s="6"/>
      <c r="AO1577" s="6"/>
      <c r="AP1577" s="6"/>
      <c r="AQ1577" s="6"/>
      <c r="AR1577" s="6"/>
      <c r="AS1577" s="6"/>
      <c r="AT1577" s="6"/>
      <c r="AU1577" s="6"/>
      <c r="AV1577" s="6"/>
      <c r="AW1577" s="6"/>
      <c r="AX1577" s="6"/>
      <c r="AY1577" s="6"/>
      <c r="AZ1577" s="6"/>
      <c r="BA1577" s="6"/>
      <c r="BB1577" s="6"/>
      <c r="BC1577" s="6"/>
      <c r="BD1577" s="6"/>
      <c r="BE1577" s="6"/>
      <c r="BF1577" s="6"/>
      <c r="BG1577" s="6"/>
      <c r="BH1577" s="6"/>
      <c r="BI1577" s="6"/>
      <c r="BJ1577" s="6"/>
      <c r="BK1577" s="6"/>
      <c r="BL1577" s="6"/>
      <c r="BM1577" s="6"/>
      <c r="BN1577" s="6"/>
      <c r="BO1577" s="6"/>
      <c r="BP1577" s="6"/>
      <c r="BQ1577" s="6"/>
      <c r="BR1577" s="6"/>
      <c r="BS1577" s="6"/>
      <c r="BT1577" s="6"/>
      <c r="BU1577" s="6"/>
      <c r="BV1577" s="6"/>
      <c r="BW1577" s="6"/>
      <c r="BX1577" s="6"/>
      <c r="BY1577" s="6"/>
      <c r="BZ1577" s="6"/>
      <c r="CA1577" s="6"/>
      <c r="CB1577" s="6"/>
      <c r="CC1577" s="6"/>
    </row>
    <row r="1578" spans="2:81" x14ac:dyDescent="0.2">
      <c r="B1578" s="68"/>
      <c r="C1578" s="69"/>
      <c r="D1578" s="70"/>
      <c r="F1578" s="68"/>
      <c r="G1578" s="69"/>
      <c r="H1578" s="70"/>
      <c r="J1578" s="71"/>
      <c r="K1578" s="71"/>
      <c r="L1578" s="67"/>
      <c r="N1578" s="71"/>
      <c r="O1578" s="71"/>
      <c r="P1578" s="67"/>
      <c r="R1578" s="67"/>
      <c r="S1578" s="6"/>
      <c r="T1578" s="6"/>
      <c r="U1578" s="6"/>
      <c r="V1578" s="6"/>
      <c r="W1578" s="6"/>
      <c r="X1578" s="6"/>
      <c r="Y1578" s="6"/>
      <c r="Z1578" s="6"/>
      <c r="AA1578" s="6"/>
      <c r="AB1578" s="6"/>
      <c r="AC1578" s="6"/>
      <c r="AD1578" s="6"/>
      <c r="AE1578" s="6"/>
      <c r="AF1578" s="6"/>
      <c r="AG1578" s="6"/>
      <c r="AH1578" s="6"/>
      <c r="AI1578" s="6"/>
      <c r="AJ1578" s="6"/>
      <c r="AK1578" s="6"/>
      <c r="AL1578" s="6"/>
      <c r="AM1578" s="6"/>
      <c r="AN1578" s="6"/>
      <c r="AO1578" s="6"/>
      <c r="AP1578" s="6"/>
      <c r="AQ1578" s="6"/>
      <c r="AR1578" s="6"/>
      <c r="AS1578" s="6"/>
      <c r="AT1578" s="6"/>
      <c r="AU1578" s="6"/>
      <c r="AV1578" s="6"/>
      <c r="AW1578" s="6"/>
      <c r="AX1578" s="6"/>
      <c r="AY1578" s="6"/>
      <c r="AZ1578" s="6"/>
      <c r="BA1578" s="6"/>
      <c r="BB1578" s="6"/>
      <c r="BC1578" s="6"/>
      <c r="BD1578" s="6"/>
      <c r="BE1578" s="6"/>
      <c r="BF1578" s="6"/>
      <c r="BG1578" s="6"/>
      <c r="BH1578" s="6"/>
      <c r="BI1578" s="6"/>
      <c r="BJ1578" s="6"/>
      <c r="BK1578" s="6"/>
      <c r="BL1578" s="6"/>
      <c r="BM1578" s="6"/>
      <c r="BN1578" s="6"/>
      <c r="BO1578" s="6"/>
      <c r="BP1578" s="6"/>
      <c r="BQ1578" s="6"/>
      <c r="BR1578" s="6"/>
      <c r="BS1578" s="6"/>
      <c r="BT1578" s="6"/>
      <c r="BU1578" s="6"/>
      <c r="BV1578" s="6"/>
      <c r="BW1578" s="6"/>
      <c r="BX1578" s="6"/>
      <c r="BY1578" s="6"/>
      <c r="BZ1578" s="6"/>
      <c r="CA1578" s="6"/>
      <c r="CB1578" s="6"/>
      <c r="CC1578" s="6"/>
    </row>
    <row r="1579" spans="2:81" x14ac:dyDescent="0.2">
      <c r="B1579" s="68"/>
      <c r="C1579" s="69"/>
      <c r="D1579" s="70"/>
      <c r="F1579" s="68"/>
      <c r="G1579" s="69"/>
      <c r="H1579" s="70"/>
      <c r="J1579" s="71"/>
      <c r="K1579" s="71"/>
      <c r="L1579" s="67"/>
      <c r="N1579" s="71"/>
      <c r="O1579" s="71"/>
      <c r="P1579" s="67"/>
      <c r="R1579" s="67"/>
      <c r="S1579" s="6"/>
      <c r="T1579" s="6"/>
      <c r="U1579" s="6"/>
      <c r="V1579" s="6"/>
      <c r="W1579" s="6"/>
      <c r="X1579" s="6"/>
      <c r="Y1579" s="6"/>
      <c r="Z1579" s="6"/>
      <c r="AA1579" s="6"/>
      <c r="AB1579" s="6"/>
      <c r="AC1579" s="6"/>
      <c r="AD1579" s="6"/>
      <c r="AE1579" s="6"/>
      <c r="AF1579" s="6"/>
      <c r="AG1579" s="6"/>
      <c r="AH1579" s="6"/>
      <c r="AI1579" s="6"/>
      <c r="AJ1579" s="6"/>
      <c r="AK1579" s="6"/>
      <c r="AL1579" s="6"/>
      <c r="AM1579" s="6"/>
      <c r="AN1579" s="6"/>
      <c r="AO1579" s="6"/>
      <c r="AP1579" s="6"/>
      <c r="AQ1579" s="6"/>
      <c r="AR1579" s="6"/>
      <c r="AS1579" s="6"/>
      <c r="AT1579" s="6"/>
      <c r="AU1579" s="6"/>
      <c r="AV1579" s="6"/>
      <c r="AW1579" s="6"/>
      <c r="AX1579" s="6"/>
      <c r="AY1579" s="6"/>
      <c r="AZ1579" s="6"/>
      <c r="BA1579" s="6"/>
      <c r="BB1579" s="6"/>
      <c r="BC1579" s="6"/>
      <c r="BD1579" s="6"/>
      <c r="BE1579" s="6"/>
      <c r="BF1579" s="6"/>
      <c r="BG1579" s="6"/>
      <c r="BH1579" s="6"/>
      <c r="BI1579" s="6"/>
      <c r="BJ1579" s="6"/>
      <c r="BK1579" s="6"/>
      <c r="BL1579" s="6"/>
      <c r="BM1579" s="6"/>
      <c r="BN1579" s="6"/>
      <c r="BO1579" s="6"/>
      <c r="BP1579" s="6"/>
      <c r="BQ1579" s="6"/>
      <c r="BR1579" s="6"/>
      <c r="BS1579" s="6"/>
      <c r="BT1579" s="6"/>
      <c r="BU1579" s="6"/>
      <c r="BV1579" s="6"/>
      <c r="BW1579" s="6"/>
      <c r="BX1579" s="6"/>
      <c r="BY1579" s="6"/>
      <c r="BZ1579" s="6"/>
      <c r="CA1579" s="6"/>
      <c r="CB1579" s="6"/>
      <c r="CC1579" s="6"/>
    </row>
    <row r="1580" spans="2:81" x14ac:dyDescent="0.2">
      <c r="B1580" s="68"/>
      <c r="C1580" s="69"/>
      <c r="D1580" s="70"/>
      <c r="F1580" s="68"/>
      <c r="G1580" s="69"/>
      <c r="H1580" s="70"/>
      <c r="J1580" s="71"/>
      <c r="K1580" s="71"/>
      <c r="L1580" s="67"/>
      <c r="N1580" s="71"/>
      <c r="O1580" s="71"/>
      <c r="P1580" s="67"/>
      <c r="R1580" s="67"/>
      <c r="S1580" s="6"/>
      <c r="T1580" s="6"/>
      <c r="U1580" s="6"/>
      <c r="V1580" s="6"/>
      <c r="W1580" s="6"/>
      <c r="X1580" s="6"/>
      <c r="Y1580" s="6"/>
      <c r="Z1580" s="6"/>
      <c r="AA1580" s="6"/>
      <c r="AB1580" s="6"/>
      <c r="AC1580" s="6"/>
      <c r="AD1580" s="6"/>
      <c r="AE1580" s="6"/>
      <c r="AF1580" s="6"/>
      <c r="AG1580" s="6"/>
      <c r="AH1580" s="6"/>
      <c r="AI1580" s="6"/>
      <c r="AJ1580" s="6"/>
      <c r="AK1580" s="6"/>
      <c r="AL1580" s="6"/>
      <c r="AM1580" s="6"/>
      <c r="AN1580" s="6"/>
      <c r="AO1580" s="6"/>
      <c r="AP1580" s="6"/>
      <c r="AQ1580" s="6"/>
      <c r="AR1580" s="6"/>
      <c r="AS1580" s="6"/>
      <c r="AT1580" s="6"/>
      <c r="AU1580" s="6"/>
      <c r="AV1580" s="6"/>
      <c r="AW1580" s="6"/>
      <c r="AX1580" s="6"/>
      <c r="AY1580" s="6"/>
      <c r="AZ1580" s="6"/>
      <c r="BA1580" s="6"/>
      <c r="BB1580" s="6"/>
      <c r="BC1580" s="6"/>
      <c r="BD1580" s="6"/>
      <c r="BE1580" s="6"/>
      <c r="BF1580" s="6"/>
      <c r="BG1580" s="6"/>
      <c r="BH1580" s="6"/>
      <c r="BI1580" s="6"/>
      <c r="BJ1580" s="6"/>
      <c r="BK1580" s="6"/>
      <c r="BL1580" s="6"/>
      <c r="BM1580" s="6"/>
      <c r="BN1580" s="6"/>
      <c r="BO1580" s="6"/>
      <c r="BP1580" s="6"/>
      <c r="BQ1580" s="6"/>
      <c r="BR1580" s="6"/>
      <c r="BS1580" s="6"/>
      <c r="BT1580" s="6"/>
      <c r="BU1580" s="6"/>
      <c r="BV1580" s="6"/>
      <c r="BW1580" s="6"/>
      <c r="BX1580" s="6"/>
      <c r="BY1580" s="6"/>
      <c r="BZ1580" s="6"/>
      <c r="CA1580" s="6"/>
      <c r="CB1580" s="6"/>
      <c r="CC1580" s="6"/>
    </row>
    <row r="1581" spans="2:81" x14ac:dyDescent="0.2">
      <c r="B1581" s="68"/>
      <c r="C1581" s="69"/>
      <c r="D1581" s="70"/>
      <c r="F1581" s="68"/>
      <c r="G1581" s="69"/>
      <c r="H1581" s="70"/>
      <c r="J1581" s="71"/>
      <c r="K1581" s="71"/>
      <c r="L1581" s="67"/>
      <c r="N1581" s="71"/>
      <c r="O1581" s="71"/>
      <c r="P1581" s="67"/>
      <c r="R1581" s="67"/>
      <c r="S1581" s="6"/>
      <c r="T1581" s="6"/>
      <c r="U1581" s="6"/>
      <c r="V1581" s="6"/>
      <c r="W1581" s="6"/>
      <c r="X1581" s="6"/>
      <c r="Y1581" s="6"/>
      <c r="Z1581" s="6"/>
      <c r="AA1581" s="6"/>
      <c r="AB1581" s="6"/>
      <c r="AC1581" s="6"/>
      <c r="AD1581" s="6"/>
      <c r="AE1581" s="6"/>
      <c r="AF1581" s="6"/>
      <c r="AG1581" s="6"/>
      <c r="AH1581" s="6"/>
      <c r="AI1581" s="6"/>
      <c r="AJ1581" s="6"/>
      <c r="AK1581" s="6"/>
      <c r="AL1581" s="6"/>
      <c r="AM1581" s="6"/>
      <c r="AN1581" s="6"/>
      <c r="AO1581" s="6"/>
      <c r="AP1581" s="6"/>
      <c r="AQ1581" s="6"/>
      <c r="AR1581" s="6"/>
      <c r="AS1581" s="6"/>
      <c r="AT1581" s="6"/>
      <c r="AU1581" s="6"/>
      <c r="AV1581" s="6"/>
      <c r="AW1581" s="6"/>
      <c r="AX1581" s="6"/>
      <c r="AY1581" s="6"/>
      <c r="AZ1581" s="6"/>
      <c r="BA1581" s="6"/>
      <c r="BB1581" s="6"/>
      <c r="BC1581" s="6"/>
      <c r="BD1581" s="6"/>
      <c r="BE1581" s="6"/>
      <c r="BF1581" s="6"/>
      <c r="BG1581" s="6"/>
      <c r="BH1581" s="6"/>
      <c r="BI1581" s="6"/>
      <c r="BJ1581" s="6"/>
      <c r="BK1581" s="6"/>
      <c r="BL1581" s="6"/>
      <c r="BM1581" s="6"/>
      <c r="BN1581" s="6"/>
      <c r="BO1581" s="6"/>
      <c r="BP1581" s="6"/>
      <c r="BQ1581" s="6"/>
      <c r="BR1581" s="6"/>
      <c r="BS1581" s="6"/>
      <c r="BT1581" s="6"/>
      <c r="BU1581" s="6"/>
      <c r="BV1581" s="6"/>
      <c r="BW1581" s="6"/>
      <c r="BX1581" s="6"/>
      <c r="BY1581" s="6"/>
      <c r="BZ1581" s="6"/>
      <c r="CA1581" s="6"/>
      <c r="CB1581" s="6"/>
      <c r="CC1581" s="6"/>
    </row>
    <row r="1582" spans="2:81" x14ac:dyDescent="0.2">
      <c r="B1582" s="68"/>
      <c r="C1582" s="69"/>
      <c r="D1582" s="70"/>
      <c r="F1582" s="68"/>
      <c r="G1582" s="69"/>
      <c r="H1582" s="70"/>
      <c r="J1582" s="71"/>
      <c r="K1582" s="71"/>
      <c r="L1582" s="67"/>
      <c r="N1582" s="71"/>
      <c r="O1582" s="71"/>
      <c r="P1582" s="67"/>
      <c r="R1582" s="67"/>
      <c r="S1582" s="6"/>
      <c r="T1582" s="6"/>
      <c r="U1582" s="6"/>
      <c r="V1582" s="6"/>
      <c r="W1582" s="6"/>
      <c r="X1582" s="6"/>
      <c r="Y1582" s="6"/>
      <c r="Z1582" s="6"/>
      <c r="AA1582" s="6"/>
      <c r="AB1582" s="6"/>
      <c r="AC1582" s="6"/>
      <c r="AD1582" s="6"/>
      <c r="AE1582" s="6"/>
      <c r="AF1582" s="6"/>
      <c r="AG1582" s="6"/>
      <c r="AH1582" s="6"/>
      <c r="AI1582" s="6"/>
      <c r="AJ1582" s="6"/>
      <c r="AK1582" s="6"/>
      <c r="AL1582" s="6"/>
      <c r="AM1582" s="6"/>
      <c r="AN1582" s="6"/>
      <c r="AO1582" s="6"/>
      <c r="AP1582" s="6"/>
      <c r="AQ1582" s="6"/>
      <c r="AR1582" s="6"/>
      <c r="AS1582" s="6"/>
      <c r="AT1582" s="6"/>
      <c r="AU1582" s="6"/>
      <c r="AV1582" s="6"/>
      <c r="AW1582" s="6"/>
      <c r="AX1582" s="6"/>
      <c r="AY1582" s="6"/>
      <c r="AZ1582" s="6"/>
      <c r="BA1582" s="6"/>
      <c r="BB1582" s="6"/>
      <c r="BC1582" s="6"/>
      <c r="BD1582" s="6"/>
      <c r="BE1582" s="6"/>
      <c r="BF1582" s="6"/>
      <c r="BG1582" s="6"/>
      <c r="BH1582" s="6"/>
      <c r="BI1582" s="6"/>
      <c r="BJ1582" s="6"/>
      <c r="BK1582" s="6"/>
      <c r="BL1582" s="6"/>
      <c r="BM1582" s="6"/>
      <c r="BN1582" s="6"/>
      <c r="BO1582" s="6"/>
      <c r="BP1582" s="6"/>
      <c r="BQ1582" s="6"/>
      <c r="BR1582" s="6"/>
      <c r="BS1582" s="6"/>
      <c r="BT1582" s="6"/>
      <c r="BU1582" s="6"/>
      <c r="BV1582" s="6"/>
      <c r="BW1582" s="6"/>
      <c r="BX1582" s="6"/>
      <c r="BY1582" s="6"/>
      <c r="BZ1582" s="6"/>
      <c r="CA1582" s="6"/>
      <c r="CB1582" s="6"/>
      <c r="CC1582" s="6"/>
    </row>
    <row r="1583" spans="2:81" x14ac:dyDescent="0.2">
      <c r="B1583" s="68"/>
      <c r="C1583" s="69"/>
      <c r="D1583" s="70"/>
      <c r="F1583" s="68"/>
      <c r="G1583" s="69"/>
      <c r="H1583" s="70"/>
      <c r="J1583" s="71"/>
      <c r="K1583" s="71"/>
      <c r="L1583" s="67"/>
      <c r="N1583" s="71"/>
      <c r="O1583" s="71"/>
      <c r="P1583" s="67"/>
      <c r="R1583" s="67"/>
      <c r="S1583" s="6"/>
      <c r="T1583" s="6"/>
      <c r="U1583" s="6"/>
      <c r="V1583" s="6"/>
      <c r="W1583" s="6"/>
      <c r="X1583" s="6"/>
      <c r="Y1583" s="6"/>
      <c r="Z1583" s="6"/>
      <c r="AA1583" s="6"/>
      <c r="AB1583" s="6"/>
      <c r="AC1583" s="6"/>
      <c r="AD1583" s="6"/>
      <c r="AE1583" s="6"/>
      <c r="AF1583" s="6"/>
      <c r="AG1583" s="6"/>
      <c r="AH1583" s="6"/>
      <c r="AI1583" s="6"/>
      <c r="AJ1583" s="6"/>
      <c r="AK1583" s="6"/>
      <c r="AL1583" s="6"/>
      <c r="AM1583" s="6"/>
      <c r="AN1583" s="6"/>
      <c r="AO1583" s="6"/>
      <c r="AP1583" s="6"/>
      <c r="AQ1583" s="6"/>
      <c r="AR1583" s="6"/>
      <c r="AS1583" s="6"/>
      <c r="AT1583" s="6"/>
      <c r="AU1583" s="6"/>
      <c r="AV1583" s="6"/>
      <c r="AW1583" s="6"/>
      <c r="AX1583" s="6"/>
      <c r="AY1583" s="6"/>
      <c r="AZ1583" s="6"/>
      <c r="BA1583" s="6"/>
      <c r="BB1583" s="6"/>
      <c r="BC1583" s="6"/>
      <c r="BD1583" s="6"/>
      <c r="BE1583" s="6"/>
      <c r="BF1583" s="6"/>
      <c r="BG1583" s="6"/>
      <c r="BH1583" s="6"/>
      <c r="BI1583" s="6"/>
      <c r="BJ1583" s="6"/>
      <c r="BK1583" s="6"/>
      <c r="BL1583" s="6"/>
      <c r="BM1583" s="6"/>
      <c r="BN1583" s="6"/>
      <c r="BO1583" s="6"/>
      <c r="BP1583" s="6"/>
      <c r="BQ1583" s="6"/>
      <c r="BR1583" s="6"/>
      <c r="BS1583" s="6"/>
      <c r="BT1583" s="6"/>
      <c r="BU1583" s="6"/>
      <c r="BV1583" s="6"/>
      <c r="BW1583" s="6"/>
      <c r="BX1583" s="6"/>
      <c r="BY1583" s="6"/>
      <c r="BZ1583" s="6"/>
      <c r="CA1583" s="6"/>
      <c r="CB1583" s="6"/>
      <c r="CC1583" s="6"/>
    </row>
    <row r="1584" spans="2:81" x14ac:dyDescent="0.2">
      <c r="B1584" s="68"/>
      <c r="C1584" s="69"/>
      <c r="D1584" s="70"/>
      <c r="F1584" s="68"/>
      <c r="G1584" s="69"/>
      <c r="H1584" s="70"/>
      <c r="J1584" s="71"/>
      <c r="K1584" s="71"/>
      <c r="L1584" s="67"/>
      <c r="N1584" s="71"/>
      <c r="O1584" s="71"/>
      <c r="P1584" s="67"/>
      <c r="R1584" s="67"/>
      <c r="S1584" s="6"/>
      <c r="T1584" s="6"/>
      <c r="U1584" s="6"/>
      <c r="V1584" s="6"/>
      <c r="W1584" s="6"/>
      <c r="X1584" s="6"/>
      <c r="Y1584" s="6"/>
      <c r="Z1584" s="6"/>
      <c r="AA1584" s="6"/>
      <c r="AB1584" s="6"/>
      <c r="AC1584" s="6"/>
      <c r="AD1584" s="6"/>
      <c r="AE1584" s="6"/>
      <c r="AF1584" s="6"/>
      <c r="AG1584" s="6"/>
      <c r="AH1584" s="6"/>
      <c r="AI1584" s="6"/>
      <c r="AJ1584" s="6"/>
      <c r="AK1584" s="6"/>
      <c r="AL1584" s="6"/>
      <c r="AM1584" s="6"/>
      <c r="AN1584" s="6"/>
      <c r="AO1584" s="6"/>
      <c r="AP1584" s="6"/>
      <c r="AQ1584" s="6"/>
      <c r="AR1584" s="6"/>
      <c r="AS1584" s="6"/>
      <c r="AT1584" s="6"/>
      <c r="AU1584" s="6"/>
      <c r="AV1584" s="6"/>
      <c r="AW1584" s="6"/>
      <c r="AX1584" s="6"/>
      <c r="AY1584" s="6"/>
      <c r="AZ1584" s="6"/>
      <c r="BA1584" s="6"/>
      <c r="BB1584" s="6"/>
      <c r="BC1584" s="6"/>
      <c r="BD1584" s="6"/>
      <c r="BE1584" s="6"/>
      <c r="BF1584" s="6"/>
      <c r="BG1584" s="6"/>
      <c r="BH1584" s="6"/>
      <c r="BI1584" s="6"/>
      <c r="BJ1584" s="6"/>
      <c r="BK1584" s="6"/>
      <c r="BL1584" s="6"/>
      <c r="BM1584" s="6"/>
      <c r="BN1584" s="6"/>
      <c r="BO1584" s="6"/>
      <c r="BP1584" s="6"/>
      <c r="BQ1584" s="6"/>
      <c r="BR1584" s="6"/>
      <c r="BS1584" s="6"/>
      <c r="BT1584" s="6"/>
      <c r="BU1584" s="6"/>
      <c r="BV1584" s="6"/>
      <c r="BW1584" s="6"/>
      <c r="BX1584" s="6"/>
      <c r="BY1584" s="6"/>
      <c r="BZ1584" s="6"/>
      <c r="CA1584" s="6"/>
      <c r="CB1584" s="6"/>
      <c r="CC1584" s="6"/>
    </row>
    <row r="1585" spans="2:81" x14ac:dyDescent="0.2">
      <c r="B1585" s="68"/>
      <c r="C1585" s="69"/>
      <c r="D1585" s="70"/>
      <c r="F1585" s="68"/>
      <c r="G1585" s="69"/>
      <c r="H1585" s="70"/>
      <c r="J1585" s="71"/>
      <c r="K1585" s="71"/>
      <c r="L1585" s="67"/>
      <c r="N1585" s="71"/>
      <c r="O1585" s="71"/>
      <c r="P1585" s="67"/>
      <c r="R1585" s="67"/>
      <c r="S1585" s="6"/>
      <c r="T1585" s="6"/>
      <c r="U1585" s="6"/>
      <c r="V1585" s="6"/>
      <c r="W1585" s="6"/>
      <c r="X1585" s="6"/>
      <c r="Y1585" s="6"/>
      <c r="Z1585" s="6"/>
      <c r="AA1585" s="6"/>
      <c r="AB1585" s="6"/>
      <c r="AC1585" s="6"/>
      <c r="AD1585" s="6"/>
      <c r="AE1585" s="6"/>
      <c r="AF1585" s="6"/>
      <c r="AG1585" s="6"/>
      <c r="AH1585" s="6"/>
      <c r="AI1585" s="6"/>
      <c r="AJ1585" s="6"/>
      <c r="AK1585" s="6"/>
      <c r="AL1585" s="6"/>
      <c r="AM1585" s="6"/>
      <c r="AN1585" s="6"/>
      <c r="AO1585" s="6"/>
      <c r="AP1585" s="6"/>
      <c r="AQ1585" s="6"/>
      <c r="AR1585" s="6"/>
      <c r="AS1585" s="6"/>
      <c r="AT1585" s="6"/>
      <c r="AU1585" s="6"/>
      <c r="AV1585" s="6"/>
      <c r="AW1585" s="6"/>
      <c r="AX1585" s="6"/>
      <c r="AY1585" s="6"/>
      <c r="AZ1585" s="6"/>
      <c r="BA1585" s="6"/>
      <c r="BB1585" s="6"/>
      <c r="BC1585" s="6"/>
      <c r="BD1585" s="6"/>
      <c r="BE1585" s="6"/>
      <c r="BF1585" s="6"/>
      <c r="BG1585" s="6"/>
      <c r="BH1585" s="6"/>
      <c r="BI1585" s="6"/>
      <c r="BJ1585" s="6"/>
      <c r="BK1585" s="6"/>
      <c r="BL1585" s="6"/>
      <c r="BM1585" s="6"/>
      <c r="BN1585" s="6"/>
      <c r="BO1585" s="6"/>
      <c r="BP1585" s="6"/>
      <c r="BQ1585" s="6"/>
      <c r="BR1585" s="6"/>
      <c r="BS1585" s="6"/>
      <c r="BT1585" s="6"/>
      <c r="BU1585" s="6"/>
      <c r="BV1585" s="6"/>
      <c r="BW1585" s="6"/>
      <c r="BX1585" s="6"/>
      <c r="BY1585" s="6"/>
      <c r="BZ1585" s="6"/>
      <c r="CA1585" s="6"/>
      <c r="CB1585" s="6"/>
      <c r="CC1585" s="6"/>
    </row>
    <row r="1586" spans="2:81" x14ac:dyDescent="0.2">
      <c r="B1586" s="68"/>
      <c r="C1586" s="69"/>
      <c r="D1586" s="70"/>
      <c r="F1586" s="68"/>
      <c r="G1586" s="69"/>
      <c r="H1586" s="70"/>
      <c r="J1586" s="71"/>
      <c r="K1586" s="71"/>
      <c r="L1586" s="67"/>
      <c r="N1586" s="71"/>
      <c r="O1586" s="71"/>
      <c r="P1586" s="67"/>
      <c r="R1586" s="67"/>
      <c r="S1586" s="6"/>
      <c r="T1586" s="6"/>
      <c r="U1586" s="6"/>
      <c r="V1586" s="6"/>
      <c r="W1586" s="6"/>
      <c r="X1586" s="6"/>
      <c r="Y1586" s="6"/>
      <c r="Z1586" s="6"/>
      <c r="AA1586" s="6"/>
      <c r="AB1586" s="6"/>
      <c r="AC1586" s="6"/>
      <c r="AD1586" s="6"/>
      <c r="AE1586" s="6"/>
      <c r="AF1586" s="6"/>
      <c r="AG1586" s="6"/>
      <c r="AH1586" s="6"/>
      <c r="AI1586" s="6"/>
      <c r="AJ1586" s="6"/>
      <c r="AK1586" s="6"/>
      <c r="AL1586" s="6"/>
      <c r="AM1586" s="6"/>
      <c r="AN1586" s="6"/>
      <c r="AO1586" s="6"/>
      <c r="AP1586" s="6"/>
      <c r="AQ1586" s="6"/>
      <c r="AR1586" s="6"/>
      <c r="AS1586" s="6"/>
      <c r="AT1586" s="6"/>
      <c r="AU1586" s="6"/>
      <c r="AV1586" s="6"/>
      <c r="AW1586" s="6"/>
      <c r="AX1586" s="6"/>
      <c r="AY1586" s="6"/>
      <c r="AZ1586" s="6"/>
      <c r="BA1586" s="6"/>
      <c r="BB1586" s="6"/>
      <c r="BC1586" s="6"/>
      <c r="BD1586" s="6"/>
      <c r="BE1586" s="6"/>
      <c r="BF1586" s="6"/>
      <c r="BG1586" s="6"/>
      <c r="BH1586" s="6"/>
      <c r="BI1586" s="6"/>
      <c r="BJ1586" s="6"/>
      <c r="BK1586" s="6"/>
      <c r="BL1586" s="6"/>
      <c r="BM1586" s="6"/>
      <c r="BN1586" s="6"/>
      <c r="BO1586" s="6"/>
      <c r="BP1586" s="6"/>
      <c r="BQ1586" s="6"/>
      <c r="BR1586" s="6"/>
      <c r="BS1586" s="6"/>
      <c r="BT1586" s="6"/>
      <c r="BU1586" s="6"/>
      <c r="BV1586" s="6"/>
      <c r="BW1586" s="6"/>
      <c r="BX1586" s="6"/>
      <c r="BY1586" s="6"/>
      <c r="BZ1586" s="6"/>
      <c r="CA1586" s="6"/>
      <c r="CB1586" s="6"/>
      <c r="CC1586" s="6"/>
    </row>
    <row r="1587" spans="2:81" x14ac:dyDescent="0.2">
      <c r="B1587" s="68"/>
      <c r="C1587" s="69"/>
      <c r="D1587" s="70"/>
      <c r="F1587" s="68"/>
      <c r="G1587" s="69"/>
      <c r="H1587" s="70"/>
      <c r="J1587" s="71"/>
      <c r="K1587" s="71"/>
      <c r="L1587" s="67"/>
      <c r="N1587" s="71"/>
      <c r="O1587" s="71"/>
      <c r="P1587" s="67"/>
      <c r="R1587" s="67"/>
      <c r="S1587" s="6"/>
      <c r="T1587" s="6"/>
      <c r="U1587" s="6"/>
      <c r="V1587" s="6"/>
      <c r="W1587" s="6"/>
      <c r="X1587" s="6"/>
      <c r="Y1587" s="6"/>
      <c r="Z1587" s="6"/>
      <c r="AA1587" s="6"/>
      <c r="AB1587" s="6"/>
      <c r="AC1587" s="6"/>
      <c r="AD1587" s="6"/>
      <c r="AE1587" s="6"/>
      <c r="AF1587" s="6"/>
      <c r="AG1587" s="6"/>
      <c r="AH1587" s="6"/>
      <c r="AI1587" s="6"/>
      <c r="AJ1587" s="6"/>
      <c r="AK1587" s="6"/>
      <c r="AL1587" s="6"/>
      <c r="AM1587" s="6"/>
      <c r="AN1587" s="6"/>
      <c r="AO1587" s="6"/>
      <c r="AP1587" s="6"/>
      <c r="AQ1587" s="6"/>
      <c r="AR1587" s="6"/>
      <c r="AS1587" s="6"/>
      <c r="AT1587" s="6"/>
      <c r="AU1587" s="6"/>
      <c r="AV1587" s="6"/>
      <c r="AW1587" s="6"/>
      <c r="AX1587" s="6"/>
      <c r="AY1587" s="6"/>
      <c r="AZ1587" s="6"/>
      <c r="BA1587" s="6"/>
      <c r="BB1587" s="6"/>
      <c r="BC1587" s="6"/>
      <c r="BD1587" s="6"/>
      <c r="BE1587" s="6"/>
      <c r="BF1587" s="6"/>
      <c r="BG1587" s="6"/>
      <c r="BH1587" s="6"/>
      <c r="BI1587" s="6"/>
      <c r="BJ1587" s="6"/>
      <c r="BK1587" s="6"/>
      <c r="BL1587" s="6"/>
      <c r="BM1587" s="6"/>
      <c r="BN1587" s="6"/>
      <c r="BO1587" s="6"/>
      <c r="BP1587" s="6"/>
      <c r="BQ1587" s="6"/>
      <c r="BR1587" s="6"/>
      <c r="BS1587" s="6"/>
      <c r="BT1587" s="6"/>
      <c r="BU1587" s="6"/>
      <c r="BV1587" s="6"/>
      <c r="BW1587" s="6"/>
      <c r="BX1587" s="6"/>
      <c r="BY1587" s="6"/>
      <c r="BZ1587" s="6"/>
      <c r="CA1587" s="6"/>
      <c r="CB1587" s="6"/>
      <c r="CC1587" s="6"/>
    </row>
    <row r="1588" spans="2:81" x14ac:dyDescent="0.2">
      <c r="B1588" s="68"/>
      <c r="C1588" s="69"/>
      <c r="D1588" s="70"/>
      <c r="F1588" s="68"/>
      <c r="G1588" s="69"/>
      <c r="H1588" s="70"/>
      <c r="J1588" s="71"/>
      <c r="K1588" s="71"/>
      <c r="L1588" s="67"/>
      <c r="N1588" s="71"/>
      <c r="O1588" s="71"/>
      <c r="P1588" s="67"/>
      <c r="R1588" s="67"/>
      <c r="S1588" s="6"/>
      <c r="T1588" s="6"/>
      <c r="U1588" s="6"/>
      <c r="V1588" s="6"/>
      <c r="W1588" s="6"/>
      <c r="X1588" s="6"/>
      <c r="Y1588" s="6"/>
      <c r="Z1588" s="6"/>
      <c r="AA1588" s="6"/>
      <c r="AB1588" s="6"/>
      <c r="AC1588" s="6"/>
      <c r="AD1588" s="6"/>
      <c r="AE1588" s="6"/>
      <c r="AF1588" s="6"/>
      <c r="AG1588" s="6"/>
      <c r="AH1588" s="6"/>
      <c r="AI1588" s="6"/>
      <c r="AJ1588" s="6"/>
      <c r="AK1588" s="6"/>
      <c r="AL1588" s="6"/>
      <c r="AM1588" s="6"/>
      <c r="AN1588" s="6"/>
      <c r="AO1588" s="6"/>
      <c r="AP1588" s="6"/>
      <c r="AQ1588" s="6"/>
      <c r="AR1588" s="6"/>
      <c r="AS1588" s="6"/>
      <c r="AT1588" s="6"/>
      <c r="AU1588" s="6"/>
      <c r="AV1588" s="6"/>
      <c r="AW1588" s="6"/>
      <c r="AX1588" s="6"/>
      <c r="AY1588" s="6"/>
      <c r="AZ1588" s="6"/>
      <c r="BA1588" s="6"/>
      <c r="BB1588" s="6"/>
      <c r="BC1588" s="6"/>
      <c r="BD1588" s="6"/>
      <c r="BE1588" s="6"/>
      <c r="BF1588" s="6"/>
      <c r="BG1588" s="6"/>
      <c r="BH1588" s="6"/>
      <c r="BI1588" s="6"/>
      <c r="BJ1588" s="6"/>
      <c r="BK1588" s="6"/>
      <c r="BL1588" s="6"/>
      <c r="BM1588" s="6"/>
      <c r="BN1588" s="6"/>
      <c r="BO1588" s="6"/>
      <c r="BP1588" s="6"/>
      <c r="BQ1588" s="6"/>
      <c r="BR1588" s="6"/>
      <c r="BS1588" s="6"/>
      <c r="BT1588" s="6"/>
      <c r="BU1588" s="6"/>
      <c r="BV1588" s="6"/>
      <c r="BW1588" s="6"/>
      <c r="BX1588" s="6"/>
      <c r="BY1588" s="6"/>
      <c r="BZ1588" s="6"/>
      <c r="CA1588" s="6"/>
      <c r="CB1588" s="6"/>
      <c r="CC1588" s="6"/>
    </row>
    <row r="1589" spans="2:81" x14ac:dyDescent="0.2">
      <c r="B1589" s="68"/>
      <c r="C1589" s="69"/>
      <c r="D1589" s="70"/>
      <c r="F1589" s="68"/>
      <c r="G1589" s="69"/>
      <c r="H1589" s="70"/>
      <c r="J1589" s="71"/>
      <c r="K1589" s="71"/>
      <c r="L1589" s="67"/>
      <c r="N1589" s="71"/>
      <c r="O1589" s="71"/>
      <c r="P1589" s="67"/>
      <c r="R1589" s="67"/>
      <c r="S1589" s="6"/>
      <c r="T1589" s="6"/>
      <c r="U1589" s="6"/>
      <c r="V1589" s="6"/>
      <c r="W1589" s="6"/>
      <c r="X1589" s="6"/>
      <c r="Y1589" s="6"/>
      <c r="Z1589" s="6"/>
      <c r="AA1589" s="6"/>
      <c r="AB1589" s="6"/>
      <c r="AC1589" s="6"/>
      <c r="AD1589" s="6"/>
      <c r="AE1589" s="6"/>
      <c r="AF1589" s="6"/>
      <c r="AG1589" s="6"/>
      <c r="AH1589" s="6"/>
      <c r="AI1589" s="6"/>
      <c r="AJ1589" s="6"/>
      <c r="AK1589" s="6"/>
      <c r="AL1589" s="6"/>
      <c r="AM1589" s="6"/>
      <c r="AN1589" s="6"/>
      <c r="AO1589" s="6"/>
      <c r="AP1589" s="6"/>
      <c r="AQ1589" s="6"/>
      <c r="AR1589" s="6"/>
      <c r="AS1589" s="6"/>
      <c r="AT1589" s="6"/>
      <c r="AU1589" s="6"/>
      <c r="AV1589" s="6"/>
      <c r="AW1589" s="6"/>
      <c r="AX1589" s="6"/>
      <c r="AY1589" s="6"/>
      <c r="AZ1589" s="6"/>
      <c r="BA1589" s="6"/>
      <c r="BB1589" s="6"/>
      <c r="BC1589" s="6"/>
      <c r="BD1589" s="6"/>
      <c r="BE1589" s="6"/>
      <c r="BF1589" s="6"/>
      <c r="BG1589" s="6"/>
      <c r="BH1589" s="6"/>
      <c r="BI1589" s="6"/>
      <c r="BJ1589" s="6"/>
      <c r="BK1589" s="6"/>
      <c r="BL1589" s="6"/>
      <c r="BM1589" s="6"/>
      <c r="BN1589" s="6"/>
      <c r="BO1589" s="6"/>
      <c r="BP1589" s="6"/>
      <c r="BQ1589" s="6"/>
      <c r="BR1589" s="6"/>
      <c r="BS1589" s="6"/>
      <c r="BT1589" s="6"/>
      <c r="BU1589" s="6"/>
      <c r="BV1589" s="6"/>
      <c r="BW1589" s="6"/>
      <c r="BX1589" s="6"/>
      <c r="BY1589" s="6"/>
      <c r="BZ1589" s="6"/>
      <c r="CA1589" s="6"/>
      <c r="CB1589" s="6"/>
      <c r="CC1589" s="6"/>
    </row>
    <row r="1590" spans="2:81" x14ac:dyDescent="0.2">
      <c r="B1590" s="68"/>
      <c r="C1590" s="69"/>
      <c r="D1590" s="70"/>
      <c r="F1590" s="68"/>
      <c r="G1590" s="69"/>
      <c r="H1590" s="70"/>
      <c r="J1590" s="71"/>
      <c r="K1590" s="71"/>
      <c r="L1590" s="67"/>
      <c r="N1590" s="71"/>
      <c r="O1590" s="71"/>
      <c r="P1590" s="67"/>
      <c r="R1590" s="67"/>
      <c r="S1590" s="6"/>
      <c r="T1590" s="6"/>
      <c r="U1590" s="6"/>
      <c r="V1590" s="6"/>
      <c r="W1590" s="6"/>
      <c r="X1590" s="6"/>
      <c r="Y1590" s="6"/>
      <c r="Z1590" s="6"/>
      <c r="AA1590" s="6"/>
      <c r="AB1590" s="6"/>
      <c r="AC1590" s="6"/>
      <c r="AD1590" s="6"/>
      <c r="AE1590" s="6"/>
      <c r="AF1590" s="6"/>
      <c r="AG1590" s="6"/>
      <c r="AH1590" s="6"/>
      <c r="AI1590" s="6"/>
      <c r="AJ1590" s="6"/>
      <c r="AK1590" s="6"/>
      <c r="AL1590" s="6"/>
      <c r="AM1590" s="6"/>
      <c r="AN1590" s="6"/>
      <c r="AO1590" s="6"/>
      <c r="AP1590" s="6"/>
      <c r="AQ1590" s="6"/>
      <c r="AR1590" s="6"/>
      <c r="AS1590" s="6"/>
      <c r="AT1590" s="6"/>
      <c r="AU1590" s="6"/>
      <c r="AV1590" s="6"/>
      <c r="AW1590" s="6"/>
      <c r="AX1590" s="6"/>
      <c r="AY1590" s="6"/>
      <c r="AZ1590" s="6"/>
      <c r="BA1590" s="6"/>
      <c r="BB1590" s="6"/>
      <c r="BC1590" s="6"/>
      <c r="BD1590" s="6"/>
      <c r="BE1590" s="6"/>
      <c r="BF1590" s="6"/>
      <c r="BG1590" s="6"/>
      <c r="BH1590" s="6"/>
      <c r="BI1590" s="6"/>
      <c r="BJ1590" s="6"/>
      <c r="BK1590" s="6"/>
      <c r="BL1590" s="6"/>
      <c r="BM1590" s="6"/>
      <c r="BN1590" s="6"/>
      <c r="BO1590" s="6"/>
      <c r="BP1590" s="6"/>
      <c r="BQ1590" s="6"/>
      <c r="BR1590" s="6"/>
      <c r="BS1590" s="6"/>
      <c r="BT1590" s="6"/>
      <c r="BU1590" s="6"/>
      <c r="BV1590" s="6"/>
      <c r="BW1590" s="6"/>
      <c r="BX1590" s="6"/>
      <c r="BY1590" s="6"/>
      <c r="BZ1590" s="6"/>
      <c r="CA1590" s="6"/>
      <c r="CB1590" s="6"/>
      <c r="CC1590" s="6"/>
    </row>
    <row r="1591" spans="2:81" x14ac:dyDescent="0.2">
      <c r="B1591" s="68"/>
      <c r="C1591" s="69"/>
      <c r="D1591" s="70"/>
      <c r="F1591" s="68"/>
      <c r="G1591" s="69"/>
      <c r="H1591" s="70"/>
      <c r="J1591" s="71"/>
      <c r="K1591" s="71"/>
      <c r="L1591" s="67"/>
      <c r="N1591" s="71"/>
      <c r="O1591" s="71"/>
      <c r="P1591" s="67"/>
      <c r="R1591" s="67"/>
      <c r="S1591" s="6"/>
      <c r="T1591" s="6"/>
      <c r="U1591" s="6"/>
      <c r="V1591" s="6"/>
      <c r="W1591" s="6"/>
      <c r="X1591" s="6"/>
      <c r="Y1591" s="6"/>
      <c r="Z1591" s="6"/>
      <c r="AA1591" s="6"/>
      <c r="AB1591" s="6"/>
      <c r="AC1591" s="6"/>
      <c r="AD1591" s="6"/>
      <c r="AE1591" s="6"/>
      <c r="AF1591" s="6"/>
      <c r="AG1591" s="6"/>
      <c r="AH1591" s="6"/>
      <c r="AI1591" s="6"/>
      <c r="AJ1591" s="6"/>
      <c r="AK1591" s="6"/>
      <c r="AL1591" s="6"/>
      <c r="AM1591" s="6"/>
      <c r="AN1591" s="6"/>
      <c r="AO1591" s="6"/>
      <c r="AP1591" s="6"/>
      <c r="AQ1591" s="6"/>
      <c r="AR1591" s="6"/>
      <c r="AS1591" s="6"/>
      <c r="AT1591" s="6"/>
      <c r="AU1591" s="6"/>
      <c r="AV1591" s="6"/>
      <c r="AW1591" s="6"/>
      <c r="AX1591" s="6"/>
      <c r="AY1591" s="6"/>
      <c r="AZ1591" s="6"/>
      <c r="BA1591" s="6"/>
      <c r="BB1591" s="6"/>
      <c r="BC1591" s="6"/>
      <c r="BD1591" s="6"/>
      <c r="BE1591" s="6"/>
      <c r="BF1591" s="6"/>
      <c r="BG1591" s="6"/>
      <c r="BH1591" s="6"/>
      <c r="BI1591" s="6"/>
      <c r="BJ1591" s="6"/>
      <c r="BK1591" s="6"/>
      <c r="BL1591" s="6"/>
      <c r="BM1591" s="6"/>
      <c r="BN1591" s="6"/>
      <c r="BO1591" s="6"/>
      <c r="BP1591" s="6"/>
      <c r="BQ1591" s="6"/>
      <c r="BR1591" s="6"/>
      <c r="BS1591" s="6"/>
      <c r="BT1591" s="6"/>
      <c r="BU1591" s="6"/>
      <c r="BV1591" s="6"/>
      <c r="BW1591" s="6"/>
      <c r="BX1591" s="6"/>
      <c r="BY1591" s="6"/>
      <c r="BZ1591" s="6"/>
      <c r="CA1591" s="6"/>
      <c r="CB1591" s="6"/>
      <c r="CC1591" s="6"/>
    </row>
    <row r="1592" spans="2:81" x14ac:dyDescent="0.2">
      <c r="B1592" s="68"/>
      <c r="C1592" s="69"/>
      <c r="D1592" s="70"/>
      <c r="F1592" s="68"/>
      <c r="G1592" s="69"/>
      <c r="H1592" s="70"/>
      <c r="J1592" s="71"/>
      <c r="K1592" s="71"/>
      <c r="L1592" s="67"/>
      <c r="N1592" s="71"/>
      <c r="O1592" s="71"/>
      <c r="P1592" s="67"/>
      <c r="R1592" s="67"/>
      <c r="S1592" s="6"/>
      <c r="T1592" s="6"/>
      <c r="U1592" s="6"/>
      <c r="V1592" s="6"/>
      <c r="W1592" s="6"/>
      <c r="X1592" s="6"/>
      <c r="Y1592" s="6"/>
      <c r="Z1592" s="6"/>
      <c r="AA1592" s="6"/>
      <c r="AB1592" s="6"/>
      <c r="AC1592" s="6"/>
      <c r="AD1592" s="6"/>
      <c r="AE1592" s="6"/>
      <c r="AF1592" s="6"/>
      <c r="AG1592" s="6"/>
      <c r="AH1592" s="6"/>
      <c r="AI1592" s="6"/>
      <c r="AJ1592" s="6"/>
      <c r="AK1592" s="6"/>
      <c r="AL1592" s="6"/>
      <c r="AM1592" s="6"/>
      <c r="AN1592" s="6"/>
      <c r="AO1592" s="6"/>
      <c r="AP1592" s="6"/>
      <c r="AQ1592" s="6"/>
      <c r="AR1592" s="6"/>
      <c r="AS1592" s="6"/>
      <c r="AT1592" s="6"/>
      <c r="AU1592" s="6"/>
      <c r="AV1592" s="6"/>
      <c r="AW1592" s="6"/>
      <c r="AX1592" s="6"/>
      <c r="AY1592" s="6"/>
      <c r="AZ1592" s="6"/>
      <c r="BA1592" s="6"/>
      <c r="BB1592" s="6"/>
      <c r="BC1592" s="6"/>
      <c r="BD1592" s="6"/>
      <c r="BE1592" s="6"/>
      <c r="BF1592" s="6"/>
      <c r="BG1592" s="6"/>
      <c r="BH1592" s="6"/>
      <c r="BI1592" s="6"/>
      <c r="BJ1592" s="6"/>
      <c r="BK1592" s="6"/>
      <c r="BL1592" s="6"/>
      <c r="BM1592" s="6"/>
      <c r="BN1592" s="6"/>
      <c r="BO1592" s="6"/>
      <c r="BP1592" s="6"/>
      <c r="BQ1592" s="6"/>
      <c r="BR1592" s="6"/>
      <c r="BS1592" s="6"/>
      <c r="BT1592" s="6"/>
      <c r="BU1592" s="6"/>
      <c r="BV1592" s="6"/>
      <c r="BW1592" s="6"/>
      <c r="BX1592" s="6"/>
      <c r="BY1592" s="6"/>
      <c r="BZ1592" s="6"/>
      <c r="CA1592" s="6"/>
      <c r="CB1592" s="6"/>
      <c r="CC1592" s="6"/>
    </row>
    <row r="1593" spans="2:81" x14ac:dyDescent="0.2">
      <c r="B1593" s="68"/>
      <c r="C1593" s="69"/>
      <c r="D1593" s="70"/>
      <c r="F1593" s="68"/>
      <c r="G1593" s="69"/>
      <c r="H1593" s="70"/>
      <c r="J1593" s="71"/>
      <c r="K1593" s="71"/>
      <c r="L1593" s="67"/>
      <c r="N1593" s="71"/>
      <c r="O1593" s="71"/>
      <c r="P1593" s="67"/>
      <c r="R1593" s="67"/>
      <c r="S1593" s="6"/>
      <c r="T1593" s="6"/>
      <c r="U1593" s="6"/>
      <c r="V1593" s="6"/>
      <c r="W1593" s="6"/>
      <c r="X1593" s="6"/>
      <c r="Y1593" s="6"/>
      <c r="Z1593" s="6"/>
      <c r="AA1593" s="6"/>
      <c r="AB1593" s="6"/>
      <c r="AC1593" s="6"/>
      <c r="AD1593" s="6"/>
      <c r="AE1593" s="6"/>
      <c r="AF1593" s="6"/>
      <c r="AG1593" s="6"/>
      <c r="AH1593" s="6"/>
      <c r="AI1593" s="6"/>
      <c r="AJ1593" s="6"/>
      <c r="AK1593" s="6"/>
      <c r="AL1593" s="6"/>
      <c r="AM1593" s="6"/>
      <c r="AN1593" s="6"/>
      <c r="AO1593" s="6"/>
      <c r="AP1593" s="6"/>
      <c r="AQ1593" s="6"/>
      <c r="AR1593" s="6"/>
      <c r="AS1593" s="6"/>
      <c r="AT1593" s="6"/>
      <c r="AU1593" s="6"/>
      <c r="AV1593" s="6"/>
      <c r="AW1593" s="6"/>
      <c r="AX1593" s="6"/>
      <c r="AY1593" s="6"/>
      <c r="AZ1593" s="6"/>
      <c r="BA1593" s="6"/>
      <c r="BB1593" s="6"/>
      <c r="BC1593" s="6"/>
      <c r="BD1593" s="6"/>
      <c r="BE1593" s="6"/>
      <c r="BF1593" s="6"/>
      <c r="BG1593" s="6"/>
      <c r="BH1593" s="6"/>
      <c r="BI1593" s="6"/>
      <c r="BJ1593" s="6"/>
      <c r="BK1593" s="6"/>
      <c r="BL1593" s="6"/>
      <c r="BM1593" s="6"/>
      <c r="BN1593" s="6"/>
      <c r="BO1593" s="6"/>
      <c r="BP1593" s="6"/>
      <c r="BQ1593" s="6"/>
      <c r="BR1593" s="6"/>
      <c r="BS1593" s="6"/>
      <c r="BT1593" s="6"/>
      <c r="BU1593" s="6"/>
      <c r="BV1593" s="6"/>
      <c r="BW1593" s="6"/>
      <c r="BX1593" s="6"/>
      <c r="BY1593" s="6"/>
      <c r="BZ1593" s="6"/>
      <c r="CA1593" s="6"/>
      <c r="CB1593" s="6"/>
      <c r="CC1593" s="6"/>
    </row>
    <row r="1594" spans="2:81" x14ac:dyDescent="0.2">
      <c r="B1594" s="68"/>
      <c r="C1594" s="69"/>
      <c r="D1594" s="70"/>
      <c r="F1594" s="68"/>
      <c r="G1594" s="69"/>
      <c r="H1594" s="70"/>
      <c r="J1594" s="71"/>
      <c r="K1594" s="71"/>
      <c r="L1594" s="67"/>
      <c r="N1594" s="71"/>
      <c r="O1594" s="71"/>
      <c r="P1594" s="67"/>
      <c r="R1594" s="67"/>
      <c r="S1594" s="6"/>
      <c r="T1594" s="6"/>
      <c r="U1594" s="6"/>
      <c r="V1594" s="6"/>
      <c r="W1594" s="6"/>
      <c r="X1594" s="6"/>
      <c r="Y1594" s="6"/>
      <c r="Z1594" s="6"/>
      <c r="AA1594" s="6"/>
      <c r="AB1594" s="6"/>
      <c r="AC1594" s="6"/>
      <c r="AD1594" s="6"/>
      <c r="AE1594" s="6"/>
      <c r="AF1594" s="6"/>
      <c r="AG1594" s="6"/>
      <c r="AH1594" s="6"/>
      <c r="AI1594" s="6"/>
      <c r="AJ1594" s="6"/>
      <c r="AK1594" s="6"/>
      <c r="AL1594" s="6"/>
      <c r="AM1594" s="6"/>
      <c r="AN1594" s="6"/>
      <c r="AO1594" s="6"/>
      <c r="AP1594" s="6"/>
      <c r="AQ1594" s="6"/>
      <c r="AR1594" s="6"/>
      <c r="AS1594" s="6"/>
      <c r="AT1594" s="6"/>
      <c r="AU1594" s="6"/>
      <c r="AV1594" s="6"/>
      <c r="AW1594" s="6"/>
      <c r="AX1594" s="6"/>
      <c r="AY1594" s="6"/>
      <c r="AZ1594" s="6"/>
      <c r="BA1594" s="6"/>
      <c r="BB1594" s="6"/>
      <c r="BC1594" s="6"/>
      <c r="BD1594" s="6"/>
      <c r="BE1594" s="6"/>
      <c r="BF1594" s="6"/>
      <c r="BG1594" s="6"/>
      <c r="BH1594" s="6"/>
      <c r="BI1594" s="6"/>
      <c r="BJ1594" s="6"/>
      <c r="BK1594" s="6"/>
      <c r="BL1594" s="6"/>
      <c r="BM1594" s="6"/>
      <c r="BN1594" s="6"/>
      <c r="BO1594" s="6"/>
      <c r="BP1594" s="6"/>
      <c r="BQ1594" s="6"/>
      <c r="BR1594" s="6"/>
      <c r="BS1594" s="6"/>
      <c r="BT1594" s="6"/>
      <c r="BU1594" s="6"/>
      <c r="BV1594" s="6"/>
      <c r="BW1594" s="6"/>
      <c r="BX1594" s="6"/>
      <c r="BY1594" s="6"/>
      <c r="BZ1594" s="6"/>
      <c r="CA1594" s="6"/>
      <c r="CB1594" s="6"/>
      <c r="CC1594" s="6"/>
    </row>
    <row r="1595" spans="2:81" x14ac:dyDescent="0.2">
      <c r="B1595" s="68"/>
      <c r="C1595" s="69"/>
      <c r="D1595" s="70"/>
      <c r="F1595" s="68"/>
      <c r="G1595" s="69"/>
      <c r="H1595" s="70"/>
      <c r="J1595" s="71"/>
      <c r="K1595" s="71"/>
      <c r="L1595" s="67"/>
      <c r="N1595" s="71"/>
      <c r="O1595" s="71"/>
      <c r="P1595" s="67"/>
      <c r="R1595" s="67"/>
      <c r="S1595" s="6"/>
      <c r="T1595" s="6"/>
      <c r="U1595" s="6"/>
      <c r="V1595" s="6"/>
      <c r="W1595" s="6"/>
      <c r="X1595" s="6"/>
      <c r="Y1595" s="6"/>
      <c r="Z1595" s="6"/>
      <c r="AA1595" s="6"/>
      <c r="AB1595" s="6"/>
      <c r="AC1595" s="6"/>
      <c r="AD1595" s="6"/>
      <c r="AE1595" s="6"/>
      <c r="AF1595" s="6"/>
      <c r="AG1595" s="6"/>
      <c r="AH1595" s="6"/>
      <c r="AI1595" s="6"/>
      <c r="AJ1595" s="6"/>
      <c r="AK1595" s="6"/>
      <c r="AL1595" s="6"/>
      <c r="AM1595" s="6"/>
      <c r="AN1595" s="6"/>
      <c r="AO1595" s="6"/>
      <c r="AP1595" s="6"/>
      <c r="AQ1595" s="6"/>
      <c r="AR1595" s="6"/>
      <c r="AS1595" s="6"/>
      <c r="AT1595" s="6"/>
      <c r="AU1595" s="6"/>
      <c r="AV1595" s="6"/>
      <c r="AW1595" s="6"/>
      <c r="AX1595" s="6"/>
      <c r="AY1595" s="6"/>
      <c r="AZ1595" s="6"/>
      <c r="BA1595" s="6"/>
      <c r="BB1595" s="6"/>
      <c r="BC1595" s="6"/>
      <c r="BD1595" s="6"/>
      <c r="BE1595" s="6"/>
      <c r="BF1595" s="6"/>
      <c r="BG1595" s="6"/>
      <c r="BH1595" s="6"/>
      <c r="BI1595" s="6"/>
      <c r="BJ1595" s="6"/>
      <c r="BK1595" s="6"/>
      <c r="BL1595" s="6"/>
      <c r="BM1595" s="6"/>
      <c r="BN1595" s="6"/>
      <c r="BO1595" s="6"/>
      <c r="BP1595" s="6"/>
      <c r="BQ1595" s="6"/>
      <c r="BR1595" s="6"/>
      <c r="BS1595" s="6"/>
      <c r="BT1595" s="6"/>
      <c r="BU1595" s="6"/>
      <c r="BV1595" s="6"/>
      <c r="BW1595" s="6"/>
      <c r="BX1595" s="6"/>
      <c r="BY1595" s="6"/>
      <c r="BZ1595" s="6"/>
      <c r="CA1595" s="6"/>
      <c r="CB1595" s="6"/>
      <c r="CC1595" s="6"/>
    </row>
    <row r="1596" spans="2:81" x14ac:dyDescent="0.2">
      <c r="B1596" s="68"/>
      <c r="C1596" s="69"/>
      <c r="D1596" s="70"/>
      <c r="F1596" s="68"/>
      <c r="G1596" s="69"/>
      <c r="H1596" s="70"/>
      <c r="J1596" s="71"/>
      <c r="K1596" s="71"/>
      <c r="L1596" s="67"/>
      <c r="N1596" s="71"/>
      <c r="O1596" s="71"/>
      <c r="P1596" s="67"/>
      <c r="R1596" s="67"/>
      <c r="S1596" s="6"/>
      <c r="T1596" s="6"/>
      <c r="U1596" s="6"/>
      <c r="V1596" s="6"/>
      <c r="W1596" s="6"/>
      <c r="X1596" s="6"/>
      <c r="Y1596" s="6"/>
      <c r="Z1596" s="6"/>
      <c r="AA1596" s="6"/>
      <c r="AB1596" s="6"/>
      <c r="AC1596" s="6"/>
      <c r="AD1596" s="6"/>
      <c r="AE1596" s="6"/>
      <c r="AF1596" s="6"/>
      <c r="AG1596" s="6"/>
      <c r="AH1596" s="6"/>
      <c r="AI1596" s="6"/>
      <c r="AJ1596" s="6"/>
      <c r="AK1596" s="6"/>
      <c r="AL1596" s="6"/>
      <c r="AM1596" s="6"/>
      <c r="AN1596" s="6"/>
      <c r="AO1596" s="6"/>
      <c r="AP1596" s="6"/>
      <c r="AQ1596" s="6"/>
      <c r="AR1596" s="6"/>
      <c r="AS1596" s="6"/>
      <c r="AT1596" s="6"/>
      <c r="AU1596" s="6"/>
      <c r="AV1596" s="6"/>
      <c r="AW1596" s="6"/>
      <c r="AX1596" s="6"/>
      <c r="AY1596" s="6"/>
      <c r="AZ1596" s="6"/>
      <c r="BA1596" s="6"/>
      <c r="BB1596" s="6"/>
      <c r="BC1596" s="6"/>
      <c r="BD1596" s="6"/>
      <c r="BE1596" s="6"/>
      <c r="BF1596" s="6"/>
      <c r="BG1596" s="6"/>
      <c r="BH1596" s="6"/>
      <c r="BI1596" s="6"/>
      <c r="BJ1596" s="6"/>
      <c r="BK1596" s="6"/>
      <c r="BL1596" s="6"/>
      <c r="BM1596" s="6"/>
      <c r="BN1596" s="6"/>
      <c r="BO1596" s="6"/>
      <c r="BP1596" s="6"/>
      <c r="BQ1596" s="6"/>
      <c r="BR1596" s="6"/>
      <c r="BS1596" s="6"/>
      <c r="BT1596" s="6"/>
      <c r="BU1596" s="6"/>
      <c r="BV1596" s="6"/>
      <c r="BW1596" s="6"/>
      <c r="BX1596" s="6"/>
      <c r="BY1596" s="6"/>
      <c r="BZ1596" s="6"/>
      <c r="CA1596" s="6"/>
      <c r="CB1596" s="6"/>
      <c r="CC1596" s="6"/>
    </row>
    <row r="1597" spans="2:81" x14ac:dyDescent="0.2">
      <c r="B1597" s="68"/>
      <c r="C1597" s="69"/>
      <c r="D1597" s="70"/>
      <c r="F1597" s="68"/>
      <c r="G1597" s="69"/>
      <c r="H1597" s="70"/>
      <c r="J1597" s="71"/>
      <c r="K1597" s="71"/>
      <c r="L1597" s="67"/>
      <c r="N1597" s="71"/>
      <c r="O1597" s="71"/>
      <c r="P1597" s="67"/>
      <c r="R1597" s="67"/>
      <c r="S1597" s="6"/>
      <c r="T1597" s="6"/>
      <c r="U1597" s="6"/>
      <c r="V1597" s="6"/>
      <c r="W1597" s="6"/>
      <c r="X1597" s="6"/>
      <c r="Y1597" s="6"/>
      <c r="Z1597" s="6"/>
      <c r="AA1597" s="6"/>
      <c r="AB1597" s="6"/>
      <c r="AC1597" s="6"/>
      <c r="AD1597" s="6"/>
      <c r="AE1597" s="6"/>
      <c r="AF1597" s="6"/>
      <c r="AG1597" s="6"/>
      <c r="AH1597" s="6"/>
      <c r="AI1597" s="6"/>
      <c r="AJ1597" s="6"/>
      <c r="AK1597" s="6"/>
      <c r="AL1597" s="6"/>
      <c r="AM1597" s="6"/>
      <c r="AN1597" s="6"/>
      <c r="AO1597" s="6"/>
      <c r="AP1597" s="6"/>
      <c r="AQ1597" s="6"/>
      <c r="AR1597" s="6"/>
      <c r="AS1597" s="6"/>
      <c r="AT1597" s="6"/>
      <c r="AU1597" s="6"/>
      <c r="AV1597" s="6"/>
      <c r="AW1597" s="6"/>
      <c r="AX1597" s="6"/>
      <c r="AY1597" s="6"/>
      <c r="AZ1597" s="6"/>
      <c r="BA1597" s="6"/>
      <c r="BB1597" s="6"/>
      <c r="BC1597" s="6"/>
      <c r="BD1597" s="6"/>
      <c r="BE1597" s="6"/>
      <c r="BF1597" s="6"/>
      <c r="BG1597" s="6"/>
      <c r="BH1597" s="6"/>
      <c r="BI1597" s="6"/>
      <c r="BJ1597" s="6"/>
      <c r="BK1597" s="6"/>
      <c r="BL1597" s="6"/>
      <c r="BM1597" s="6"/>
      <c r="BN1597" s="6"/>
      <c r="BO1597" s="6"/>
      <c r="BP1597" s="6"/>
      <c r="BQ1597" s="6"/>
      <c r="BR1597" s="6"/>
      <c r="BS1597" s="6"/>
      <c r="BT1597" s="6"/>
      <c r="BU1597" s="6"/>
      <c r="BV1597" s="6"/>
      <c r="BW1597" s="6"/>
      <c r="BX1597" s="6"/>
      <c r="BY1597" s="6"/>
      <c r="BZ1597" s="6"/>
      <c r="CA1597" s="6"/>
      <c r="CB1597" s="6"/>
      <c r="CC1597" s="6"/>
    </row>
    <row r="1598" spans="2:81" x14ac:dyDescent="0.2">
      <c r="B1598" s="68"/>
      <c r="C1598" s="69"/>
      <c r="D1598" s="70"/>
      <c r="F1598" s="68"/>
      <c r="G1598" s="69"/>
      <c r="H1598" s="70"/>
      <c r="J1598" s="71"/>
      <c r="K1598" s="71"/>
      <c r="L1598" s="67"/>
      <c r="N1598" s="71"/>
      <c r="O1598" s="71"/>
      <c r="P1598" s="67"/>
      <c r="R1598" s="67"/>
      <c r="S1598" s="6"/>
      <c r="T1598" s="6"/>
      <c r="U1598" s="6"/>
      <c r="V1598" s="6"/>
      <c r="W1598" s="6"/>
      <c r="X1598" s="6"/>
      <c r="Y1598" s="6"/>
      <c r="Z1598" s="6"/>
      <c r="AA1598" s="6"/>
      <c r="AB1598" s="6"/>
      <c r="AC1598" s="6"/>
      <c r="AD1598" s="6"/>
      <c r="AE1598" s="6"/>
      <c r="AF1598" s="6"/>
      <c r="AG1598" s="6"/>
      <c r="AH1598" s="6"/>
      <c r="AI1598" s="6"/>
      <c r="AJ1598" s="6"/>
      <c r="AK1598" s="6"/>
      <c r="AL1598" s="6"/>
      <c r="AM1598" s="6"/>
      <c r="AN1598" s="6"/>
      <c r="AO1598" s="6"/>
      <c r="AP1598" s="6"/>
      <c r="AQ1598" s="6"/>
      <c r="AR1598" s="6"/>
      <c r="AS1598" s="6"/>
      <c r="AT1598" s="6"/>
      <c r="AU1598" s="6"/>
      <c r="AV1598" s="6"/>
      <c r="AW1598" s="6"/>
      <c r="AX1598" s="6"/>
      <c r="AY1598" s="6"/>
      <c r="AZ1598" s="6"/>
      <c r="BA1598" s="6"/>
      <c r="BB1598" s="6"/>
      <c r="BC1598" s="6"/>
      <c r="BD1598" s="6"/>
      <c r="BE1598" s="6"/>
      <c r="BF1598" s="6"/>
      <c r="BG1598" s="6"/>
      <c r="BH1598" s="6"/>
      <c r="BI1598" s="6"/>
      <c r="BJ1598" s="6"/>
      <c r="BK1598" s="6"/>
      <c r="BL1598" s="6"/>
      <c r="BM1598" s="6"/>
      <c r="BN1598" s="6"/>
      <c r="BO1598" s="6"/>
      <c r="BP1598" s="6"/>
      <c r="BQ1598" s="6"/>
      <c r="BR1598" s="6"/>
      <c r="BS1598" s="6"/>
      <c r="BT1598" s="6"/>
      <c r="BU1598" s="6"/>
      <c r="BV1598" s="6"/>
      <c r="BW1598" s="6"/>
      <c r="BX1598" s="6"/>
      <c r="BY1598" s="6"/>
      <c r="BZ1598" s="6"/>
      <c r="CA1598" s="6"/>
      <c r="CB1598" s="6"/>
      <c r="CC1598" s="6"/>
    </row>
    <row r="1599" spans="2:81" x14ac:dyDescent="0.2">
      <c r="B1599" s="68"/>
      <c r="C1599" s="69"/>
      <c r="D1599" s="70"/>
      <c r="F1599" s="68"/>
      <c r="G1599" s="69"/>
      <c r="H1599" s="70"/>
      <c r="J1599" s="71"/>
      <c r="K1599" s="71"/>
      <c r="L1599" s="67"/>
      <c r="N1599" s="71"/>
      <c r="O1599" s="71"/>
      <c r="P1599" s="67"/>
      <c r="R1599" s="67"/>
      <c r="S1599" s="6"/>
      <c r="T1599" s="6"/>
      <c r="U1599" s="6"/>
      <c r="V1599" s="6"/>
      <c r="W1599" s="6"/>
      <c r="X1599" s="6"/>
      <c r="Y1599" s="6"/>
      <c r="Z1599" s="6"/>
      <c r="AA1599" s="6"/>
      <c r="AB1599" s="6"/>
      <c r="AC1599" s="6"/>
      <c r="AD1599" s="6"/>
      <c r="AE1599" s="6"/>
      <c r="AF1599" s="6"/>
      <c r="AG1599" s="6"/>
      <c r="AH1599" s="6"/>
      <c r="AI1599" s="6"/>
      <c r="AJ1599" s="6"/>
      <c r="AK1599" s="6"/>
      <c r="AL1599" s="6"/>
      <c r="AM1599" s="6"/>
      <c r="AN1599" s="6"/>
      <c r="AO1599" s="6"/>
      <c r="AP1599" s="6"/>
      <c r="AQ1599" s="6"/>
      <c r="AR1599" s="6"/>
      <c r="AS1599" s="6"/>
      <c r="AT1599" s="6"/>
      <c r="AU1599" s="6"/>
      <c r="AV1599" s="6"/>
      <c r="AW1599" s="6"/>
      <c r="AX1599" s="6"/>
      <c r="AY1599" s="6"/>
      <c r="AZ1599" s="6"/>
      <c r="BA1599" s="6"/>
      <c r="BB1599" s="6"/>
      <c r="BC1599" s="6"/>
      <c r="BD1599" s="6"/>
      <c r="BE1599" s="6"/>
      <c r="BF1599" s="6"/>
      <c r="BG1599" s="6"/>
      <c r="BH1599" s="6"/>
      <c r="BI1599" s="6"/>
      <c r="BJ1599" s="6"/>
      <c r="BK1599" s="6"/>
      <c r="BL1599" s="6"/>
      <c r="BM1599" s="6"/>
      <c r="BN1599" s="6"/>
      <c r="BO1599" s="6"/>
      <c r="BP1599" s="6"/>
      <c r="BQ1599" s="6"/>
      <c r="BR1599" s="6"/>
      <c r="BS1599" s="6"/>
      <c r="BT1599" s="6"/>
      <c r="BU1599" s="6"/>
      <c r="BV1599" s="6"/>
      <c r="BW1599" s="6"/>
      <c r="BX1599" s="6"/>
      <c r="BY1599" s="6"/>
      <c r="BZ1599" s="6"/>
      <c r="CA1599" s="6"/>
      <c r="CB1599" s="6"/>
      <c r="CC1599" s="6"/>
    </row>
    <row r="1600" spans="2:81" x14ac:dyDescent="0.2">
      <c r="B1600" s="68"/>
      <c r="C1600" s="69"/>
      <c r="D1600" s="70"/>
      <c r="F1600" s="68"/>
      <c r="G1600" s="69"/>
      <c r="H1600" s="70"/>
      <c r="J1600" s="71"/>
      <c r="K1600" s="71"/>
      <c r="L1600" s="67"/>
      <c r="N1600" s="71"/>
      <c r="O1600" s="71"/>
      <c r="P1600" s="67"/>
      <c r="R1600" s="67"/>
      <c r="S1600" s="6"/>
      <c r="T1600" s="6"/>
      <c r="U1600" s="6"/>
      <c r="V1600" s="6"/>
      <c r="W1600" s="6"/>
      <c r="X1600" s="6"/>
      <c r="Y1600" s="6"/>
      <c r="Z1600" s="6"/>
      <c r="AA1600" s="6"/>
      <c r="AB1600" s="6"/>
      <c r="AC1600" s="6"/>
      <c r="AD1600" s="6"/>
      <c r="AE1600" s="6"/>
      <c r="AF1600" s="6"/>
      <c r="AG1600" s="6"/>
      <c r="AH1600" s="6"/>
      <c r="AI1600" s="6"/>
      <c r="AJ1600" s="6"/>
      <c r="AK1600" s="6"/>
      <c r="AL1600" s="6"/>
      <c r="AM1600" s="6"/>
      <c r="AN1600" s="6"/>
      <c r="AO1600" s="6"/>
      <c r="AP1600" s="6"/>
      <c r="AQ1600" s="6"/>
      <c r="AR1600" s="6"/>
      <c r="AS1600" s="6"/>
      <c r="AT1600" s="6"/>
      <c r="AU1600" s="6"/>
      <c r="AV1600" s="6"/>
      <c r="AW1600" s="6"/>
      <c r="AX1600" s="6"/>
      <c r="AY1600" s="6"/>
      <c r="AZ1600" s="6"/>
      <c r="BA1600" s="6"/>
      <c r="BB1600" s="6"/>
      <c r="BC1600" s="6"/>
      <c r="BD1600" s="6"/>
      <c r="BE1600" s="6"/>
      <c r="BF1600" s="6"/>
      <c r="BG1600" s="6"/>
      <c r="BH1600" s="6"/>
      <c r="BI1600" s="6"/>
      <c r="BJ1600" s="6"/>
      <c r="BK1600" s="6"/>
      <c r="BL1600" s="6"/>
      <c r="BM1600" s="6"/>
      <c r="BN1600" s="6"/>
      <c r="BO1600" s="6"/>
      <c r="BP1600" s="6"/>
      <c r="BQ1600" s="6"/>
      <c r="BR1600" s="6"/>
      <c r="BS1600" s="6"/>
      <c r="BT1600" s="6"/>
      <c r="BU1600" s="6"/>
      <c r="BV1600" s="6"/>
      <c r="BW1600" s="6"/>
      <c r="BX1600" s="6"/>
      <c r="BY1600" s="6"/>
      <c r="BZ1600" s="6"/>
      <c r="CA1600" s="6"/>
      <c r="CB1600" s="6"/>
      <c r="CC1600" s="6"/>
    </row>
    <row r="1601" spans="2:81" x14ac:dyDescent="0.2">
      <c r="B1601" s="68"/>
      <c r="C1601" s="69"/>
      <c r="D1601" s="70"/>
      <c r="F1601" s="68"/>
      <c r="G1601" s="69"/>
      <c r="H1601" s="70"/>
      <c r="J1601" s="71"/>
      <c r="K1601" s="71"/>
      <c r="L1601" s="67"/>
      <c r="N1601" s="71"/>
      <c r="O1601" s="71"/>
      <c r="P1601" s="67"/>
      <c r="R1601" s="67"/>
      <c r="S1601" s="6"/>
      <c r="T1601" s="6"/>
      <c r="U1601" s="6"/>
      <c r="V1601" s="6"/>
      <c r="W1601" s="6"/>
      <c r="X1601" s="6"/>
      <c r="Y1601" s="6"/>
      <c r="Z1601" s="6"/>
      <c r="AA1601" s="6"/>
      <c r="AB1601" s="6"/>
      <c r="AC1601" s="6"/>
      <c r="AD1601" s="6"/>
      <c r="AE1601" s="6"/>
      <c r="AF1601" s="6"/>
      <c r="AG1601" s="6"/>
      <c r="AH1601" s="6"/>
      <c r="AI1601" s="6"/>
      <c r="AJ1601" s="6"/>
      <c r="AK1601" s="6"/>
      <c r="AL1601" s="6"/>
      <c r="AM1601" s="6"/>
      <c r="AN1601" s="6"/>
      <c r="AO1601" s="6"/>
      <c r="AP1601" s="6"/>
      <c r="AQ1601" s="6"/>
      <c r="AR1601" s="6"/>
      <c r="AS1601" s="6"/>
      <c r="AT1601" s="6"/>
      <c r="AU1601" s="6"/>
      <c r="AV1601" s="6"/>
      <c r="AW1601" s="6"/>
      <c r="AX1601" s="6"/>
      <c r="AY1601" s="6"/>
      <c r="AZ1601" s="6"/>
      <c r="BA1601" s="6"/>
      <c r="BB1601" s="6"/>
      <c r="BC1601" s="6"/>
      <c r="BD1601" s="6"/>
      <c r="BE1601" s="6"/>
      <c r="BF1601" s="6"/>
      <c r="BG1601" s="6"/>
      <c r="BH1601" s="6"/>
      <c r="BI1601" s="6"/>
      <c r="BJ1601" s="6"/>
      <c r="BK1601" s="6"/>
      <c r="BL1601" s="6"/>
      <c r="BM1601" s="6"/>
      <c r="BN1601" s="6"/>
      <c r="BO1601" s="6"/>
      <c r="BP1601" s="6"/>
      <c r="BQ1601" s="6"/>
      <c r="BR1601" s="6"/>
      <c r="BS1601" s="6"/>
      <c r="BT1601" s="6"/>
      <c r="BU1601" s="6"/>
      <c r="BV1601" s="6"/>
      <c r="BW1601" s="6"/>
      <c r="BX1601" s="6"/>
      <c r="BY1601" s="6"/>
      <c r="BZ1601" s="6"/>
      <c r="CA1601" s="6"/>
      <c r="CB1601" s="6"/>
      <c r="CC1601" s="6"/>
    </row>
    <row r="1602" spans="2:81" x14ac:dyDescent="0.2">
      <c r="B1602" s="68"/>
      <c r="C1602" s="69"/>
      <c r="D1602" s="70"/>
      <c r="F1602" s="68"/>
      <c r="G1602" s="69"/>
      <c r="H1602" s="70"/>
      <c r="J1602" s="71"/>
      <c r="K1602" s="71"/>
      <c r="L1602" s="67"/>
      <c r="N1602" s="71"/>
      <c r="O1602" s="71"/>
      <c r="P1602" s="67"/>
      <c r="R1602" s="67"/>
      <c r="S1602" s="6"/>
      <c r="T1602" s="6"/>
      <c r="U1602" s="6"/>
      <c r="V1602" s="6"/>
      <c r="W1602" s="6"/>
      <c r="X1602" s="6"/>
      <c r="Y1602" s="6"/>
      <c r="Z1602" s="6"/>
      <c r="AA1602" s="6"/>
      <c r="AB1602" s="6"/>
      <c r="AC1602" s="6"/>
      <c r="AD1602" s="6"/>
      <c r="AE1602" s="6"/>
      <c r="AF1602" s="6"/>
      <c r="AG1602" s="6"/>
      <c r="AH1602" s="6"/>
      <c r="AI1602" s="6"/>
      <c r="AJ1602" s="6"/>
      <c r="AK1602" s="6"/>
      <c r="AL1602" s="6"/>
      <c r="AM1602" s="6"/>
      <c r="AN1602" s="6"/>
      <c r="AO1602" s="6"/>
      <c r="AP1602" s="6"/>
      <c r="AQ1602" s="6"/>
      <c r="AR1602" s="6"/>
      <c r="AS1602" s="6"/>
      <c r="AT1602" s="6"/>
      <c r="AU1602" s="6"/>
      <c r="AV1602" s="6"/>
      <c r="AW1602" s="6"/>
      <c r="AX1602" s="6"/>
      <c r="AY1602" s="6"/>
      <c r="AZ1602" s="6"/>
      <c r="BA1602" s="6"/>
      <c r="BB1602" s="6"/>
      <c r="BC1602" s="6"/>
      <c r="BD1602" s="6"/>
      <c r="BE1602" s="6"/>
      <c r="BF1602" s="6"/>
      <c r="BG1602" s="6"/>
      <c r="BH1602" s="6"/>
      <c r="BI1602" s="6"/>
      <c r="BJ1602" s="6"/>
      <c r="BK1602" s="6"/>
      <c r="BL1602" s="6"/>
      <c r="BM1602" s="6"/>
      <c r="BN1602" s="6"/>
      <c r="BO1602" s="6"/>
      <c r="BP1602" s="6"/>
      <c r="BQ1602" s="6"/>
      <c r="BR1602" s="6"/>
      <c r="BS1602" s="6"/>
      <c r="BT1602" s="6"/>
      <c r="BU1602" s="6"/>
      <c r="BV1602" s="6"/>
      <c r="BW1602" s="6"/>
      <c r="BX1602" s="6"/>
      <c r="BY1602" s="6"/>
      <c r="BZ1602" s="6"/>
      <c r="CA1602" s="6"/>
      <c r="CB1602" s="6"/>
      <c r="CC1602" s="6"/>
    </row>
    <row r="1603" spans="2:81" x14ac:dyDescent="0.2">
      <c r="B1603" s="68"/>
      <c r="C1603" s="69"/>
      <c r="D1603" s="70"/>
      <c r="F1603" s="68"/>
      <c r="G1603" s="69"/>
      <c r="H1603" s="70"/>
      <c r="J1603" s="71"/>
      <c r="K1603" s="71"/>
      <c r="L1603" s="67"/>
      <c r="N1603" s="71"/>
      <c r="O1603" s="71"/>
      <c r="P1603" s="67"/>
      <c r="R1603" s="67"/>
      <c r="S1603" s="6"/>
      <c r="T1603" s="6"/>
      <c r="U1603" s="6"/>
      <c r="V1603" s="6"/>
      <c r="W1603" s="6"/>
      <c r="X1603" s="6"/>
      <c r="Y1603" s="6"/>
      <c r="Z1603" s="6"/>
      <c r="AA1603" s="6"/>
      <c r="AB1603" s="6"/>
      <c r="AC1603" s="6"/>
      <c r="AD1603" s="6"/>
      <c r="AE1603" s="6"/>
      <c r="AF1603" s="6"/>
      <c r="AG1603" s="6"/>
      <c r="AH1603" s="6"/>
      <c r="AI1603" s="6"/>
      <c r="AJ1603" s="6"/>
      <c r="AK1603" s="6"/>
      <c r="AL1603" s="6"/>
      <c r="AM1603" s="6"/>
      <c r="AN1603" s="6"/>
      <c r="AO1603" s="6"/>
      <c r="AP1603" s="6"/>
      <c r="AQ1603" s="6"/>
      <c r="AR1603" s="6"/>
      <c r="AS1603" s="6"/>
      <c r="AT1603" s="6"/>
      <c r="AU1603" s="6"/>
      <c r="AV1603" s="6"/>
      <c r="AW1603" s="6"/>
      <c r="AX1603" s="6"/>
      <c r="AY1603" s="6"/>
      <c r="AZ1603" s="6"/>
      <c r="BA1603" s="6"/>
      <c r="BB1603" s="6"/>
      <c r="BC1603" s="6"/>
      <c r="BD1603" s="6"/>
      <c r="BE1603" s="6"/>
      <c r="BF1603" s="6"/>
      <c r="BG1603" s="6"/>
      <c r="BH1603" s="6"/>
      <c r="BI1603" s="6"/>
      <c r="BJ1603" s="6"/>
      <c r="BK1603" s="6"/>
      <c r="BL1603" s="6"/>
      <c r="BM1603" s="6"/>
      <c r="BN1603" s="6"/>
      <c r="BO1603" s="6"/>
      <c r="BP1603" s="6"/>
      <c r="BQ1603" s="6"/>
      <c r="BR1603" s="6"/>
      <c r="BS1603" s="6"/>
      <c r="BT1603" s="6"/>
      <c r="BU1603" s="6"/>
      <c r="BV1603" s="6"/>
      <c r="BW1603" s="6"/>
      <c r="BX1603" s="6"/>
      <c r="BY1603" s="6"/>
      <c r="BZ1603" s="6"/>
      <c r="CA1603" s="6"/>
      <c r="CB1603" s="6"/>
      <c r="CC1603" s="6"/>
    </row>
    <row r="1604" spans="2:81" x14ac:dyDescent="0.2">
      <c r="B1604" s="68"/>
      <c r="C1604" s="69"/>
      <c r="D1604" s="70"/>
      <c r="F1604" s="68"/>
      <c r="G1604" s="69"/>
      <c r="H1604" s="70"/>
      <c r="J1604" s="71"/>
      <c r="K1604" s="71"/>
      <c r="L1604" s="67"/>
      <c r="N1604" s="71"/>
      <c r="O1604" s="71"/>
      <c r="P1604" s="67"/>
      <c r="R1604" s="67"/>
      <c r="S1604" s="6"/>
      <c r="T1604" s="6"/>
      <c r="U1604" s="6"/>
      <c r="V1604" s="6"/>
      <c r="W1604" s="6"/>
      <c r="X1604" s="6"/>
      <c r="Y1604" s="6"/>
      <c r="Z1604" s="6"/>
      <c r="AA1604" s="6"/>
      <c r="AB1604" s="6"/>
      <c r="AC1604" s="6"/>
      <c r="AD1604" s="6"/>
      <c r="AE1604" s="6"/>
      <c r="AF1604" s="6"/>
      <c r="AG1604" s="6"/>
      <c r="AH1604" s="6"/>
      <c r="AI1604" s="6"/>
      <c r="AJ1604" s="6"/>
      <c r="AK1604" s="6"/>
      <c r="AL1604" s="6"/>
      <c r="AM1604" s="6"/>
      <c r="AN1604" s="6"/>
      <c r="AO1604" s="6"/>
      <c r="AP1604" s="6"/>
      <c r="AQ1604" s="6"/>
      <c r="AR1604" s="6"/>
      <c r="AS1604" s="6"/>
      <c r="AT1604" s="6"/>
      <c r="AU1604" s="6"/>
      <c r="AV1604" s="6"/>
      <c r="AW1604" s="6"/>
      <c r="AX1604" s="6"/>
      <c r="AY1604" s="6"/>
      <c r="AZ1604" s="6"/>
      <c r="BA1604" s="6"/>
      <c r="BB1604" s="6"/>
      <c r="BC1604" s="6"/>
      <c r="BD1604" s="6"/>
      <c r="BE1604" s="6"/>
      <c r="BF1604" s="6"/>
      <c r="BG1604" s="6"/>
      <c r="BH1604" s="6"/>
      <c r="BI1604" s="6"/>
      <c r="BJ1604" s="6"/>
      <c r="BK1604" s="6"/>
      <c r="BL1604" s="6"/>
      <c r="BM1604" s="6"/>
      <c r="BN1604" s="6"/>
      <c r="BO1604" s="6"/>
      <c r="BP1604" s="6"/>
      <c r="BQ1604" s="6"/>
      <c r="BR1604" s="6"/>
      <c r="BS1604" s="6"/>
      <c r="BT1604" s="6"/>
      <c r="BU1604" s="6"/>
      <c r="BV1604" s="6"/>
      <c r="BW1604" s="6"/>
      <c r="BX1604" s="6"/>
      <c r="BY1604" s="6"/>
      <c r="BZ1604" s="6"/>
      <c r="CA1604" s="6"/>
      <c r="CB1604" s="6"/>
      <c r="CC1604" s="6"/>
    </row>
    <row r="1605" spans="2:81" x14ac:dyDescent="0.2">
      <c r="B1605" s="68"/>
      <c r="C1605" s="69"/>
      <c r="D1605" s="70"/>
      <c r="F1605" s="68"/>
      <c r="G1605" s="69"/>
      <c r="H1605" s="70"/>
      <c r="J1605" s="71"/>
      <c r="K1605" s="71"/>
      <c r="L1605" s="67"/>
      <c r="N1605" s="71"/>
      <c r="O1605" s="71"/>
      <c r="P1605" s="67"/>
      <c r="R1605" s="67"/>
      <c r="S1605" s="6"/>
      <c r="T1605" s="6"/>
      <c r="U1605" s="6"/>
      <c r="V1605" s="6"/>
      <c r="W1605" s="6"/>
      <c r="X1605" s="6"/>
      <c r="Y1605" s="6"/>
      <c r="Z1605" s="6"/>
      <c r="AA1605" s="6"/>
      <c r="AB1605" s="6"/>
      <c r="AC1605" s="6"/>
      <c r="AD1605" s="6"/>
      <c r="AE1605" s="6"/>
      <c r="AF1605" s="6"/>
      <c r="AG1605" s="6"/>
      <c r="AH1605" s="6"/>
      <c r="AI1605" s="6"/>
      <c r="AJ1605" s="6"/>
      <c r="AK1605" s="6"/>
      <c r="AL1605" s="6"/>
      <c r="AM1605" s="6"/>
      <c r="AN1605" s="6"/>
      <c r="AO1605" s="6"/>
      <c r="AP1605" s="6"/>
      <c r="AQ1605" s="6"/>
      <c r="AR1605" s="6"/>
      <c r="AS1605" s="6"/>
      <c r="AT1605" s="6"/>
      <c r="AU1605" s="6"/>
      <c r="AV1605" s="6"/>
      <c r="AW1605" s="6"/>
      <c r="AX1605" s="6"/>
      <c r="AY1605" s="6"/>
      <c r="AZ1605" s="6"/>
      <c r="BA1605" s="6"/>
      <c r="BB1605" s="6"/>
      <c r="BC1605" s="6"/>
      <c r="BD1605" s="6"/>
      <c r="BE1605" s="6"/>
      <c r="BF1605" s="6"/>
      <c r="BG1605" s="6"/>
      <c r="BH1605" s="6"/>
      <c r="BI1605" s="6"/>
      <c r="BJ1605" s="6"/>
      <c r="BK1605" s="6"/>
      <c r="BL1605" s="6"/>
      <c r="BM1605" s="6"/>
      <c r="BN1605" s="6"/>
      <c r="BO1605" s="6"/>
      <c r="BP1605" s="6"/>
      <c r="BQ1605" s="6"/>
      <c r="BR1605" s="6"/>
      <c r="BS1605" s="6"/>
      <c r="BT1605" s="6"/>
      <c r="BU1605" s="6"/>
      <c r="BV1605" s="6"/>
      <c r="BW1605" s="6"/>
      <c r="BX1605" s="6"/>
      <c r="BY1605" s="6"/>
      <c r="BZ1605" s="6"/>
      <c r="CA1605" s="6"/>
      <c r="CB1605" s="6"/>
      <c r="CC1605" s="6"/>
    </row>
    <row r="1606" spans="2:81" x14ac:dyDescent="0.2">
      <c r="B1606" s="68"/>
      <c r="C1606" s="69"/>
      <c r="D1606" s="70"/>
      <c r="F1606" s="68"/>
      <c r="G1606" s="69"/>
      <c r="H1606" s="70"/>
      <c r="J1606" s="71"/>
      <c r="K1606" s="71"/>
      <c r="L1606" s="67"/>
      <c r="N1606" s="71"/>
      <c r="O1606" s="71"/>
      <c r="P1606" s="67"/>
      <c r="R1606" s="67"/>
      <c r="S1606" s="6"/>
      <c r="T1606" s="6"/>
      <c r="U1606" s="6"/>
      <c r="V1606" s="6"/>
      <c r="W1606" s="6"/>
      <c r="X1606" s="6"/>
      <c r="Y1606" s="6"/>
      <c r="Z1606" s="6"/>
      <c r="AA1606" s="6"/>
      <c r="AB1606" s="6"/>
      <c r="AC1606" s="6"/>
      <c r="AD1606" s="6"/>
      <c r="AE1606" s="6"/>
      <c r="AF1606" s="6"/>
      <c r="AG1606" s="6"/>
      <c r="AH1606" s="6"/>
      <c r="AI1606" s="6"/>
      <c r="AJ1606" s="6"/>
      <c r="AK1606" s="6"/>
      <c r="AL1606" s="6"/>
      <c r="AM1606" s="6"/>
      <c r="AN1606" s="6"/>
      <c r="AO1606" s="6"/>
      <c r="AP1606" s="6"/>
      <c r="AQ1606" s="6"/>
      <c r="AR1606" s="6"/>
      <c r="AS1606" s="6"/>
      <c r="AT1606" s="6"/>
      <c r="AU1606" s="6"/>
      <c r="AV1606" s="6"/>
      <c r="AW1606" s="6"/>
      <c r="AX1606" s="6"/>
      <c r="AY1606" s="6"/>
      <c r="AZ1606" s="6"/>
      <c r="BA1606" s="6"/>
      <c r="BB1606" s="6"/>
      <c r="BC1606" s="6"/>
      <c r="BD1606" s="6"/>
      <c r="BE1606" s="6"/>
      <c r="BF1606" s="6"/>
      <c r="BG1606" s="6"/>
      <c r="BH1606" s="6"/>
      <c r="BI1606" s="6"/>
      <c r="BJ1606" s="6"/>
      <c r="BK1606" s="6"/>
      <c r="BL1606" s="6"/>
      <c r="BM1606" s="6"/>
      <c r="BN1606" s="6"/>
      <c r="BO1606" s="6"/>
      <c r="BP1606" s="6"/>
      <c r="BQ1606" s="6"/>
      <c r="BR1606" s="6"/>
      <c r="BS1606" s="6"/>
      <c r="BT1606" s="6"/>
      <c r="BU1606" s="6"/>
      <c r="BV1606" s="6"/>
      <c r="BW1606" s="6"/>
      <c r="BX1606" s="6"/>
      <c r="BY1606" s="6"/>
      <c r="BZ1606" s="6"/>
      <c r="CA1606" s="6"/>
      <c r="CB1606" s="6"/>
      <c r="CC1606" s="6"/>
    </row>
    <row r="1607" spans="2:81" x14ac:dyDescent="0.2">
      <c r="B1607" s="68"/>
      <c r="C1607" s="69"/>
      <c r="D1607" s="70"/>
      <c r="F1607" s="68"/>
      <c r="G1607" s="69"/>
      <c r="H1607" s="70"/>
      <c r="J1607" s="71"/>
      <c r="K1607" s="71"/>
      <c r="L1607" s="67"/>
      <c r="N1607" s="71"/>
      <c r="O1607" s="71"/>
      <c r="P1607" s="67"/>
      <c r="R1607" s="67"/>
      <c r="S1607" s="6"/>
      <c r="T1607" s="6"/>
      <c r="U1607" s="6"/>
      <c r="V1607" s="6"/>
      <c r="W1607" s="6"/>
      <c r="X1607" s="6"/>
      <c r="Y1607" s="6"/>
      <c r="Z1607" s="6"/>
      <c r="AA1607" s="6"/>
      <c r="AB1607" s="6"/>
      <c r="AC1607" s="6"/>
      <c r="AD1607" s="6"/>
      <c r="AE1607" s="6"/>
      <c r="AF1607" s="6"/>
      <c r="AG1607" s="6"/>
      <c r="AH1607" s="6"/>
      <c r="AI1607" s="6"/>
      <c r="AJ1607" s="6"/>
      <c r="AK1607" s="6"/>
      <c r="AL1607" s="6"/>
      <c r="AM1607" s="6"/>
      <c r="AN1607" s="6"/>
      <c r="AO1607" s="6"/>
      <c r="AP1607" s="6"/>
      <c r="AQ1607" s="6"/>
      <c r="AR1607" s="6"/>
      <c r="AS1607" s="6"/>
      <c r="AT1607" s="6"/>
      <c r="AU1607" s="6"/>
      <c r="AV1607" s="6"/>
      <c r="AW1607" s="6"/>
      <c r="AX1607" s="6"/>
      <c r="AY1607" s="6"/>
      <c r="AZ1607" s="6"/>
      <c r="BA1607" s="6"/>
      <c r="BB1607" s="6"/>
      <c r="BC1607" s="6"/>
      <c r="BD1607" s="6"/>
      <c r="BE1607" s="6"/>
      <c r="BF1607" s="6"/>
      <c r="BG1607" s="6"/>
      <c r="BH1607" s="6"/>
      <c r="BI1607" s="6"/>
      <c r="BJ1607" s="6"/>
      <c r="BK1607" s="6"/>
      <c r="BL1607" s="6"/>
      <c r="BM1607" s="6"/>
      <c r="BN1607" s="6"/>
      <c r="BO1607" s="6"/>
      <c r="BP1607" s="6"/>
      <c r="BQ1607" s="6"/>
      <c r="BR1607" s="6"/>
      <c r="BS1607" s="6"/>
      <c r="BT1607" s="6"/>
      <c r="BU1607" s="6"/>
      <c r="BV1607" s="6"/>
      <c r="BW1607" s="6"/>
      <c r="BX1607" s="6"/>
      <c r="BY1607" s="6"/>
      <c r="BZ1607" s="6"/>
      <c r="CA1607" s="6"/>
      <c r="CB1607" s="6"/>
      <c r="CC1607" s="6"/>
    </row>
    <row r="1608" spans="2:81" x14ac:dyDescent="0.2">
      <c r="B1608" s="68"/>
      <c r="C1608" s="69"/>
      <c r="D1608" s="70"/>
      <c r="F1608" s="68"/>
      <c r="G1608" s="69"/>
      <c r="H1608" s="70"/>
      <c r="J1608" s="71"/>
      <c r="K1608" s="71"/>
      <c r="L1608" s="67"/>
      <c r="N1608" s="71"/>
      <c r="O1608" s="71"/>
      <c r="P1608" s="67"/>
      <c r="R1608" s="67"/>
      <c r="S1608" s="6"/>
      <c r="T1608" s="6"/>
      <c r="U1608" s="6"/>
      <c r="V1608" s="6"/>
      <c r="W1608" s="6"/>
      <c r="X1608" s="6"/>
      <c r="Y1608" s="6"/>
      <c r="Z1608" s="6"/>
      <c r="AA1608" s="6"/>
      <c r="AB1608" s="6"/>
      <c r="AC1608" s="6"/>
      <c r="AD1608" s="6"/>
      <c r="AE1608" s="6"/>
      <c r="AF1608" s="6"/>
      <c r="AG1608" s="6"/>
      <c r="AH1608" s="6"/>
      <c r="AI1608" s="6"/>
      <c r="AJ1608" s="6"/>
      <c r="AK1608" s="6"/>
      <c r="AL1608" s="6"/>
      <c r="AM1608" s="6"/>
      <c r="AN1608" s="6"/>
      <c r="AO1608" s="6"/>
      <c r="AP1608" s="6"/>
      <c r="AQ1608" s="6"/>
      <c r="AR1608" s="6"/>
      <c r="AS1608" s="6"/>
      <c r="AT1608" s="6"/>
      <c r="AU1608" s="6"/>
      <c r="AV1608" s="6"/>
      <c r="AW1608" s="6"/>
      <c r="AX1608" s="6"/>
      <c r="AY1608" s="6"/>
      <c r="AZ1608" s="6"/>
      <c r="BA1608" s="6"/>
      <c r="BB1608" s="6"/>
      <c r="BC1608" s="6"/>
      <c r="BD1608" s="6"/>
      <c r="BE1608" s="6"/>
      <c r="BF1608" s="6"/>
      <c r="BG1608" s="6"/>
      <c r="BH1608" s="6"/>
      <c r="BI1608" s="6"/>
      <c r="BJ1608" s="6"/>
      <c r="BK1608" s="6"/>
      <c r="BL1608" s="6"/>
      <c r="BM1608" s="6"/>
      <c r="BN1608" s="6"/>
      <c r="BO1608" s="6"/>
      <c r="BP1608" s="6"/>
      <c r="BQ1608" s="6"/>
      <c r="BR1608" s="6"/>
      <c r="BS1608" s="6"/>
      <c r="BT1608" s="6"/>
      <c r="BU1608" s="6"/>
      <c r="BV1608" s="6"/>
      <c r="BW1608" s="6"/>
      <c r="BX1608" s="6"/>
      <c r="BY1608" s="6"/>
      <c r="BZ1608" s="6"/>
      <c r="CA1608" s="6"/>
      <c r="CB1608" s="6"/>
      <c r="CC1608" s="6"/>
    </row>
    <row r="1609" spans="2:81" x14ac:dyDescent="0.2">
      <c r="B1609" s="68"/>
      <c r="C1609" s="69"/>
      <c r="D1609" s="70"/>
      <c r="F1609" s="68"/>
      <c r="G1609" s="69"/>
      <c r="H1609" s="70"/>
      <c r="J1609" s="71"/>
      <c r="K1609" s="71"/>
      <c r="L1609" s="67"/>
      <c r="N1609" s="71"/>
      <c r="O1609" s="71"/>
      <c r="P1609" s="67"/>
      <c r="R1609" s="67"/>
      <c r="S1609" s="6"/>
      <c r="T1609" s="6"/>
      <c r="U1609" s="6"/>
      <c r="V1609" s="6"/>
      <c r="W1609" s="6"/>
      <c r="X1609" s="6"/>
      <c r="Y1609" s="6"/>
      <c r="Z1609" s="6"/>
      <c r="AA1609" s="6"/>
      <c r="AB1609" s="6"/>
      <c r="AC1609" s="6"/>
      <c r="AD1609" s="6"/>
      <c r="AE1609" s="6"/>
      <c r="AF1609" s="6"/>
      <c r="AG1609" s="6"/>
      <c r="AH1609" s="6"/>
      <c r="AI1609" s="6"/>
      <c r="AJ1609" s="6"/>
      <c r="AK1609" s="6"/>
      <c r="AL1609" s="6"/>
      <c r="AM1609" s="6"/>
      <c r="AN1609" s="6"/>
      <c r="AO1609" s="6"/>
      <c r="AP1609" s="6"/>
      <c r="AQ1609" s="6"/>
      <c r="AR1609" s="6"/>
      <c r="AS1609" s="6"/>
      <c r="AT1609" s="6"/>
      <c r="AU1609" s="6"/>
      <c r="AV1609" s="6"/>
      <c r="AW1609" s="6"/>
      <c r="AX1609" s="6"/>
      <c r="AY1609" s="6"/>
      <c r="AZ1609" s="6"/>
      <c r="BA1609" s="6"/>
      <c r="BB1609" s="6"/>
      <c r="BC1609" s="6"/>
      <c r="BD1609" s="6"/>
      <c r="BE1609" s="6"/>
      <c r="BF1609" s="6"/>
      <c r="BG1609" s="6"/>
      <c r="BH1609" s="6"/>
      <c r="BI1609" s="6"/>
      <c r="BJ1609" s="6"/>
      <c r="BK1609" s="6"/>
      <c r="BL1609" s="6"/>
      <c r="BM1609" s="6"/>
      <c r="BN1609" s="6"/>
      <c r="BO1609" s="6"/>
      <c r="BP1609" s="6"/>
      <c r="BQ1609" s="6"/>
      <c r="BR1609" s="6"/>
      <c r="BS1609" s="6"/>
      <c r="BT1609" s="6"/>
      <c r="BU1609" s="6"/>
      <c r="BV1609" s="6"/>
      <c r="BW1609" s="6"/>
      <c r="BX1609" s="6"/>
      <c r="BY1609" s="6"/>
      <c r="BZ1609" s="6"/>
      <c r="CA1609" s="6"/>
      <c r="CB1609" s="6"/>
      <c r="CC1609" s="6"/>
    </row>
    <row r="1610" spans="2:81" x14ac:dyDescent="0.2">
      <c r="B1610" s="68"/>
      <c r="C1610" s="69"/>
      <c r="D1610" s="70"/>
      <c r="F1610" s="68"/>
      <c r="G1610" s="69"/>
      <c r="H1610" s="70"/>
      <c r="J1610" s="71"/>
      <c r="K1610" s="71"/>
      <c r="L1610" s="67"/>
      <c r="N1610" s="71"/>
      <c r="O1610" s="71"/>
      <c r="P1610" s="67"/>
      <c r="R1610" s="67"/>
      <c r="S1610" s="6"/>
      <c r="T1610" s="6"/>
      <c r="U1610" s="6"/>
      <c r="V1610" s="6"/>
      <c r="W1610" s="6"/>
      <c r="X1610" s="6"/>
      <c r="Y1610" s="6"/>
      <c r="Z1610" s="6"/>
      <c r="AA1610" s="6"/>
      <c r="AB1610" s="6"/>
      <c r="AC1610" s="6"/>
      <c r="AD1610" s="6"/>
      <c r="AE1610" s="6"/>
      <c r="AF1610" s="6"/>
      <c r="AG1610" s="6"/>
      <c r="AH1610" s="6"/>
      <c r="AI1610" s="6"/>
      <c r="AJ1610" s="6"/>
      <c r="AK1610" s="6"/>
      <c r="AL1610" s="6"/>
      <c r="AM1610" s="6"/>
      <c r="AN1610" s="6"/>
      <c r="AO1610" s="6"/>
      <c r="AP1610" s="6"/>
      <c r="AQ1610" s="6"/>
      <c r="AR1610" s="6"/>
      <c r="AS1610" s="6"/>
      <c r="AT1610" s="6"/>
      <c r="AU1610" s="6"/>
      <c r="AV1610" s="6"/>
      <c r="AW1610" s="6"/>
      <c r="AX1610" s="6"/>
      <c r="AY1610" s="6"/>
      <c r="AZ1610" s="6"/>
      <c r="BA1610" s="6"/>
      <c r="BB1610" s="6"/>
      <c r="BC1610" s="6"/>
      <c r="BD1610" s="6"/>
      <c r="BE1610" s="6"/>
      <c r="BF1610" s="6"/>
      <c r="BG1610" s="6"/>
      <c r="BH1610" s="6"/>
      <c r="BI1610" s="6"/>
      <c r="BJ1610" s="6"/>
      <c r="BK1610" s="6"/>
      <c r="BL1610" s="6"/>
      <c r="BM1610" s="6"/>
      <c r="BN1610" s="6"/>
      <c r="BO1610" s="6"/>
      <c r="BP1610" s="6"/>
      <c r="BQ1610" s="6"/>
      <c r="BR1610" s="6"/>
      <c r="BS1610" s="6"/>
      <c r="BT1610" s="6"/>
      <c r="BU1610" s="6"/>
      <c r="BV1610" s="6"/>
      <c r="BW1610" s="6"/>
      <c r="BX1610" s="6"/>
      <c r="BY1610" s="6"/>
      <c r="BZ1610" s="6"/>
      <c r="CA1610" s="6"/>
      <c r="CB1610" s="6"/>
      <c r="CC1610" s="6"/>
    </row>
    <row r="1611" spans="2:81" x14ac:dyDescent="0.2">
      <c r="B1611" s="68"/>
      <c r="C1611" s="69"/>
      <c r="D1611" s="70"/>
      <c r="F1611" s="68"/>
      <c r="G1611" s="69"/>
      <c r="H1611" s="70"/>
      <c r="J1611" s="71"/>
      <c r="K1611" s="71"/>
      <c r="L1611" s="67"/>
      <c r="N1611" s="71"/>
      <c r="O1611" s="71"/>
      <c r="P1611" s="67"/>
      <c r="R1611" s="67"/>
      <c r="S1611" s="6"/>
      <c r="T1611" s="6"/>
      <c r="U1611" s="6"/>
      <c r="V1611" s="6"/>
      <c r="W1611" s="6"/>
      <c r="X1611" s="6"/>
      <c r="Y1611" s="6"/>
      <c r="Z1611" s="6"/>
      <c r="AA1611" s="6"/>
      <c r="AB1611" s="6"/>
      <c r="AC1611" s="6"/>
      <c r="AD1611" s="6"/>
      <c r="AE1611" s="6"/>
      <c r="AF1611" s="6"/>
      <c r="AG1611" s="6"/>
      <c r="AH1611" s="6"/>
      <c r="AI1611" s="6"/>
      <c r="AJ1611" s="6"/>
      <c r="AK1611" s="6"/>
      <c r="AL1611" s="6"/>
      <c r="AM1611" s="6"/>
      <c r="AN1611" s="6"/>
      <c r="AO1611" s="6"/>
      <c r="AP1611" s="6"/>
      <c r="AQ1611" s="6"/>
      <c r="AR1611" s="6"/>
      <c r="AS1611" s="6"/>
      <c r="AT1611" s="6"/>
      <c r="AU1611" s="6"/>
      <c r="AV1611" s="6"/>
      <c r="AW1611" s="6"/>
      <c r="AX1611" s="6"/>
      <c r="AY1611" s="6"/>
      <c r="AZ1611" s="6"/>
      <c r="BA1611" s="6"/>
      <c r="BB1611" s="6"/>
      <c r="BC1611" s="6"/>
      <c r="BD1611" s="6"/>
      <c r="BE1611" s="6"/>
      <c r="BF1611" s="6"/>
      <c r="BG1611" s="6"/>
      <c r="BH1611" s="6"/>
      <c r="BI1611" s="6"/>
      <c r="BJ1611" s="6"/>
      <c r="BK1611" s="6"/>
      <c r="BL1611" s="6"/>
      <c r="BM1611" s="6"/>
      <c r="BN1611" s="6"/>
      <c r="BO1611" s="6"/>
      <c r="BP1611" s="6"/>
      <c r="BQ1611" s="6"/>
      <c r="BR1611" s="6"/>
      <c r="BS1611" s="6"/>
      <c r="BT1611" s="6"/>
      <c r="BU1611" s="6"/>
      <c r="BV1611" s="6"/>
      <c r="BW1611" s="6"/>
      <c r="BX1611" s="6"/>
      <c r="BY1611" s="6"/>
      <c r="BZ1611" s="6"/>
      <c r="CA1611" s="6"/>
      <c r="CB1611" s="6"/>
      <c r="CC1611" s="6"/>
    </row>
    <row r="1612" spans="2:81" x14ac:dyDescent="0.2">
      <c r="B1612" s="68"/>
      <c r="C1612" s="69"/>
      <c r="D1612" s="70"/>
      <c r="F1612" s="68"/>
      <c r="G1612" s="69"/>
      <c r="H1612" s="70"/>
      <c r="J1612" s="71"/>
      <c r="K1612" s="71"/>
      <c r="L1612" s="67"/>
      <c r="N1612" s="71"/>
      <c r="O1612" s="71"/>
      <c r="P1612" s="67"/>
      <c r="R1612" s="67"/>
      <c r="S1612" s="6"/>
      <c r="T1612" s="6"/>
      <c r="U1612" s="6"/>
      <c r="V1612" s="6"/>
      <c r="W1612" s="6"/>
      <c r="X1612" s="6"/>
      <c r="Y1612" s="6"/>
      <c r="Z1612" s="6"/>
      <c r="AA1612" s="6"/>
      <c r="AB1612" s="6"/>
      <c r="AC1612" s="6"/>
      <c r="AD1612" s="6"/>
      <c r="AE1612" s="6"/>
      <c r="AF1612" s="6"/>
      <c r="AG1612" s="6"/>
      <c r="AH1612" s="6"/>
      <c r="AI1612" s="6"/>
      <c r="AJ1612" s="6"/>
      <c r="AK1612" s="6"/>
      <c r="AL1612" s="6"/>
      <c r="AM1612" s="6"/>
      <c r="AN1612" s="6"/>
      <c r="AO1612" s="6"/>
      <c r="AP1612" s="6"/>
      <c r="AQ1612" s="6"/>
      <c r="AR1612" s="6"/>
      <c r="AS1612" s="6"/>
      <c r="AT1612" s="6"/>
      <c r="AU1612" s="6"/>
      <c r="AV1612" s="6"/>
      <c r="AW1612" s="6"/>
      <c r="AX1612" s="6"/>
      <c r="AY1612" s="6"/>
      <c r="AZ1612" s="6"/>
      <c r="BA1612" s="6"/>
      <c r="BB1612" s="6"/>
      <c r="BC1612" s="6"/>
      <c r="BD1612" s="6"/>
      <c r="BE1612" s="6"/>
      <c r="BF1612" s="6"/>
      <c r="BG1612" s="6"/>
      <c r="BH1612" s="6"/>
      <c r="BI1612" s="6"/>
      <c r="BJ1612" s="6"/>
      <c r="BK1612" s="6"/>
      <c r="BL1612" s="6"/>
      <c r="BM1612" s="6"/>
      <c r="BN1612" s="6"/>
      <c r="BO1612" s="6"/>
      <c r="BP1612" s="6"/>
      <c r="BQ1612" s="6"/>
      <c r="BR1612" s="6"/>
      <c r="BS1612" s="6"/>
      <c r="BT1612" s="6"/>
      <c r="BU1612" s="6"/>
      <c r="BV1612" s="6"/>
      <c r="BW1612" s="6"/>
      <c r="BX1612" s="6"/>
      <c r="BY1612" s="6"/>
      <c r="BZ1612" s="6"/>
      <c r="CA1612" s="6"/>
      <c r="CB1612" s="6"/>
      <c r="CC1612" s="6"/>
    </row>
    <row r="1613" spans="2:81" x14ac:dyDescent="0.2">
      <c r="B1613" s="68"/>
      <c r="C1613" s="69"/>
      <c r="D1613" s="70"/>
      <c r="F1613" s="68"/>
      <c r="G1613" s="69"/>
      <c r="H1613" s="70"/>
      <c r="J1613" s="71"/>
      <c r="K1613" s="71"/>
      <c r="L1613" s="67"/>
      <c r="N1613" s="71"/>
      <c r="O1613" s="71"/>
      <c r="P1613" s="67"/>
      <c r="R1613" s="67"/>
      <c r="S1613" s="6"/>
      <c r="T1613" s="6"/>
      <c r="U1613" s="6"/>
      <c r="V1613" s="6"/>
      <c r="W1613" s="6"/>
      <c r="X1613" s="6"/>
      <c r="Y1613" s="6"/>
      <c r="Z1613" s="6"/>
      <c r="AA1613" s="6"/>
      <c r="AB1613" s="6"/>
      <c r="AC1613" s="6"/>
      <c r="AD1613" s="6"/>
      <c r="AE1613" s="6"/>
      <c r="AF1613" s="6"/>
      <c r="AG1613" s="6"/>
      <c r="AH1613" s="6"/>
      <c r="AI1613" s="6"/>
      <c r="AJ1613" s="6"/>
      <c r="AK1613" s="6"/>
      <c r="AL1613" s="6"/>
      <c r="AM1613" s="6"/>
      <c r="AN1613" s="6"/>
      <c r="AO1613" s="6"/>
      <c r="AP1613" s="6"/>
      <c r="AQ1613" s="6"/>
      <c r="AR1613" s="6"/>
      <c r="AS1613" s="6"/>
      <c r="AT1613" s="6"/>
      <c r="AU1613" s="6"/>
      <c r="AV1613" s="6"/>
      <c r="AW1613" s="6"/>
      <c r="AX1613" s="6"/>
      <c r="AY1613" s="6"/>
      <c r="AZ1613" s="6"/>
      <c r="BA1613" s="6"/>
      <c r="BB1613" s="6"/>
      <c r="BC1613" s="6"/>
      <c r="BD1613" s="6"/>
      <c r="BE1613" s="6"/>
      <c r="BF1613" s="6"/>
      <c r="BG1613" s="6"/>
      <c r="BH1613" s="6"/>
      <c r="BI1613" s="6"/>
      <c r="BJ1613" s="6"/>
      <c r="BK1613" s="6"/>
      <c r="BL1613" s="6"/>
      <c r="BM1613" s="6"/>
      <c r="BN1613" s="6"/>
      <c r="BO1613" s="6"/>
      <c r="BP1613" s="6"/>
      <c r="BQ1613" s="6"/>
      <c r="BR1613" s="6"/>
      <c r="BS1613" s="6"/>
      <c r="BT1613" s="6"/>
      <c r="BU1613" s="6"/>
      <c r="BV1613" s="6"/>
      <c r="BW1613" s="6"/>
      <c r="BX1613" s="6"/>
      <c r="BY1613" s="6"/>
      <c r="BZ1613" s="6"/>
      <c r="CA1613" s="6"/>
      <c r="CB1613" s="6"/>
      <c r="CC1613" s="6"/>
    </row>
    <row r="1614" spans="2:81" x14ac:dyDescent="0.2">
      <c r="B1614" s="68"/>
      <c r="C1614" s="69"/>
      <c r="D1614" s="70"/>
      <c r="F1614" s="68"/>
      <c r="G1614" s="69"/>
      <c r="H1614" s="70"/>
      <c r="J1614" s="71"/>
      <c r="K1614" s="71"/>
      <c r="L1614" s="67"/>
      <c r="N1614" s="71"/>
      <c r="O1614" s="71"/>
      <c r="P1614" s="67"/>
      <c r="R1614" s="67"/>
      <c r="S1614" s="6"/>
      <c r="T1614" s="6"/>
      <c r="U1614" s="6"/>
      <c r="V1614" s="6"/>
      <c r="W1614" s="6"/>
      <c r="X1614" s="6"/>
      <c r="Y1614" s="6"/>
      <c r="Z1614" s="6"/>
      <c r="AA1614" s="6"/>
      <c r="AB1614" s="6"/>
      <c r="AC1614" s="6"/>
      <c r="AD1614" s="6"/>
      <c r="AE1614" s="6"/>
      <c r="AF1614" s="6"/>
      <c r="AG1614" s="6"/>
      <c r="AH1614" s="6"/>
      <c r="AI1614" s="6"/>
      <c r="AJ1614" s="6"/>
      <c r="AK1614" s="6"/>
      <c r="AL1614" s="6"/>
      <c r="AM1614" s="6"/>
      <c r="AN1614" s="6"/>
      <c r="AO1614" s="6"/>
      <c r="AP1614" s="6"/>
      <c r="AQ1614" s="6"/>
      <c r="AR1614" s="6"/>
      <c r="AS1614" s="6"/>
      <c r="AT1614" s="6"/>
      <c r="AU1614" s="6"/>
      <c r="AV1614" s="6"/>
      <c r="AW1614" s="6"/>
      <c r="AX1614" s="6"/>
      <c r="AY1614" s="6"/>
      <c r="AZ1614" s="6"/>
      <c r="BA1614" s="6"/>
      <c r="BB1614" s="6"/>
      <c r="BC1614" s="6"/>
      <c r="BD1614" s="6"/>
      <c r="BE1614" s="6"/>
      <c r="BF1614" s="6"/>
      <c r="BG1614" s="6"/>
      <c r="BH1614" s="6"/>
      <c r="BI1614" s="6"/>
      <c r="BJ1614" s="6"/>
      <c r="BK1614" s="6"/>
      <c r="BL1614" s="6"/>
      <c r="BM1614" s="6"/>
      <c r="BN1614" s="6"/>
      <c r="BO1614" s="6"/>
      <c r="BP1614" s="6"/>
      <c r="BQ1614" s="6"/>
      <c r="BR1614" s="6"/>
      <c r="BS1614" s="6"/>
      <c r="BT1614" s="6"/>
      <c r="BU1614" s="6"/>
      <c r="BV1614" s="6"/>
      <c r="BW1614" s="6"/>
      <c r="BX1614" s="6"/>
      <c r="BY1614" s="6"/>
      <c r="BZ1614" s="6"/>
      <c r="CA1614" s="6"/>
      <c r="CB1614" s="6"/>
      <c r="CC1614" s="6"/>
    </row>
    <row r="1615" spans="2:81" x14ac:dyDescent="0.2">
      <c r="B1615" s="68"/>
      <c r="C1615" s="69"/>
      <c r="D1615" s="70"/>
      <c r="F1615" s="68"/>
      <c r="G1615" s="69"/>
      <c r="H1615" s="70"/>
      <c r="J1615" s="71"/>
      <c r="K1615" s="71"/>
      <c r="L1615" s="67"/>
      <c r="N1615" s="71"/>
      <c r="O1615" s="71"/>
      <c r="P1615" s="67"/>
      <c r="R1615" s="67"/>
      <c r="S1615" s="6"/>
      <c r="T1615" s="6"/>
      <c r="U1615" s="6"/>
      <c r="V1615" s="6"/>
      <c r="W1615" s="6"/>
      <c r="X1615" s="6"/>
      <c r="Y1615" s="6"/>
      <c r="Z1615" s="6"/>
      <c r="AA1615" s="6"/>
      <c r="AB1615" s="6"/>
      <c r="AC1615" s="6"/>
      <c r="AD1615" s="6"/>
      <c r="AE1615" s="6"/>
      <c r="AF1615" s="6"/>
      <c r="AG1615" s="6"/>
      <c r="AH1615" s="6"/>
      <c r="AI1615" s="6"/>
      <c r="AJ1615" s="6"/>
      <c r="AK1615" s="6"/>
      <c r="AL1615" s="6"/>
      <c r="AM1615" s="6"/>
      <c r="AN1615" s="6"/>
      <c r="AO1615" s="6"/>
      <c r="AP1615" s="6"/>
      <c r="AQ1615" s="6"/>
      <c r="AR1615" s="6"/>
      <c r="AS1615" s="6"/>
      <c r="AT1615" s="6"/>
      <c r="AU1615" s="6"/>
      <c r="AV1615" s="6"/>
      <c r="AW1615" s="6"/>
      <c r="AX1615" s="6"/>
      <c r="AY1615" s="6"/>
      <c r="AZ1615" s="6"/>
      <c r="BA1615" s="6"/>
      <c r="BB1615" s="6"/>
      <c r="BC1615" s="6"/>
      <c r="BD1615" s="6"/>
      <c r="BE1615" s="6"/>
      <c r="BF1615" s="6"/>
      <c r="BG1615" s="6"/>
      <c r="BH1615" s="6"/>
      <c r="BI1615" s="6"/>
      <c r="BJ1615" s="6"/>
      <c r="BK1615" s="6"/>
      <c r="BL1615" s="6"/>
      <c r="BM1615" s="6"/>
      <c r="BN1615" s="6"/>
      <c r="BO1615" s="6"/>
      <c r="BP1615" s="6"/>
      <c r="BQ1615" s="6"/>
      <c r="BR1615" s="6"/>
      <c r="BS1615" s="6"/>
      <c r="BT1615" s="6"/>
      <c r="BU1615" s="6"/>
      <c r="BV1615" s="6"/>
      <c r="BW1615" s="6"/>
      <c r="BX1615" s="6"/>
      <c r="BY1615" s="6"/>
      <c r="BZ1615" s="6"/>
      <c r="CA1615" s="6"/>
      <c r="CB1615" s="6"/>
      <c r="CC1615" s="6"/>
    </row>
    <row r="1616" spans="2:81" x14ac:dyDescent="0.2">
      <c r="B1616" s="68"/>
      <c r="C1616" s="69"/>
      <c r="D1616" s="70"/>
      <c r="F1616" s="68"/>
      <c r="G1616" s="69"/>
      <c r="H1616" s="70"/>
      <c r="J1616" s="71"/>
      <c r="K1616" s="71"/>
      <c r="L1616" s="67"/>
      <c r="N1616" s="71"/>
      <c r="O1616" s="71"/>
      <c r="P1616" s="67"/>
      <c r="R1616" s="67"/>
      <c r="S1616" s="6"/>
      <c r="T1616" s="6"/>
      <c r="U1616" s="6"/>
      <c r="V1616" s="6"/>
      <c r="W1616" s="6"/>
      <c r="X1616" s="6"/>
      <c r="Y1616" s="6"/>
      <c r="Z1616" s="6"/>
      <c r="AA1616" s="6"/>
      <c r="AB1616" s="6"/>
      <c r="AC1616" s="6"/>
      <c r="AD1616" s="6"/>
      <c r="AE1616" s="6"/>
      <c r="AF1616" s="6"/>
      <c r="AG1616" s="6"/>
      <c r="AH1616" s="6"/>
      <c r="AI1616" s="6"/>
      <c r="AJ1616" s="6"/>
      <c r="AK1616" s="6"/>
      <c r="AL1616" s="6"/>
      <c r="AM1616" s="6"/>
      <c r="AN1616" s="6"/>
      <c r="AO1616" s="6"/>
      <c r="AP1616" s="6"/>
      <c r="AQ1616" s="6"/>
      <c r="AR1616" s="6"/>
      <c r="AS1616" s="6"/>
      <c r="AT1616" s="6"/>
      <c r="AU1616" s="6"/>
      <c r="AV1616" s="6"/>
      <c r="AW1616" s="6"/>
      <c r="AX1616" s="6"/>
      <c r="AY1616" s="6"/>
      <c r="AZ1616" s="6"/>
      <c r="BA1616" s="6"/>
      <c r="BB1616" s="6"/>
      <c r="BC1616" s="6"/>
      <c r="BD1616" s="6"/>
      <c r="BE1616" s="6"/>
      <c r="BF1616" s="6"/>
      <c r="BG1616" s="6"/>
      <c r="BH1616" s="6"/>
      <c r="BI1616" s="6"/>
      <c r="BJ1616" s="6"/>
      <c r="BK1616" s="6"/>
      <c r="BL1616" s="6"/>
      <c r="BM1616" s="6"/>
      <c r="BN1616" s="6"/>
      <c r="BO1616" s="6"/>
      <c r="BP1616" s="6"/>
      <c r="BQ1616" s="6"/>
      <c r="BR1616" s="6"/>
      <c r="BS1616" s="6"/>
      <c r="BT1616" s="6"/>
      <c r="BU1616" s="6"/>
      <c r="BV1616" s="6"/>
      <c r="BW1616" s="6"/>
      <c r="BX1616" s="6"/>
      <c r="BY1616" s="6"/>
      <c r="BZ1616" s="6"/>
      <c r="CA1616" s="6"/>
      <c r="CB1616" s="6"/>
      <c r="CC1616" s="6"/>
    </row>
    <row r="1617" spans="2:81" x14ac:dyDescent="0.2">
      <c r="B1617" s="68"/>
      <c r="C1617" s="69"/>
      <c r="D1617" s="70"/>
      <c r="F1617" s="68"/>
      <c r="G1617" s="69"/>
      <c r="H1617" s="70"/>
      <c r="J1617" s="71"/>
      <c r="K1617" s="71"/>
      <c r="L1617" s="67"/>
      <c r="N1617" s="71"/>
      <c r="O1617" s="71"/>
      <c r="P1617" s="67"/>
      <c r="R1617" s="67"/>
      <c r="S1617" s="6"/>
      <c r="T1617" s="6"/>
      <c r="U1617" s="6"/>
      <c r="V1617" s="6"/>
      <c r="W1617" s="6"/>
      <c r="X1617" s="6"/>
      <c r="Y1617" s="6"/>
      <c r="Z1617" s="6"/>
      <c r="AA1617" s="6"/>
      <c r="AB1617" s="6"/>
      <c r="AC1617" s="6"/>
      <c r="AD1617" s="6"/>
      <c r="AE1617" s="6"/>
      <c r="AF1617" s="6"/>
      <c r="AG1617" s="6"/>
      <c r="AH1617" s="6"/>
      <c r="AI1617" s="6"/>
      <c r="AJ1617" s="6"/>
      <c r="AK1617" s="6"/>
      <c r="AL1617" s="6"/>
      <c r="AM1617" s="6"/>
      <c r="AN1617" s="6"/>
      <c r="AO1617" s="6"/>
      <c r="AP1617" s="6"/>
      <c r="AQ1617" s="6"/>
      <c r="AR1617" s="6"/>
      <c r="AS1617" s="6"/>
      <c r="AT1617" s="6"/>
      <c r="AU1617" s="6"/>
      <c r="AV1617" s="6"/>
      <c r="AW1617" s="6"/>
      <c r="AX1617" s="6"/>
      <c r="AY1617" s="6"/>
      <c r="AZ1617" s="6"/>
      <c r="BA1617" s="6"/>
      <c r="BB1617" s="6"/>
      <c r="BC1617" s="6"/>
      <c r="BD1617" s="6"/>
      <c r="BE1617" s="6"/>
      <c r="BF1617" s="6"/>
      <c r="BG1617" s="6"/>
      <c r="BH1617" s="6"/>
      <c r="BI1617" s="6"/>
      <c r="BJ1617" s="6"/>
      <c r="BK1617" s="6"/>
      <c r="BL1617" s="6"/>
      <c r="BM1617" s="6"/>
      <c r="BN1617" s="6"/>
      <c r="BO1617" s="6"/>
      <c r="BP1617" s="6"/>
      <c r="BQ1617" s="6"/>
      <c r="BR1617" s="6"/>
      <c r="BS1617" s="6"/>
      <c r="BT1617" s="6"/>
      <c r="BU1617" s="6"/>
      <c r="BV1617" s="6"/>
      <c r="BW1617" s="6"/>
      <c r="BX1617" s="6"/>
      <c r="BY1617" s="6"/>
      <c r="BZ1617" s="6"/>
      <c r="CA1617" s="6"/>
      <c r="CB1617" s="6"/>
      <c r="CC1617" s="6"/>
    </row>
    <row r="1618" spans="2:81" x14ac:dyDescent="0.2">
      <c r="B1618" s="68"/>
      <c r="C1618" s="69"/>
      <c r="D1618" s="70"/>
      <c r="F1618" s="68"/>
      <c r="G1618" s="69"/>
      <c r="H1618" s="70"/>
      <c r="J1618" s="71"/>
      <c r="K1618" s="71"/>
      <c r="L1618" s="67"/>
      <c r="N1618" s="71"/>
      <c r="O1618" s="71"/>
      <c r="P1618" s="67"/>
      <c r="R1618" s="67"/>
      <c r="S1618" s="6"/>
      <c r="T1618" s="6"/>
      <c r="U1618" s="6"/>
      <c r="V1618" s="6"/>
      <c r="W1618" s="6"/>
      <c r="X1618" s="6"/>
      <c r="Y1618" s="6"/>
      <c r="Z1618" s="6"/>
      <c r="AA1618" s="6"/>
      <c r="AB1618" s="6"/>
      <c r="AC1618" s="6"/>
      <c r="AD1618" s="6"/>
      <c r="AE1618" s="6"/>
      <c r="AF1618" s="6"/>
      <c r="AG1618" s="6"/>
      <c r="AH1618" s="6"/>
      <c r="AI1618" s="6"/>
      <c r="AJ1618" s="6"/>
      <c r="AK1618" s="6"/>
      <c r="AL1618" s="6"/>
      <c r="AM1618" s="6"/>
      <c r="AN1618" s="6"/>
      <c r="AO1618" s="6"/>
      <c r="AP1618" s="6"/>
      <c r="AQ1618" s="6"/>
      <c r="AR1618" s="6"/>
      <c r="AS1618" s="6"/>
      <c r="AT1618" s="6"/>
      <c r="AU1618" s="6"/>
      <c r="AV1618" s="6"/>
      <c r="AW1618" s="6"/>
      <c r="AX1618" s="6"/>
      <c r="AY1618" s="6"/>
      <c r="AZ1618" s="6"/>
      <c r="BA1618" s="6"/>
      <c r="BB1618" s="6"/>
      <c r="BC1618" s="6"/>
      <c r="BD1618" s="6"/>
      <c r="BE1618" s="6"/>
      <c r="BF1618" s="6"/>
      <c r="BG1618" s="6"/>
      <c r="BH1618" s="6"/>
      <c r="BI1618" s="6"/>
      <c r="BJ1618" s="6"/>
      <c r="BK1618" s="6"/>
      <c r="BL1618" s="6"/>
      <c r="BM1618" s="6"/>
      <c r="BN1618" s="6"/>
      <c r="BO1618" s="6"/>
      <c r="BP1618" s="6"/>
      <c r="BQ1618" s="6"/>
      <c r="BR1618" s="6"/>
      <c r="BS1618" s="6"/>
      <c r="BT1618" s="6"/>
      <c r="BU1618" s="6"/>
      <c r="BV1618" s="6"/>
      <c r="BW1618" s="6"/>
      <c r="BX1618" s="6"/>
      <c r="BY1618" s="6"/>
      <c r="BZ1618" s="6"/>
      <c r="CA1618" s="6"/>
      <c r="CB1618" s="6"/>
      <c r="CC1618" s="6"/>
    </row>
    <row r="1619" spans="2:81" x14ac:dyDescent="0.2">
      <c r="B1619" s="68"/>
      <c r="C1619" s="69"/>
      <c r="D1619" s="70"/>
      <c r="F1619" s="68"/>
      <c r="G1619" s="69"/>
      <c r="H1619" s="70"/>
      <c r="J1619" s="71"/>
      <c r="K1619" s="71"/>
      <c r="L1619" s="67"/>
      <c r="N1619" s="71"/>
      <c r="O1619" s="71"/>
      <c r="P1619" s="67"/>
      <c r="R1619" s="67"/>
      <c r="S1619" s="6"/>
      <c r="T1619" s="6"/>
      <c r="U1619" s="6"/>
      <c r="V1619" s="6"/>
      <c r="W1619" s="6"/>
      <c r="X1619" s="6"/>
      <c r="Y1619" s="6"/>
      <c r="Z1619" s="6"/>
      <c r="AA1619" s="6"/>
      <c r="AB1619" s="6"/>
      <c r="AC1619" s="6"/>
      <c r="AD1619" s="6"/>
      <c r="AE1619" s="6"/>
      <c r="AF1619" s="6"/>
      <c r="AG1619" s="6"/>
      <c r="AH1619" s="6"/>
      <c r="AI1619" s="6"/>
      <c r="AJ1619" s="6"/>
      <c r="AK1619" s="6"/>
      <c r="AL1619" s="6"/>
      <c r="AM1619" s="6"/>
      <c r="AN1619" s="6"/>
      <c r="AO1619" s="6"/>
      <c r="AP1619" s="6"/>
      <c r="AQ1619" s="6"/>
      <c r="AR1619" s="6"/>
      <c r="AS1619" s="6"/>
      <c r="AT1619" s="6"/>
      <c r="AU1619" s="6"/>
      <c r="AV1619" s="6"/>
      <c r="AW1619" s="6"/>
      <c r="AX1619" s="6"/>
      <c r="AY1619" s="6"/>
      <c r="AZ1619" s="6"/>
      <c r="BA1619" s="6"/>
      <c r="BB1619" s="6"/>
      <c r="BC1619" s="6"/>
      <c r="BD1619" s="6"/>
      <c r="BE1619" s="6"/>
      <c r="BF1619" s="6"/>
      <c r="BG1619" s="6"/>
      <c r="BH1619" s="6"/>
      <c r="BI1619" s="6"/>
      <c r="BJ1619" s="6"/>
      <c r="BK1619" s="6"/>
      <c r="BL1619" s="6"/>
      <c r="BM1619" s="6"/>
      <c r="BN1619" s="6"/>
      <c r="BO1619" s="6"/>
      <c r="BP1619" s="6"/>
      <c r="BQ1619" s="6"/>
      <c r="BR1619" s="6"/>
      <c r="BS1619" s="6"/>
      <c r="BT1619" s="6"/>
      <c r="BU1619" s="6"/>
      <c r="BV1619" s="6"/>
      <c r="BW1619" s="6"/>
      <c r="BX1619" s="6"/>
      <c r="BY1619" s="6"/>
      <c r="BZ1619" s="6"/>
      <c r="CA1619" s="6"/>
      <c r="CB1619" s="6"/>
      <c r="CC1619" s="6"/>
    </row>
    <row r="1620" spans="2:81" x14ac:dyDescent="0.2">
      <c r="B1620" s="68"/>
      <c r="C1620" s="69"/>
      <c r="D1620" s="70"/>
      <c r="F1620" s="68"/>
      <c r="G1620" s="69"/>
      <c r="H1620" s="70"/>
      <c r="J1620" s="71"/>
      <c r="K1620" s="71"/>
      <c r="L1620" s="67"/>
      <c r="N1620" s="71"/>
      <c r="O1620" s="71"/>
      <c r="P1620" s="67"/>
      <c r="R1620" s="67"/>
      <c r="S1620" s="6"/>
      <c r="T1620" s="6"/>
      <c r="U1620" s="6"/>
      <c r="V1620" s="6"/>
      <c r="W1620" s="6"/>
      <c r="X1620" s="6"/>
      <c r="Y1620" s="6"/>
      <c r="Z1620" s="6"/>
      <c r="AA1620" s="6"/>
      <c r="AB1620" s="6"/>
      <c r="AC1620" s="6"/>
      <c r="AD1620" s="6"/>
      <c r="AE1620" s="6"/>
      <c r="AF1620" s="6"/>
      <c r="AG1620" s="6"/>
      <c r="AH1620" s="6"/>
      <c r="AI1620" s="6"/>
      <c r="AJ1620" s="6"/>
      <c r="AK1620" s="6"/>
      <c r="AL1620" s="6"/>
      <c r="AM1620" s="6"/>
      <c r="AN1620" s="6"/>
      <c r="AO1620" s="6"/>
      <c r="AP1620" s="6"/>
      <c r="AQ1620" s="6"/>
      <c r="AR1620" s="6"/>
      <c r="AS1620" s="6"/>
      <c r="AT1620" s="6"/>
      <c r="AU1620" s="6"/>
      <c r="AV1620" s="6"/>
      <c r="AW1620" s="6"/>
      <c r="AX1620" s="6"/>
      <c r="AY1620" s="6"/>
      <c r="AZ1620" s="6"/>
      <c r="BA1620" s="6"/>
      <c r="BB1620" s="6"/>
      <c r="BC1620" s="6"/>
      <c r="BD1620" s="6"/>
      <c r="BE1620" s="6"/>
      <c r="BF1620" s="6"/>
      <c r="BG1620" s="6"/>
      <c r="BH1620" s="6"/>
      <c r="BI1620" s="6"/>
      <c r="BJ1620" s="6"/>
      <c r="BK1620" s="6"/>
      <c r="BL1620" s="6"/>
      <c r="BM1620" s="6"/>
      <c r="BN1620" s="6"/>
      <c r="BO1620" s="6"/>
      <c r="BP1620" s="6"/>
      <c r="BQ1620" s="6"/>
      <c r="BR1620" s="6"/>
      <c r="BS1620" s="6"/>
      <c r="BT1620" s="6"/>
      <c r="BU1620" s="6"/>
      <c r="BV1620" s="6"/>
      <c r="BW1620" s="6"/>
      <c r="BX1620" s="6"/>
      <c r="BY1620" s="6"/>
      <c r="BZ1620" s="6"/>
      <c r="CA1620" s="6"/>
      <c r="CB1620" s="6"/>
      <c r="CC1620" s="6"/>
    </row>
    <row r="1621" spans="2:81" x14ac:dyDescent="0.2">
      <c r="B1621" s="68"/>
      <c r="C1621" s="69"/>
      <c r="D1621" s="70"/>
      <c r="F1621" s="68"/>
      <c r="G1621" s="69"/>
      <c r="H1621" s="70"/>
      <c r="J1621" s="71"/>
      <c r="K1621" s="71"/>
      <c r="L1621" s="67"/>
      <c r="N1621" s="71"/>
      <c r="O1621" s="71"/>
      <c r="P1621" s="67"/>
      <c r="R1621" s="67"/>
      <c r="S1621" s="6"/>
      <c r="T1621" s="6"/>
      <c r="U1621" s="6"/>
      <c r="V1621" s="6"/>
      <c r="W1621" s="6"/>
      <c r="X1621" s="6"/>
      <c r="Y1621" s="6"/>
      <c r="Z1621" s="6"/>
      <c r="AA1621" s="6"/>
      <c r="AB1621" s="6"/>
      <c r="AC1621" s="6"/>
      <c r="AD1621" s="6"/>
      <c r="AE1621" s="6"/>
      <c r="AF1621" s="6"/>
      <c r="AG1621" s="6"/>
      <c r="AH1621" s="6"/>
      <c r="AI1621" s="6"/>
      <c r="AJ1621" s="6"/>
      <c r="AK1621" s="6"/>
      <c r="AL1621" s="6"/>
      <c r="AM1621" s="6"/>
      <c r="AN1621" s="6"/>
      <c r="AO1621" s="6"/>
      <c r="AP1621" s="6"/>
      <c r="AQ1621" s="6"/>
      <c r="AR1621" s="6"/>
      <c r="AS1621" s="6"/>
      <c r="AT1621" s="6"/>
      <c r="AU1621" s="6"/>
      <c r="AV1621" s="6"/>
      <c r="AW1621" s="6"/>
      <c r="AX1621" s="6"/>
      <c r="AY1621" s="6"/>
      <c r="AZ1621" s="6"/>
      <c r="BA1621" s="6"/>
      <c r="BB1621" s="6"/>
      <c r="BC1621" s="6"/>
      <c r="BD1621" s="6"/>
      <c r="BE1621" s="6"/>
      <c r="BF1621" s="6"/>
      <c r="BG1621" s="6"/>
      <c r="BH1621" s="6"/>
      <c r="BI1621" s="6"/>
      <c r="BJ1621" s="6"/>
      <c r="BK1621" s="6"/>
      <c r="BL1621" s="6"/>
      <c r="BM1621" s="6"/>
      <c r="BN1621" s="6"/>
      <c r="BO1621" s="6"/>
      <c r="BP1621" s="6"/>
      <c r="BQ1621" s="6"/>
      <c r="BR1621" s="6"/>
      <c r="BS1621" s="6"/>
      <c r="BT1621" s="6"/>
      <c r="BU1621" s="6"/>
      <c r="BV1621" s="6"/>
      <c r="BW1621" s="6"/>
      <c r="BX1621" s="6"/>
      <c r="BY1621" s="6"/>
      <c r="BZ1621" s="6"/>
      <c r="CA1621" s="6"/>
      <c r="CB1621" s="6"/>
      <c r="CC1621" s="6"/>
    </row>
    <row r="1622" spans="2:81" x14ac:dyDescent="0.2">
      <c r="B1622" s="68"/>
      <c r="C1622" s="69"/>
      <c r="D1622" s="70"/>
      <c r="F1622" s="68"/>
      <c r="G1622" s="69"/>
      <c r="H1622" s="70"/>
      <c r="J1622" s="71"/>
      <c r="K1622" s="71"/>
      <c r="L1622" s="67"/>
      <c r="N1622" s="71"/>
      <c r="O1622" s="71"/>
      <c r="P1622" s="67"/>
      <c r="R1622" s="67"/>
      <c r="S1622" s="6"/>
      <c r="T1622" s="6"/>
      <c r="U1622" s="6"/>
      <c r="V1622" s="6"/>
      <c r="W1622" s="6"/>
      <c r="X1622" s="6"/>
      <c r="Y1622" s="6"/>
      <c r="Z1622" s="6"/>
      <c r="AA1622" s="6"/>
      <c r="AB1622" s="6"/>
      <c r="AC1622" s="6"/>
      <c r="AD1622" s="6"/>
      <c r="AE1622" s="6"/>
      <c r="AF1622" s="6"/>
      <c r="AG1622" s="6"/>
      <c r="AH1622" s="6"/>
      <c r="AI1622" s="6"/>
      <c r="AJ1622" s="6"/>
      <c r="AK1622" s="6"/>
      <c r="AL1622" s="6"/>
      <c r="AM1622" s="6"/>
      <c r="AN1622" s="6"/>
      <c r="AO1622" s="6"/>
      <c r="AP1622" s="6"/>
      <c r="AQ1622" s="6"/>
      <c r="AR1622" s="6"/>
      <c r="AS1622" s="6"/>
      <c r="AT1622" s="6"/>
      <c r="AU1622" s="6"/>
      <c r="AV1622" s="6"/>
      <c r="AW1622" s="6"/>
      <c r="AX1622" s="6"/>
      <c r="AY1622" s="6"/>
      <c r="AZ1622" s="6"/>
      <c r="BA1622" s="6"/>
      <c r="BB1622" s="6"/>
      <c r="BC1622" s="6"/>
      <c r="BD1622" s="6"/>
      <c r="BE1622" s="6"/>
      <c r="BF1622" s="6"/>
      <c r="BG1622" s="6"/>
      <c r="BH1622" s="6"/>
      <c r="BI1622" s="6"/>
      <c r="BJ1622" s="6"/>
      <c r="BK1622" s="6"/>
      <c r="BL1622" s="6"/>
      <c r="BM1622" s="6"/>
      <c r="BN1622" s="6"/>
      <c r="BO1622" s="6"/>
      <c r="BP1622" s="6"/>
      <c r="BQ1622" s="6"/>
      <c r="BR1622" s="6"/>
      <c r="BS1622" s="6"/>
      <c r="BT1622" s="6"/>
      <c r="BU1622" s="6"/>
      <c r="BV1622" s="6"/>
      <c r="BW1622" s="6"/>
      <c r="BX1622" s="6"/>
      <c r="BY1622" s="6"/>
      <c r="BZ1622" s="6"/>
      <c r="CA1622" s="6"/>
      <c r="CB1622" s="6"/>
      <c r="CC1622" s="6"/>
    </row>
    <row r="1623" spans="2:81" x14ac:dyDescent="0.2">
      <c r="B1623" s="68"/>
      <c r="C1623" s="69"/>
      <c r="D1623" s="70"/>
      <c r="F1623" s="68"/>
      <c r="G1623" s="69"/>
      <c r="H1623" s="70"/>
      <c r="J1623" s="71"/>
      <c r="K1623" s="71"/>
      <c r="L1623" s="67"/>
      <c r="N1623" s="71"/>
      <c r="O1623" s="71"/>
      <c r="P1623" s="67"/>
      <c r="R1623" s="67"/>
      <c r="S1623" s="6"/>
      <c r="T1623" s="6"/>
      <c r="U1623" s="6"/>
      <c r="V1623" s="6"/>
      <c r="W1623" s="6"/>
      <c r="X1623" s="6"/>
      <c r="Y1623" s="6"/>
      <c r="Z1623" s="6"/>
      <c r="AA1623" s="6"/>
      <c r="AB1623" s="6"/>
      <c r="AC1623" s="6"/>
      <c r="AD1623" s="6"/>
      <c r="AE1623" s="6"/>
      <c r="AF1623" s="6"/>
      <c r="AG1623" s="6"/>
      <c r="AH1623" s="6"/>
      <c r="AI1623" s="6"/>
      <c r="AJ1623" s="6"/>
      <c r="AK1623" s="6"/>
      <c r="AL1623" s="6"/>
      <c r="AM1623" s="6"/>
      <c r="AN1623" s="6"/>
      <c r="AO1623" s="6"/>
      <c r="AP1623" s="6"/>
      <c r="AQ1623" s="6"/>
      <c r="AR1623" s="6"/>
      <c r="AS1623" s="6"/>
      <c r="AT1623" s="6"/>
      <c r="AU1623" s="6"/>
      <c r="AV1623" s="6"/>
      <c r="AW1623" s="6"/>
      <c r="AX1623" s="6"/>
      <c r="AY1623" s="6"/>
      <c r="AZ1623" s="6"/>
      <c r="BA1623" s="6"/>
      <c r="BB1623" s="6"/>
      <c r="BC1623" s="6"/>
      <c r="BD1623" s="6"/>
      <c r="BE1623" s="6"/>
      <c r="BF1623" s="6"/>
      <c r="BG1623" s="6"/>
      <c r="BH1623" s="6"/>
      <c r="BI1623" s="6"/>
      <c r="BJ1623" s="6"/>
      <c r="BK1623" s="6"/>
      <c r="BL1623" s="6"/>
      <c r="BM1623" s="6"/>
      <c r="BN1623" s="6"/>
      <c r="BO1623" s="6"/>
      <c r="BP1623" s="6"/>
      <c r="BQ1623" s="6"/>
      <c r="BR1623" s="6"/>
      <c r="BS1623" s="6"/>
      <c r="BT1623" s="6"/>
      <c r="BU1623" s="6"/>
      <c r="BV1623" s="6"/>
      <c r="BW1623" s="6"/>
      <c r="BX1623" s="6"/>
      <c r="BY1623" s="6"/>
      <c r="BZ1623" s="6"/>
      <c r="CA1623" s="6"/>
      <c r="CB1623" s="6"/>
      <c r="CC1623" s="6"/>
    </row>
    <row r="1624" spans="2:81" x14ac:dyDescent="0.2">
      <c r="B1624" s="68"/>
      <c r="C1624" s="69"/>
      <c r="D1624" s="70"/>
      <c r="F1624" s="68"/>
      <c r="G1624" s="69"/>
      <c r="H1624" s="70"/>
      <c r="J1624" s="71"/>
      <c r="K1624" s="71"/>
      <c r="L1624" s="67"/>
      <c r="N1624" s="71"/>
      <c r="O1624" s="71"/>
      <c r="P1624" s="67"/>
      <c r="R1624" s="67"/>
      <c r="S1624" s="6"/>
      <c r="T1624" s="6"/>
      <c r="U1624" s="6"/>
      <c r="V1624" s="6"/>
      <c r="W1624" s="6"/>
      <c r="X1624" s="6"/>
      <c r="Y1624" s="6"/>
      <c r="Z1624" s="6"/>
      <c r="AA1624" s="6"/>
      <c r="AB1624" s="6"/>
      <c r="AC1624" s="6"/>
      <c r="AD1624" s="6"/>
      <c r="AE1624" s="6"/>
      <c r="AF1624" s="6"/>
      <c r="AG1624" s="6"/>
      <c r="AH1624" s="6"/>
      <c r="AI1624" s="6"/>
      <c r="AJ1624" s="6"/>
      <c r="AK1624" s="6"/>
      <c r="AL1624" s="6"/>
      <c r="AM1624" s="6"/>
      <c r="AN1624" s="6"/>
      <c r="AO1624" s="6"/>
      <c r="AP1624" s="6"/>
      <c r="AQ1624" s="6"/>
      <c r="AR1624" s="6"/>
      <c r="AS1624" s="6"/>
      <c r="AT1624" s="6"/>
      <c r="AU1624" s="6"/>
      <c r="AV1624" s="6"/>
      <c r="AW1624" s="6"/>
      <c r="AX1624" s="6"/>
      <c r="AY1624" s="6"/>
      <c r="AZ1624" s="6"/>
      <c r="BA1624" s="6"/>
      <c r="BB1624" s="6"/>
      <c r="BC1624" s="6"/>
      <c r="BD1624" s="6"/>
      <c r="BE1624" s="6"/>
      <c r="BF1624" s="6"/>
      <c r="BG1624" s="6"/>
      <c r="BH1624" s="6"/>
      <c r="BI1624" s="6"/>
      <c r="BJ1624" s="6"/>
      <c r="BK1624" s="6"/>
      <c r="BL1624" s="6"/>
      <c r="BM1624" s="6"/>
      <c r="BN1624" s="6"/>
      <c r="BO1624" s="6"/>
      <c r="BP1624" s="6"/>
      <c r="BQ1624" s="6"/>
      <c r="BR1624" s="6"/>
      <c r="BS1624" s="6"/>
      <c r="BT1624" s="6"/>
      <c r="BU1624" s="6"/>
      <c r="BV1624" s="6"/>
      <c r="BW1624" s="6"/>
      <c r="BX1624" s="6"/>
      <c r="BY1624" s="6"/>
      <c r="BZ1624" s="6"/>
      <c r="CA1624" s="6"/>
      <c r="CB1624" s="6"/>
      <c r="CC1624" s="6"/>
    </row>
    <row r="1625" spans="2:81" x14ac:dyDescent="0.2">
      <c r="B1625" s="68"/>
      <c r="C1625" s="69"/>
      <c r="D1625" s="70"/>
      <c r="F1625" s="68"/>
      <c r="G1625" s="69"/>
      <c r="H1625" s="70"/>
      <c r="J1625" s="71"/>
      <c r="K1625" s="71"/>
      <c r="L1625" s="67"/>
      <c r="N1625" s="71"/>
      <c r="O1625" s="71"/>
      <c r="P1625" s="67"/>
      <c r="R1625" s="67"/>
      <c r="S1625" s="6"/>
      <c r="T1625" s="6"/>
      <c r="U1625" s="6"/>
      <c r="V1625" s="6"/>
      <c r="W1625" s="6"/>
      <c r="X1625" s="6"/>
      <c r="Y1625" s="6"/>
      <c r="Z1625" s="6"/>
      <c r="AA1625" s="6"/>
      <c r="AB1625" s="6"/>
      <c r="AC1625" s="6"/>
      <c r="AD1625" s="6"/>
      <c r="AE1625" s="6"/>
      <c r="AF1625" s="6"/>
      <c r="AG1625" s="6"/>
      <c r="AH1625" s="6"/>
      <c r="AI1625" s="6"/>
      <c r="AJ1625" s="6"/>
      <c r="AK1625" s="6"/>
      <c r="AL1625" s="6"/>
      <c r="AM1625" s="6"/>
      <c r="AN1625" s="6"/>
      <c r="AO1625" s="6"/>
      <c r="AP1625" s="6"/>
      <c r="AQ1625" s="6"/>
      <c r="AR1625" s="6"/>
      <c r="AS1625" s="6"/>
      <c r="AT1625" s="6"/>
      <c r="AU1625" s="6"/>
      <c r="AV1625" s="6"/>
      <c r="AW1625" s="6"/>
      <c r="AX1625" s="6"/>
      <c r="AY1625" s="6"/>
      <c r="AZ1625" s="6"/>
      <c r="BA1625" s="6"/>
      <c r="BB1625" s="6"/>
      <c r="BC1625" s="6"/>
      <c r="BD1625" s="6"/>
      <c r="BE1625" s="6"/>
      <c r="BF1625" s="6"/>
      <c r="BG1625" s="6"/>
      <c r="BH1625" s="6"/>
      <c r="BI1625" s="6"/>
      <c r="BJ1625" s="6"/>
      <c r="BK1625" s="6"/>
      <c r="BL1625" s="6"/>
      <c r="BM1625" s="6"/>
      <c r="BN1625" s="6"/>
      <c r="BO1625" s="6"/>
      <c r="BP1625" s="6"/>
      <c r="BQ1625" s="6"/>
      <c r="BR1625" s="6"/>
      <c r="BS1625" s="6"/>
      <c r="BT1625" s="6"/>
      <c r="BU1625" s="6"/>
      <c r="BV1625" s="6"/>
      <c r="BW1625" s="6"/>
      <c r="BX1625" s="6"/>
      <c r="BY1625" s="6"/>
      <c r="BZ1625" s="6"/>
      <c r="CA1625" s="6"/>
      <c r="CB1625" s="6"/>
      <c r="CC1625" s="6"/>
    </row>
    <row r="1626" spans="2:81" x14ac:dyDescent="0.2">
      <c r="B1626" s="68"/>
      <c r="C1626" s="69"/>
      <c r="D1626" s="70"/>
      <c r="F1626" s="68"/>
      <c r="G1626" s="69"/>
      <c r="H1626" s="70"/>
      <c r="J1626" s="71"/>
      <c r="K1626" s="71"/>
      <c r="L1626" s="67"/>
      <c r="N1626" s="71"/>
      <c r="O1626" s="71"/>
      <c r="P1626" s="67"/>
      <c r="R1626" s="67"/>
      <c r="S1626" s="6"/>
      <c r="T1626" s="6"/>
      <c r="U1626" s="6"/>
      <c r="V1626" s="6"/>
      <c r="W1626" s="6"/>
      <c r="X1626" s="6"/>
      <c r="Y1626" s="6"/>
      <c r="Z1626" s="6"/>
      <c r="AA1626" s="6"/>
      <c r="AB1626" s="6"/>
      <c r="AC1626" s="6"/>
      <c r="AD1626" s="6"/>
      <c r="AE1626" s="6"/>
      <c r="AF1626" s="6"/>
      <c r="AG1626" s="6"/>
      <c r="AH1626" s="6"/>
      <c r="AI1626" s="6"/>
      <c r="AJ1626" s="6"/>
      <c r="AK1626" s="6"/>
      <c r="AL1626" s="6"/>
      <c r="AM1626" s="6"/>
      <c r="AN1626" s="6"/>
      <c r="AO1626" s="6"/>
      <c r="AP1626" s="6"/>
      <c r="AQ1626" s="6"/>
      <c r="AR1626" s="6"/>
      <c r="AS1626" s="6"/>
      <c r="AT1626" s="6"/>
      <c r="AU1626" s="6"/>
      <c r="AV1626" s="6"/>
      <c r="AW1626" s="6"/>
      <c r="AX1626" s="6"/>
      <c r="AY1626" s="6"/>
      <c r="AZ1626" s="6"/>
      <c r="BA1626" s="6"/>
      <c r="BB1626" s="6"/>
      <c r="BC1626" s="6"/>
      <c r="BD1626" s="6"/>
      <c r="BE1626" s="6"/>
      <c r="BF1626" s="6"/>
      <c r="BG1626" s="6"/>
      <c r="BH1626" s="6"/>
      <c r="BI1626" s="6"/>
      <c r="BJ1626" s="6"/>
      <c r="BK1626" s="6"/>
      <c r="BL1626" s="6"/>
      <c r="BM1626" s="6"/>
      <c r="BN1626" s="6"/>
      <c r="BO1626" s="6"/>
      <c r="BP1626" s="6"/>
      <c r="BQ1626" s="6"/>
      <c r="BR1626" s="6"/>
      <c r="BS1626" s="6"/>
      <c r="BT1626" s="6"/>
      <c r="BU1626" s="6"/>
      <c r="BV1626" s="6"/>
      <c r="BW1626" s="6"/>
      <c r="BX1626" s="6"/>
      <c r="BY1626" s="6"/>
      <c r="BZ1626" s="6"/>
      <c r="CA1626" s="6"/>
      <c r="CB1626" s="6"/>
      <c r="CC1626" s="6"/>
    </row>
    <row r="1627" spans="2:81" x14ac:dyDescent="0.2">
      <c r="B1627" s="68"/>
      <c r="C1627" s="69"/>
      <c r="D1627" s="70"/>
      <c r="F1627" s="68"/>
      <c r="G1627" s="69"/>
      <c r="H1627" s="70"/>
      <c r="J1627" s="71"/>
      <c r="K1627" s="71"/>
      <c r="L1627" s="67"/>
      <c r="N1627" s="71"/>
      <c r="O1627" s="71"/>
      <c r="P1627" s="67"/>
      <c r="R1627" s="67"/>
      <c r="S1627" s="6"/>
      <c r="T1627" s="6"/>
      <c r="U1627" s="6"/>
      <c r="V1627" s="6"/>
      <c r="W1627" s="6"/>
      <c r="X1627" s="6"/>
      <c r="Y1627" s="6"/>
      <c r="Z1627" s="6"/>
      <c r="AA1627" s="6"/>
      <c r="AB1627" s="6"/>
      <c r="AC1627" s="6"/>
      <c r="AD1627" s="6"/>
      <c r="AE1627" s="6"/>
      <c r="AF1627" s="6"/>
      <c r="AG1627" s="6"/>
      <c r="AH1627" s="6"/>
      <c r="AI1627" s="6"/>
      <c r="AJ1627" s="6"/>
      <c r="AK1627" s="6"/>
      <c r="AL1627" s="6"/>
      <c r="AM1627" s="6"/>
      <c r="AN1627" s="6"/>
      <c r="AO1627" s="6"/>
      <c r="AP1627" s="6"/>
      <c r="AQ1627" s="6"/>
      <c r="AR1627" s="6"/>
      <c r="AS1627" s="6"/>
      <c r="AT1627" s="6"/>
      <c r="AU1627" s="6"/>
      <c r="AV1627" s="6"/>
      <c r="AW1627" s="6"/>
      <c r="AX1627" s="6"/>
      <c r="AY1627" s="6"/>
      <c r="AZ1627" s="6"/>
      <c r="BA1627" s="6"/>
      <c r="BB1627" s="6"/>
      <c r="BC1627" s="6"/>
      <c r="BD1627" s="6"/>
      <c r="BE1627" s="6"/>
      <c r="BF1627" s="6"/>
      <c r="BG1627" s="6"/>
      <c r="BH1627" s="6"/>
      <c r="BI1627" s="6"/>
      <c r="BJ1627" s="6"/>
      <c r="BK1627" s="6"/>
      <c r="BL1627" s="6"/>
      <c r="BM1627" s="6"/>
      <c r="BN1627" s="6"/>
      <c r="BO1627" s="6"/>
      <c r="BP1627" s="6"/>
      <c r="BQ1627" s="6"/>
      <c r="BR1627" s="6"/>
      <c r="BS1627" s="6"/>
      <c r="BT1627" s="6"/>
      <c r="BU1627" s="6"/>
      <c r="BV1627" s="6"/>
      <c r="BW1627" s="6"/>
      <c r="BX1627" s="6"/>
      <c r="BY1627" s="6"/>
      <c r="BZ1627" s="6"/>
      <c r="CA1627" s="6"/>
      <c r="CB1627" s="6"/>
      <c r="CC1627" s="6"/>
    </row>
    <row r="1628" spans="2:81" x14ac:dyDescent="0.2">
      <c r="B1628" s="68"/>
      <c r="C1628" s="69"/>
      <c r="D1628" s="70"/>
      <c r="F1628" s="68"/>
      <c r="G1628" s="69"/>
      <c r="H1628" s="70"/>
      <c r="J1628" s="71"/>
      <c r="K1628" s="71"/>
      <c r="L1628" s="67"/>
      <c r="N1628" s="71"/>
      <c r="O1628" s="71"/>
      <c r="P1628" s="67"/>
      <c r="R1628" s="67"/>
      <c r="S1628" s="6"/>
      <c r="T1628" s="6"/>
      <c r="U1628" s="6"/>
      <c r="V1628" s="6"/>
      <c r="W1628" s="6"/>
      <c r="X1628" s="6"/>
      <c r="Y1628" s="6"/>
      <c r="Z1628" s="6"/>
      <c r="AA1628" s="6"/>
      <c r="AB1628" s="6"/>
      <c r="AC1628" s="6"/>
      <c r="AD1628" s="6"/>
      <c r="AE1628" s="6"/>
      <c r="AF1628" s="6"/>
      <c r="AG1628" s="6"/>
      <c r="AH1628" s="6"/>
      <c r="AI1628" s="6"/>
      <c r="AJ1628" s="6"/>
      <c r="AK1628" s="6"/>
      <c r="AL1628" s="6"/>
      <c r="AM1628" s="6"/>
      <c r="AN1628" s="6"/>
      <c r="AO1628" s="6"/>
      <c r="AP1628" s="6"/>
      <c r="AQ1628" s="6"/>
      <c r="AR1628" s="6"/>
      <c r="AS1628" s="6"/>
      <c r="AT1628" s="6"/>
      <c r="AU1628" s="6"/>
      <c r="AV1628" s="6"/>
      <c r="AW1628" s="6"/>
      <c r="AX1628" s="6"/>
      <c r="AY1628" s="6"/>
      <c r="AZ1628" s="6"/>
      <c r="BA1628" s="6"/>
      <c r="BB1628" s="6"/>
      <c r="BC1628" s="6"/>
      <c r="BD1628" s="6"/>
      <c r="BE1628" s="6"/>
      <c r="BF1628" s="6"/>
      <c r="BG1628" s="6"/>
      <c r="BH1628" s="6"/>
      <c r="BI1628" s="6"/>
      <c r="BJ1628" s="6"/>
      <c r="BK1628" s="6"/>
      <c r="BL1628" s="6"/>
      <c r="BM1628" s="6"/>
      <c r="BN1628" s="6"/>
      <c r="BO1628" s="6"/>
      <c r="BP1628" s="6"/>
      <c r="BQ1628" s="6"/>
      <c r="BR1628" s="6"/>
      <c r="BS1628" s="6"/>
      <c r="BT1628" s="6"/>
      <c r="BU1628" s="6"/>
      <c r="BV1628" s="6"/>
      <c r="BW1628" s="6"/>
      <c r="BX1628" s="6"/>
      <c r="BY1628" s="6"/>
      <c r="BZ1628" s="6"/>
      <c r="CA1628" s="6"/>
      <c r="CB1628" s="6"/>
      <c r="CC1628" s="6"/>
    </row>
    <row r="1629" spans="2:81" x14ac:dyDescent="0.2">
      <c r="B1629" s="68"/>
      <c r="C1629" s="69"/>
      <c r="D1629" s="70"/>
      <c r="F1629" s="68"/>
      <c r="G1629" s="69"/>
      <c r="H1629" s="70"/>
      <c r="J1629" s="71"/>
      <c r="K1629" s="71"/>
      <c r="L1629" s="67"/>
      <c r="N1629" s="71"/>
      <c r="O1629" s="71"/>
      <c r="P1629" s="67"/>
      <c r="R1629" s="67"/>
      <c r="S1629" s="6"/>
      <c r="T1629" s="6"/>
      <c r="U1629" s="6"/>
      <c r="V1629" s="6"/>
      <c r="W1629" s="6"/>
      <c r="X1629" s="6"/>
      <c r="Y1629" s="6"/>
      <c r="Z1629" s="6"/>
      <c r="AA1629" s="6"/>
      <c r="AB1629" s="6"/>
      <c r="AC1629" s="6"/>
      <c r="AD1629" s="6"/>
      <c r="AE1629" s="6"/>
      <c r="AF1629" s="6"/>
      <c r="AG1629" s="6"/>
      <c r="AH1629" s="6"/>
      <c r="AI1629" s="6"/>
      <c r="AJ1629" s="6"/>
      <c r="AK1629" s="6"/>
      <c r="AL1629" s="6"/>
      <c r="AM1629" s="6"/>
      <c r="AN1629" s="6"/>
      <c r="AO1629" s="6"/>
      <c r="AP1629" s="6"/>
      <c r="AQ1629" s="6"/>
      <c r="AR1629" s="6"/>
      <c r="AS1629" s="6"/>
      <c r="AT1629" s="6"/>
      <c r="AU1629" s="6"/>
      <c r="AV1629" s="6"/>
      <c r="AW1629" s="6"/>
      <c r="AX1629" s="6"/>
      <c r="AY1629" s="6"/>
      <c r="AZ1629" s="6"/>
      <c r="BA1629" s="6"/>
      <c r="BB1629" s="6"/>
      <c r="BC1629" s="6"/>
      <c r="BD1629" s="6"/>
      <c r="BE1629" s="6"/>
      <c r="BF1629" s="6"/>
      <c r="BG1629" s="6"/>
      <c r="BH1629" s="6"/>
      <c r="BI1629" s="6"/>
      <c r="BJ1629" s="6"/>
      <c r="BK1629" s="6"/>
      <c r="BL1629" s="6"/>
      <c r="BM1629" s="6"/>
      <c r="BN1629" s="6"/>
      <c r="BO1629" s="6"/>
      <c r="BP1629" s="6"/>
      <c r="BQ1629" s="6"/>
      <c r="BR1629" s="6"/>
      <c r="BS1629" s="6"/>
      <c r="BT1629" s="6"/>
      <c r="BU1629" s="6"/>
      <c r="BV1629" s="6"/>
      <c r="BW1629" s="6"/>
      <c r="BX1629" s="6"/>
      <c r="BY1629" s="6"/>
      <c r="BZ1629" s="6"/>
      <c r="CA1629" s="6"/>
      <c r="CB1629" s="6"/>
      <c r="CC1629" s="6"/>
    </row>
    <row r="1630" spans="2:81" x14ac:dyDescent="0.2">
      <c r="B1630" s="68"/>
      <c r="C1630" s="69"/>
      <c r="D1630" s="70"/>
      <c r="F1630" s="68"/>
      <c r="G1630" s="69"/>
      <c r="H1630" s="70"/>
      <c r="J1630" s="71"/>
      <c r="K1630" s="71"/>
      <c r="L1630" s="67"/>
      <c r="N1630" s="71"/>
      <c r="O1630" s="71"/>
      <c r="P1630" s="67"/>
      <c r="R1630" s="67"/>
      <c r="S1630" s="6"/>
      <c r="T1630" s="6"/>
      <c r="U1630" s="6"/>
      <c r="V1630" s="6"/>
      <c r="W1630" s="6"/>
      <c r="X1630" s="6"/>
      <c r="Y1630" s="6"/>
      <c r="Z1630" s="6"/>
      <c r="AA1630" s="6"/>
      <c r="AB1630" s="6"/>
      <c r="AC1630" s="6"/>
      <c r="AD1630" s="6"/>
      <c r="AE1630" s="6"/>
      <c r="AF1630" s="6"/>
      <c r="AG1630" s="6"/>
      <c r="AH1630" s="6"/>
      <c r="AI1630" s="6"/>
      <c r="AJ1630" s="6"/>
      <c r="AK1630" s="6"/>
      <c r="AL1630" s="6"/>
      <c r="AM1630" s="6"/>
      <c r="AN1630" s="6"/>
      <c r="AO1630" s="6"/>
      <c r="AP1630" s="6"/>
      <c r="AQ1630" s="6"/>
      <c r="AR1630" s="6"/>
      <c r="AS1630" s="6"/>
      <c r="AT1630" s="6"/>
      <c r="AU1630" s="6"/>
      <c r="AV1630" s="6"/>
      <c r="AW1630" s="6"/>
      <c r="AX1630" s="6"/>
      <c r="AY1630" s="6"/>
      <c r="AZ1630" s="6"/>
      <c r="BA1630" s="6"/>
      <c r="BB1630" s="6"/>
      <c r="BC1630" s="6"/>
      <c r="BD1630" s="6"/>
      <c r="BE1630" s="6"/>
      <c r="BF1630" s="6"/>
      <c r="BG1630" s="6"/>
      <c r="BH1630" s="6"/>
      <c r="BI1630" s="6"/>
      <c r="BJ1630" s="6"/>
      <c r="BK1630" s="6"/>
      <c r="BL1630" s="6"/>
      <c r="BM1630" s="6"/>
      <c r="BN1630" s="6"/>
      <c r="BO1630" s="6"/>
      <c r="BP1630" s="6"/>
      <c r="BQ1630" s="6"/>
      <c r="BR1630" s="6"/>
      <c r="BS1630" s="6"/>
      <c r="BT1630" s="6"/>
      <c r="BU1630" s="6"/>
      <c r="BV1630" s="6"/>
      <c r="BW1630" s="6"/>
      <c r="BX1630" s="6"/>
      <c r="BY1630" s="6"/>
      <c r="BZ1630" s="6"/>
      <c r="CA1630" s="6"/>
      <c r="CB1630" s="6"/>
      <c r="CC1630" s="6"/>
    </row>
    <row r="1631" spans="2:81" x14ac:dyDescent="0.2">
      <c r="B1631" s="68"/>
      <c r="C1631" s="69"/>
      <c r="D1631" s="70"/>
      <c r="F1631" s="68"/>
      <c r="G1631" s="69"/>
      <c r="H1631" s="70"/>
      <c r="J1631" s="71"/>
      <c r="K1631" s="71"/>
      <c r="L1631" s="67"/>
      <c r="N1631" s="71"/>
      <c r="O1631" s="71"/>
      <c r="P1631" s="67"/>
      <c r="R1631" s="67"/>
      <c r="S1631" s="6"/>
      <c r="T1631" s="6"/>
      <c r="U1631" s="6"/>
      <c r="V1631" s="6"/>
      <c r="W1631" s="6"/>
      <c r="X1631" s="6"/>
      <c r="Y1631" s="6"/>
      <c r="Z1631" s="6"/>
      <c r="AA1631" s="6"/>
      <c r="AB1631" s="6"/>
      <c r="AC1631" s="6"/>
      <c r="AD1631" s="6"/>
      <c r="AE1631" s="6"/>
      <c r="AF1631" s="6"/>
      <c r="AG1631" s="6"/>
      <c r="AH1631" s="6"/>
      <c r="AI1631" s="6"/>
      <c r="AJ1631" s="6"/>
      <c r="AK1631" s="6"/>
      <c r="AL1631" s="6"/>
      <c r="AM1631" s="6"/>
      <c r="AN1631" s="6"/>
      <c r="AO1631" s="6"/>
      <c r="AP1631" s="6"/>
      <c r="AQ1631" s="6"/>
      <c r="AR1631" s="6"/>
      <c r="AS1631" s="6"/>
      <c r="AT1631" s="6"/>
      <c r="AU1631" s="6"/>
      <c r="AV1631" s="6"/>
      <c r="AW1631" s="6"/>
      <c r="AX1631" s="6"/>
      <c r="AY1631" s="6"/>
      <c r="AZ1631" s="6"/>
      <c r="BA1631" s="6"/>
      <c r="BB1631" s="6"/>
      <c r="BC1631" s="6"/>
      <c r="BD1631" s="6"/>
      <c r="BE1631" s="6"/>
      <c r="BF1631" s="6"/>
      <c r="BG1631" s="6"/>
      <c r="BH1631" s="6"/>
      <c r="BI1631" s="6"/>
      <c r="BJ1631" s="6"/>
      <c r="BK1631" s="6"/>
      <c r="BL1631" s="6"/>
      <c r="BM1631" s="6"/>
      <c r="BN1631" s="6"/>
      <c r="BO1631" s="6"/>
      <c r="BP1631" s="6"/>
      <c r="BQ1631" s="6"/>
      <c r="BR1631" s="6"/>
      <c r="BS1631" s="6"/>
      <c r="BT1631" s="6"/>
      <c r="BU1631" s="6"/>
      <c r="BV1631" s="6"/>
      <c r="BW1631" s="6"/>
      <c r="BX1631" s="6"/>
      <c r="BY1631" s="6"/>
      <c r="BZ1631" s="6"/>
      <c r="CA1631" s="6"/>
      <c r="CB1631" s="6"/>
      <c r="CC1631" s="6"/>
    </row>
    <row r="1632" spans="2:81" x14ac:dyDescent="0.2">
      <c r="B1632" s="68"/>
      <c r="C1632" s="69"/>
      <c r="D1632" s="70"/>
      <c r="F1632" s="68"/>
      <c r="G1632" s="69"/>
      <c r="H1632" s="70"/>
      <c r="J1632" s="71"/>
      <c r="K1632" s="71"/>
      <c r="L1632" s="67"/>
      <c r="N1632" s="71"/>
      <c r="O1632" s="71"/>
      <c r="P1632" s="67"/>
      <c r="R1632" s="67"/>
      <c r="S1632" s="6"/>
      <c r="T1632" s="6"/>
      <c r="U1632" s="6"/>
      <c r="V1632" s="6"/>
      <c r="W1632" s="6"/>
      <c r="X1632" s="6"/>
      <c r="Y1632" s="6"/>
      <c r="Z1632" s="6"/>
      <c r="AA1632" s="6"/>
      <c r="AB1632" s="6"/>
      <c r="AC1632" s="6"/>
      <c r="AD1632" s="6"/>
      <c r="AE1632" s="6"/>
      <c r="AF1632" s="6"/>
      <c r="AG1632" s="6"/>
      <c r="AH1632" s="6"/>
      <c r="AI1632" s="6"/>
      <c r="AJ1632" s="6"/>
      <c r="AK1632" s="6"/>
      <c r="AL1632" s="6"/>
      <c r="AM1632" s="6"/>
      <c r="AN1632" s="6"/>
      <c r="AO1632" s="6"/>
      <c r="AP1632" s="6"/>
      <c r="AQ1632" s="6"/>
      <c r="AR1632" s="6"/>
      <c r="AS1632" s="6"/>
      <c r="AT1632" s="6"/>
      <c r="AU1632" s="6"/>
      <c r="AV1632" s="6"/>
      <c r="AW1632" s="6"/>
      <c r="AX1632" s="6"/>
      <c r="AY1632" s="6"/>
      <c r="AZ1632" s="6"/>
      <c r="BA1632" s="6"/>
      <c r="BB1632" s="6"/>
      <c r="BC1632" s="6"/>
      <c r="BD1632" s="6"/>
      <c r="BE1632" s="6"/>
      <c r="BF1632" s="6"/>
      <c r="BG1632" s="6"/>
      <c r="BH1632" s="6"/>
      <c r="BI1632" s="6"/>
      <c r="BJ1632" s="6"/>
      <c r="BK1632" s="6"/>
      <c r="BL1632" s="6"/>
      <c r="BM1632" s="6"/>
      <c r="BN1632" s="6"/>
      <c r="BO1632" s="6"/>
      <c r="BP1632" s="6"/>
      <c r="BQ1632" s="6"/>
      <c r="BR1632" s="6"/>
      <c r="BS1632" s="6"/>
      <c r="BT1632" s="6"/>
      <c r="BU1632" s="6"/>
      <c r="BV1632" s="6"/>
      <c r="BW1632" s="6"/>
      <c r="BX1632" s="6"/>
      <c r="BY1632" s="6"/>
      <c r="BZ1632" s="6"/>
      <c r="CA1632" s="6"/>
      <c r="CB1632" s="6"/>
      <c r="CC1632" s="6"/>
    </row>
    <row r="1633" spans="2:81" x14ac:dyDescent="0.2">
      <c r="B1633" s="68"/>
      <c r="C1633" s="69"/>
      <c r="D1633" s="70"/>
      <c r="F1633" s="68"/>
      <c r="G1633" s="69"/>
      <c r="H1633" s="70"/>
      <c r="J1633" s="71"/>
      <c r="K1633" s="71"/>
      <c r="L1633" s="67"/>
      <c r="N1633" s="71"/>
      <c r="O1633" s="71"/>
      <c r="P1633" s="67"/>
      <c r="R1633" s="67"/>
      <c r="S1633" s="6"/>
      <c r="T1633" s="6"/>
      <c r="U1633" s="6"/>
      <c r="V1633" s="6"/>
      <c r="W1633" s="6"/>
      <c r="X1633" s="6"/>
      <c r="Y1633" s="6"/>
      <c r="Z1633" s="6"/>
      <c r="AA1633" s="6"/>
      <c r="AB1633" s="6"/>
      <c r="AC1633" s="6"/>
      <c r="AD1633" s="6"/>
      <c r="AE1633" s="6"/>
      <c r="AF1633" s="6"/>
      <c r="AG1633" s="6"/>
      <c r="AH1633" s="6"/>
      <c r="AI1633" s="6"/>
      <c r="AJ1633" s="6"/>
      <c r="AK1633" s="6"/>
      <c r="AL1633" s="6"/>
      <c r="AM1633" s="6"/>
      <c r="AN1633" s="6"/>
      <c r="AO1633" s="6"/>
      <c r="AP1633" s="6"/>
      <c r="AQ1633" s="6"/>
      <c r="AR1633" s="6"/>
      <c r="AS1633" s="6"/>
      <c r="AT1633" s="6"/>
      <c r="AU1633" s="6"/>
      <c r="AV1633" s="6"/>
      <c r="AW1633" s="6"/>
      <c r="AX1633" s="6"/>
      <c r="AY1633" s="6"/>
      <c r="AZ1633" s="6"/>
      <c r="BA1633" s="6"/>
      <c r="BB1633" s="6"/>
      <c r="BC1633" s="6"/>
      <c r="BD1633" s="6"/>
      <c r="BE1633" s="6"/>
      <c r="BF1633" s="6"/>
      <c r="BG1633" s="6"/>
      <c r="BH1633" s="6"/>
      <c r="BI1633" s="6"/>
      <c r="BJ1633" s="6"/>
      <c r="BK1633" s="6"/>
      <c r="BL1633" s="6"/>
      <c r="BM1633" s="6"/>
      <c r="BN1633" s="6"/>
      <c r="BO1633" s="6"/>
      <c r="BP1633" s="6"/>
      <c r="BQ1633" s="6"/>
      <c r="BR1633" s="6"/>
      <c r="BS1633" s="6"/>
      <c r="BT1633" s="6"/>
      <c r="BU1633" s="6"/>
      <c r="BV1633" s="6"/>
      <c r="BW1633" s="6"/>
      <c r="BX1633" s="6"/>
      <c r="BY1633" s="6"/>
      <c r="BZ1633" s="6"/>
      <c r="CA1633" s="6"/>
      <c r="CB1633" s="6"/>
      <c r="CC1633" s="6"/>
    </row>
    <row r="1634" spans="2:81" x14ac:dyDescent="0.2">
      <c r="B1634" s="68"/>
      <c r="C1634" s="69"/>
      <c r="D1634" s="70"/>
      <c r="F1634" s="68"/>
      <c r="G1634" s="69"/>
      <c r="H1634" s="70"/>
      <c r="J1634" s="71"/>
      <c r="K1634" s="71"/>
      <c r="L1634" s="67"/>
      <c r="N1634" s="71"/>
      <c r="O1634" s="71"/>
      <c r="P1634" s="67"/>
      <c r="R1634" s="67"/>
      <c r="S1634" s="6"/>
      <c r="T1634" s="6"/>
      <c r="U1634" s="6"/>
      <c r="V1634" s="6"/>
      <c r="W1634" s="6"/>
      <c r="X1634" s="6"/>
      <c r="Y1634" s="6"/>
      <c r="Z1634" s="6"/>
      <c r="AA1634" s="6"/>
      <c r="AB1634" s="6"/>
      <c r="AC1634" s="6"/>
      <c r="AD1634" s="6"/>
      <c r="AE1634" s="6"/>
      <c r="AF1634" s="6"/>
      <c r="AG1634" s="6"/>
      <c r="AH1634" s="6"/>
      <c r="AI1634" s="6"/>
      <c r="AJ1634" s="6"/>
      <c r="AK1634" s="6"/>
      <c r="AL1634" s="6"/>
      <c r="AM1634" s="6"/>
      <c r="AN1634" s="6"/>
      <c r="AO1634" s="6"/>
      <c r="AP1634" s="6"/>
      <c r="AQ1634" s="6"/>
      <c r="AR1634" s="6"/>
      <c r="AS1634" s="6"/>
      <c r="AT1634" s="6"/>
      <c r="AU1634" s="6"/>
      <c r="AV1634" s="6"/>
      <c r="AW1634" s="6"/>
      <c r="AX1634" s="6"/>
      <c r="AY1634" s="6"/>
      <c r="AZ1634" s="6"/>
      <c r="BA1634" s="6"/>
      <c r="BB1634" s="6"/>
      <c r="BC1634" s="6"/>
      <c r="BD1634" s="6"/>
      <c r="BE1634" s="6"/>
      <c r="BF1634" s="6"/>
      <c r="BG1634" s="6"/>
      <c r="BH1634" s="6"/>
      <c r="BI1634" s="6"/>
      <c r="BJ1634" s="6"/>
      <c r="BK1634" s="6"/>
      <c r="BL1634" s="6"/>
      <c r="BM1634" s="6"/>
      <c r="BN1634" s="6"/>
      <c r="BO1634" s="6"/>
      <c r="BP1634" s="6"/>
      <c r="BQ1634" s="6"/>
      <c r="BR1634" s="6"/>
      <c r="BS1634" s="6"/>
      <c r="BT1634" s="6"/>
      <c r="BU1634" s="6"/>
      <c r="BV1634" s="6"/>
      <c r="BW1634" s="6"/>
      <c r="BX1634" s="6"/>
      <c r="BY1634" s="6"/>
      <c r="BZ1634" s="6"/>
      <c r="CA1634" s="6"/>
      <c r="CB1634" s="6"/>
      <c r="CC1634" s="6"/>
    </row>
    <row r="1635" spans="2:81" x14ac:dyDescent="0.2">
      <c r="B1635" s="68"/>
      <c r="C1635" s="69"/>
      <c r="D1635" s="70"/>
      <c r="F1635" s="68"/>
      <c r="G1635" s="69"/>
      <c r="H1635" s="70"/>
      <c r="J1635" s="71"/>
      <c r="K1635" s="71"/>
      <c r="L1635" s="67"/>
      <c r="N1635" s="71"/>
      <c r="O1635" s="71"/>
      <c r="P1635" s="67"/>
      <c r="R1635" s="67"/>
      <c r="S1635" s="6"/>
      <c r="T1635" s="6"/>
      <c r="U1635" s="6"/>
      <c r="V1635" s="6"/>
      <c r="W1635" s="6"/>
      <c r="X1635" s="6"/>
      <c r="Y1635" s="6"/>
      <c r="Z1635" s="6"/>
      <c r="AA1635" s="6"/>
      <c r="AB1635" s="6"/>
      <c r="AC1635" s="6"/>
      <c r="AD1635" s="6"/>
      <c r="AE1635" s="6"/>
      <c r="AF1635" s="6"/>
      <c r="AG1635" s="6"/>
      <c r="AH1635" s="6"/>
      <c r="AI1635" s="6"/>
      <c r="AJ1635" s="6"/>
      <c r="AK1635" s="6"/>
      <c r="AL1635" s="6"/>
      <c r="AM1635" s="6"/>
      <c r="AN1635" s="6"/>
      <c r="AO1635" s="6"/>
      <c r="AP1635" s="6"/>
      <c r="AQ1635" s="6"/>
      <c r="AR1635" s="6"/>
      <c r="AS1635" s="6"/>
      <c r="AT1635" s="6"/>
      <c r="AU1635" s="6"/>
      <c r="AV1635" s="6"/>
      <c r="AW1635" s="6"/>
      <c r="AX1635" s="6"/>
      <c r="AY1635" s="6"/>
      <c r="AZ1635" s="6"/>
      <c r="BA1635" s="6"/>
      <c r="BB1635" s="6"/>
      <c r="BC1635" s="6"/>
      <c r="BD1635" s="6"/>
      <c r="BE1635" s="6"/>
      <c r="BF1635" s="6"/>
      <c r="BG1635" s="6"/>
      <c r="BH1635" s="6"/>
      <c r="BI1635" s="6"/>
      <c r="BJ1635" s="6"/>
      <c r="BK1635" s="6"/>
      <c r="BL1635" s="6"/>
      <c r="BM1635" s="6"/>
      <c r="BN1635" s="6"/>
      <c r="BO1635" s="6"/>
      <c r="BP1635" s="6"/>
      <c r="BQ1635" s="6"/>
      <c r="BR1635" s="6"/>
      <c r="BS1635" s="6"/>
      <c r="BT1635" s="6"/>
      <c r="BU1635" s="6"/>
      <c r="BV1635" s="6"/>
      <c r="BW1635" s="6"/>
      <c r="BX1635" s="6"/>
      <c r="BY1635" s="6"/>
      <c r="BZ1635" s="6"/>
      <c r="CA1635" s="6"/>
      <c r="CB1635" s="6"/>
      <c r="CC1635" s="6"/>
    </row>
    <row r="1636" spans="2:81" x14ac:dyDescent="0.2">
      <c r="B1636" s="68"/>
      <c r="C1636" s="69"/>
      <c r="D1636" s="70"/>
      <c r="F1636" s="68"/>
      <c r="G1636" s="69"/>
      <c r="H1636" s="70"/>
      <c r="J1636" s="71"/>
      <c r="K1636" s="71"/>
      <c r="L1636" s="67"/>
      <c r="N1636" s="71"/>
      <c r="O1636" s="71"/>
      <c r="P1636" s="67"/>
      <c r="R1636" s="67"/>
      <c r="S1636" s="6"/>
      <c r="T1636" s="6"/>
      <c r="U1636" s="6"/>
      <c r="V1636" s="6"/>
      <c r="W1636" s="6"/>
      <c r="X1636" s="6"/>
      <c r="Y1636" s="6"/>
      <c r="Z1636" s="6"/>
      <c r="AA1636" s="6"/>
      <c r="AB1636" s="6"/>
      <c r="AC1636" s="6"/>
      <c r="AD1636" s="6"/>
      <c r="AE1636" s="6"/>
      <c r="AF1636" s="6"/>
      <c r="AG1636" s="6"/>
      <c r="AH1636" s="6"/>
      <c r="AI1636" s="6"/>
      <c r="AJ1636" s="6"/>
      <c r="AK1636" s="6"/>
      <c r="AL1636" s="6"/>
      <c r="AM1636" s="6"/>
      <c r="AN1636" s="6"/>
      <c r="AO1636" s="6"/>
      <c r="AP1636" s="6"/>
      <c r="AQ1636" s="6"/>
      <c r="AR1636" s="6"/>
      <c r="AS1636" s="6"/>
      <c r="AT1636" s="6"/>
      <c r="AU1636" s="6"/>
      <c r="AV1636" s="6"/>
      <c r="AW1636" s="6"/>
      <c r="AX1636" s="6"/>
      <c r="AY1636" s="6"/>
      <c r="AZ1636" s="6"/>
      <c r="BA1636" s="6"/>
      <c r="BB1636" s="6"/>
      <c r="BC1636" s="6"/>
      <c r="BD1636" s="6"/>
      <c r="BE1636" s="6"/>
      <c r="BF1636" s="6"/>
      <c r="BG1636" s="6"/>
      <c r="BH1636" s="6"/>
      <c r="BI1636" s="6"/>
      <c r="BJ1636" s="6"/>
      <c r="BK1636" s="6"/>
      <c r="BL1636" s="6"/>
      <c r="BM1636" s="6"/>
      <c r="BN1636" s="6"/>
      <c r="BO1636" s="6"/>
      <c r="BP1636" s="6"/>
      <c r="BQ1636" s="6"/>
      <c r="BR1636" s="6"/>
      <c r="BS1636" s="6"/>
      <c r="BT1636" s="6"/>
      <c r="BU1636" s="6"/>
      <c r="BV1636" s="6"/>
      <c r="BW1636" s="6"/>
      <c r="BX1636" s="6"/>
      <c r="BY1636" s="6"/>
      <c r="BZ1636" s="6"/>
      <c r="CA1636" s="6"/>
      <c r="CB1636" s="6"/>
      <c r="CC1636" s="6"/>
    </row>
    <row r="1637" spans="2:81" x14ac:dyDescent="0.2">
      <c r="B1637" s="68"/>
      <c r="C1637" s="69"/>
      <c r="D1637" s="70"/>
      <c r="F1637" s="68"/>
      <c r="G1637" s="69"/>
      <c r="H1637" s="70"/>
      <c r="J1637" s="71"/>
      <c r="K1637" s="71"/>
      <c r="L1637" s="67"/>
      <c r="N1637" s="71"/>
      <c r="O1637" s="71"/>
      <c r="P1637" s="67"/>
      <c r="R1637" s="67"/>
      <c r="S1637" s="6"/>
      <c r="T1637" s="6"/>
      <c r="U1637" s="6"/>
      <c r="V1637" s="6"/>
      <c r="W1637" s="6"/>
      <c r="X1637" s="6"/>
      <c r="Y1637" s="6"/>
      <c r="Z1637" s="6"/>
      <c r="AA1637" s="6"/>
      <c r="AB1637" s="6"/>
      <c r="AC1637" s="6"/>
      <c r="AD1637" s="6"/>
      <c r="AE1637" s="6"/>
      <c r="AF1637" s="6"/>
      <c r="AG1637" s="6"/>
      <c r="AH1637" s="6"/>
      <c r="AI1637" s="6"/>
      <c r="AJ1637" s="6"/>
      <c r="AK1637" s="6"/>
      <c r="AL1637" s="6"/>
      <c r="AM1637" s="6"/>
      <c r="AN1637" s="6"/>
      <c r="AO1637" s="6"/>
      <c r="AP1637" s="6"/>
      <c r="AQ1637" s="6"/>
      <c r="AR1637" s="6"/>
      <c r="AS1637" s="6"/>
      <c r="AT1637" s="6"/>
      <c r="AU1637" s="6"/>
      <c r="AV1637" s="6"/>
      <c r="AW1637" s="6"/>
      <c r="AX1637" s="6"/>
      <c r="AY1637" s="6"/>
      <c r="AZ1637" s="6"/>
      <c r="BA1637" s="6"/>
      <c r="BB1637" s="6"/>
      <c r="BC1637" s="6"/>
      <c r="BD1637" s="6"/>
      <c r="BE1637" s="6"/>
      <c r="BF1637" s="6"/>
      <c r="BG1637" s="6"/>
      <c r="BH1637" s="6"/>
      <c r="BI1637" s="6"/>
      <c r="BJ1637" s="6"/>
      <c r="BK1637" s="6"/>
      <c r="BL1637" s="6"/>
      <c r="BM1637" s="6"/>
      <c r="BN1637" s="6"/>
      <c r="BO1637" s="6"/>
      <c r="BP1637" s="6"/>
      <c r="BQ1637" s="6"/>
      <c r="BR1637" s="6"/>
      <c r="BS1637" s="6"/>
      <c r="BT1637" s="6"/>
      <c r="BU1637" s="6"/>
      <c r="BV1637" s="6"/>
      <c r="BW1637" s="6"/>
      <c r="BX1637" s="6"/>
      <c r="BY1637" s="6"/>
      <c r="BZ1637" s="6"/>
      <c r="CA1637" s="6"/>
      <c r="CB1637" s="6"/>
      <c r="CC1637" s="6"/>
    </row>
    <row r="1638" spans="2:81" x14ac:dyDescent="0.2">
      <c r="B1638" s="68"/>
      <c r="C1638" s="69"/>
      <c r="D1638" s="70"/>
      <c r="F1638" s="68"/>
      <c r="G1638" s="69"/>
      <c r="H1638" s="70"/>
      <c r="J1638" s="71"/>
      <c r="K1638" s="71"/>
      <c r="L1638" s="67"/>
      <c r="N1638" s="71"/>
      <c r="O1638" s="71"/>
      <c r="P1638" s="67"/>
      <c r="R1638" s="67"/>
      <c r="S1638" s="6"/>
      <c r="T1638" s="6"/>
      <c r="U1638" s="6"/>
      <c r="V1638" s="6"/>
      <c r="W1638" s="6"/>
      <c r="X1638" s="6"/>
      <c r="Y1638" s="6"/>
      <c r="Z1638" s="6"/>
      <c r="AA1638" s="6"/>
      <c r="AB1638" s="6"/>
      <c r="AC1638" s="6"/>
      <c r="AD1638" s="6"/>
      <c r="AE1638" s="6"/>
      <c r="AF1638" s="6"/>
      <c r="AG1638" s="6"/>
      <c r="AH1638" s="6"/>
      <c r="AI1638" s="6"/>
      <c r="AJ1638" s="6"/>
      <c r="AK1638" s="6"/>
      <c r="AL1638" s="6"/>
      <c r="AM1638" s="6"/>
      <c r="AN1638" s="6"/>
      <c r="AO1638" s="6"/>
      <c r="AP1638" s="6"/>
      <c r="AQ1638" s="6"/>
      <c r="AR1638" s="6"/>
      <c r="AS1638" s="6"/>
      <c r="AT1638" s="6"/>
      <c r="AU1638" s="6"/>
      <c r="AV1638" s="6"/>
      <c r="AW1638" s="6"/>
      <c r="AX1638" s="6"/>
      <c r="AY1638" s="6"/>
      <c r="AZ1638" s="6"/>
      <c r="BA1638" s="6"/>
      <c r="BB1638" s="6"/>
      <c r="BC1638" s="6"/>
      <c r="BD1638" s="6"/>
      <c r="BE1638" s="6"/>
      <c r="BF1638" s="6"/>
      <c r="BG1638" s="6"/>
      <c r="BH1638" s="6"/>
      <c r="BI1638" s="6"/>
      <c r="BJ1638" s="6"/>
      <c r="BK1638" s="6"/>
      <c r="BL1638" s="6"/>
      <c r="BM1638" s="6"/>
      <c r="BN1638" s="6"/>
      <c r="BO1638" s="6"/>
      <c r="BP1638" s="6"/>
      <c r="BQ1638" s="6"/>
      <c r="BR1638" s="6"/>
      <c r="BS1638" s="6"/>
      <c r="BT1638" s="6"/>
      <c r="BU1638" s="6"/>
      <c r="BV1638" s="6"/>
      <c r="BW1638" s="6"/>
      <c r="BX1638" s="6"/>
      <c r="BY1638" s="6"/>
      <c r="BZ1638" s="6"/>
      <c r="CA1638" s="6"/>
      <c r="CB1638" s="6"/>
      <c r="CC1638" s="6"/>
    </row>
    <row r="1639" spans="2:81" x14ac:dyDescent="0.2">
      <c r="B1639" s="68"/>
      <c r="C1639" s="69"/>
      <c r="D1639" s="70"/>
      <c r="F1639" s="68"/>
      <c r="G1639" s="69"/>
      <c r="H1639" s="70"/>
      <c r="J1639" s="71"/>
      <c r="K1639" s="71"/>
      <c r="L1639" s="67"/>
      <c r="N1639" s="71"/>
      <c r="O1639" s="71"/>
      <c r="P1639" s="67"/>
      <c r="R1639" s="67"/>
      <c r="S1639" s="6"/>
      <c r="T1639" s="6"/>
      <c r="U1639" s="6"/>
      <c r="V1639" s="6"/>
      <c r="W1639" s="6"/>
      <c r="X1639" s="6"/>
      <c r="Y1639" s="6"/>
      <c r="Z1639" s="6"/>
      <c r="AA1639" s="6"/>
      <c r="AB1639" s="6"/>
      <c r="AC1639" s="6"/>
      <c r="AD1639" s="6"/>
      <c r="AE1639" s="6"/>
      <c r="AF1639" s="6"/>
      <c r="AG1639" s="6"/>
      <c r="AH1639" s="6"/>
      <c r="AI1639" s="6"/>
      <c r="AJ1639" s="6"/>
      <c r="AK1639" s="6"/>
      <c r="AL1639" s="6"/>
      <c r="AM1639" s="6"/>
      <c r="AN1639" s="6"/>
      <c r="AO1639" s="6"/>
      <c r="AP1639" s="6"/>
      <c r="AQ1639" s="6"/>
      <c r="AR1639" s="6"/>
      <c r="AS1639" s="6"/>
      <c r="AT1639" s="6"/>
      <c r="AU1639" s="6"/>
      <c r="AV1639" s="6"/>
      <c r="AW1639" s="6"/>
      <c r="AX1639" s="6"/>
      <c r="AY1639" s="6"/>
      <c r="AZ1639" s="6"/>
      <c r="BA1639" s="6"/>
      <c r="BB1639" s="6"/>
      <c r="BC1639" s="6"/>
      <c r="BD1639" s="6"/>
      <c r="BE1639" s="6"/>
      <c r="BF1639" s="6"/>
      <c r="BG1639" s="6"/>
      <c r="BH1639" s="6"/>
      <c r="BI1639" s="6"/>
      <c r="BJ1639" s="6"/>
      <c r="BK1639" s="6"/>
      <c r="BL1639" s="6"/>
      <c r="BM1639" s="6"/>
      <c r="BN1639" s="6"/>
      <c r="BO1639" s="6"/>
      <c r="BP1639" s="6"/>
      <c r="BQ1639" s="6"/>
      <c r="BR1639" s="6"/>
      <c r="BS1639" s="6"/>
      <c r="BT1639" s="6"/>
      <c r="BU1639" s="6"/>
      <c r="BV1639" s="6"/>
      <c r="BW1639" s="6"/>
      <c r="BX1639" s="6"/>
      <c r="BY1639" s="6"/>
      <c r="BZ1639" s="6"/>
      <c r="CA1639" s="6"/>
      <c r="CB1639" s="6"/>
      <c r="CC1639" s="6"/>
    </row>
    <row r="1640" spans="2:81" x14ac:dyDescent="0.2">
      <c r="B1640" s="68"/>
      <c r="C1640" s="69"/>
      <c r="D1640" s="70"/>
      <c r="F1640" s="68"/>
      <c r="G1640" s="69"/>
      <c r="H1640" s="70"/>
      <c r="J1640" s="71"/>
      <c r="K1640" s="71"/>
      <c r="L1640" s="67"/>
      <c r="N1640" s="71"/>
      <c r="O1640" s="71"/>
      <c r="P1640" s="67"/>
      <c r="R1640" s="67"/>
      <c r="S1640" s="6"/>
      <c r="T1640" s="6"/>
      <c r="U1640" s="6"/>
      <c r="V1640" s="6"/>
      <c r="W1640" s="6"/>
      <c r="X1640" s="6"/>
      <c r="Y1640" s="6"/>
      <c r="Z1640" s="6"/>
      <c r="AA1640" s="6"/>
      <c r="AB1640" s="6"/>
      <c r="AC1640" s="6"/>
      <c r="AD1640" s="6"/>
      <c r="AE1640" s="6"/>
      <c r="AF1640" s="6"/>
      <c r="AG1640" s="6"/>
      <c r="AH1640" s="6"/>
      <c r="AI1640" s="6"/>
      <c r="AJ1640" s="6"/>
      <c r="AK1640" s="6"/>
      <c r="AL1640" s="6"/>
      <c r="AM1640" s="6"/>
      <c r="AN1640" s="6"/>
      <c r="AO1640" s="6"/>
      <c r="AP1640" s="6"/>
      <c r="AQ1640" s="6"/>
      <c r="AR1640" s="6"/>
      <c r="AS1640" s="6"/>
      <c r="AT1640" s="6"/>
      <c r="AU1640" s="6"/>
      <c r="AV1640" s="6"/>
      <c r="AW1640" s="6"/>
      <c r="AX1640" s="6"/>
      <c r="AY1640" s="6"/>
      <c r="AZ1640" s="6"/>
      <c r="BA1640" s="6"/>
      <c r="BB1640" s="6"/>
      <c r="BC1640" s="6"/>
      <c r="BD1640" s="6"/>
      <c r="BE1640" s="6"/>
      <c r="BF1640" s="6"/>
      <c r="BG1640" s="6"/>
      <c r="BH1640" s="6"/>
      <c r="BI1640" s="6"/>
      <c r="BJ1640" s="6"/>
      <c r="BK1640" s="6"/>
      <c r="BL1640" s="6"/>
      <c r="BM1640" s="6"/>
      <c r="BN1640" s="6"/>
      <c r="BO1640" s="6"/>
      <c r="BP1640" s="6"/>
      <c r="BQ1640" s="6"/>
      <c r="BR1640" s="6"/>
      <c r="BS1640" s="6"/>
      <c r="BT1640" s="6"/>
      <c r="BU1640" s="6"/>
      <c r="BV1640" s="6"/>
      <c r="BW1640" s="6"/>
      <c r="BX1640" s="6"/>
      <c r="BY1640" s="6"/>
      <c r="BZ1640" s="6"/>
      <c r="CA1640" s="6"/>
      <c r="CB1640" s="6"/>
      <c r="CC1640" s="6"/>
    </row>
    <row r="1641" spans="2:81" x14ac:dyDescent="0.2">
      <c r="B1641" s="68"/>
      <c r="C1641" s="69"/>
      <c r="D1641" s="70"/>
      <c r="F1641" s="68"/>
      <c r="G1641" s="69"/>
      <c r="H1641" s="70"/>
      <c r="J1641" s="71"/>
      <c r="K1641" s="71"/>
      <c r="L1641" s="67"/>
      <c r="N1641" s="71"/>
      <c r="O1641" s="71"/>
      <c r="P1641" s="67"/>
      <c r="R1641" s="67"/>
      <c r="S1641" s="6"/>
      <c r="T1641" s="6"/>
      <c r="U1641" s="6"/>
      <c r="V1641" s="6"/>
      <c r="W1641" s="6"/>
      <c r="X1641" s="6"/>
      <c r="Y1641" s="6"/>
      <c r="Z1641" s="6"/>
      <c r="AA1641" s="6"/>
      <c r="AB1641" s="6"/>
      <c r="AC1641" s="6"/>
      <c r="AD1641" s="6"/>
      <c r="AE1641" s="6"/>
      <c r="AF1641" s="6"/>
      <c r="AG1641" s="6"/>
      <c r="AH1641" s="6"/>
      <c r="AI1641" s="6"/>
      <c r="AJ1641" s="6"/>
      <c r="AK1641" s="6"/>
      <c r="AL1641" s="6"/>
      <c r="AM1641" s="6"/>
      <c r="AN1641" s="6"/>
      <c r="AO1641" s="6"/>
      <c r="AP1641" s="6"/>
      <c r="AQ1641" s="6"/>
      <c r="AR1641" s="6"/>
      <c r="AS1641" s="6"/>
      <c r="AT1641" s="6"/>
      <c r="AU1641" s="6"/>
      <c r="AV1641" s="6"/>
      <c r="AW1641" s="6"/>
      <c r="AX1641" s="6"/>
      <c r="AY1641" s="6"/>
      <c r="AZ1641" s="6"/>
      <c r="BA1641" s="6"/>
      <c r="BB1641" s="6"/>
      <c r="BC1641" s="6"/>
      <c r="BD1641" s="6"/>
      <c r="BE1641" s="6"/>
      <c r="BF1641" s="6"/>
      <c r="BG1641" s="6"/>
      <c r="BH1641" s="6"/>
      <c r="BI1641" s="6"/>
      <c r="BJ1641" s="6"/>
      <c r="BK1641" s="6"/>
      <c r="BL1641" s="6"/>
      <c r="BM1641" s="6"/>
      <c r="BN1641" s="6"/>
      <c r="BO1641" s="6"/>
      <c r="BP1641" s="6"/>
      <c r="BQ1641" s="6"/>
      <c r="BR1641" s="6"/>
      <c r="BS1641" s="6"/>
      <c r="BT1641" s="6"/>
      <c r="BU1641" s="6"/>
      <c r="BV1641" s="6"/>
      <c r="BW1641" s="6"/>
      <c r="BX1641" s="6"/>
      <c r="BY1641" s="6"/>
      <c r="BZ1641" s="6"/>
      <c r="CA1641" s="6"/>
      <c r="CB1641" s="6"/>
      <c r="CC1641" s="6"/>
    </row>
    <row r="1642" spans="2:81" x14ac:dyDescent="0.2">
      <c r="B1642" s="68"/>
      <c r="C1642" s="69"/>
      <c r="D1642" s="70"/>
      <c r="F1642" s="68"/>
      <c r="G1642" s="69"/>
      <c r="H1642" s="70"/>
      <c r="J1642" s="71"/>
      <c r="K1642" s="71"/>
      <c r="L1642" s="67"/>
      <c r="N1642" s="71"/>
      <c r="O1642" s="71"/>
      <c r="P1642" s="67"/>
      <c r="R1642" s="67"/>
      <c r="S1642" s="6"/>
      <c r="T1642" s="6"/>
      <c r="U1642" s="6"/>
      <c r="V1642" s="6"/>
      <c r="W1642" s="6"/>
      <c r="X1642" s="6"/>
      <c r="Y1642" s="6"/>
      <c r="Z1642" s="6"/>
      <c r="AA1642" s="6"/>
      <c r="AB1642" s="6"/>
      <c r="AC1642" s="6"/>
      <c r="AD1642" s="6"/>
      <c r="AE1642" s="6"/>
      <c r="AF1642" s="6"/>
      <c r="AG1642" s="6"/>
      <c r="AH1642" s="6"/>
      <c r="AI1642" s="6"/>
      <c r="AJ1642" s="6"/>
      <c r="AK1642" s="6"/>
      <c r="AL1642" s="6"/>
      <c r="AM1642" s="6"/>
      <c r="AN1642" s="6"/>
      <c r="AO1642" s="6"/>
      <c r="AP1642" s="6"/>
      <c r="AQ1642" s="6"/>
      <c r="AR1642" s="6"/>
      <c r="AS1642" s="6"/>
      <c r="AT1642" s="6"/>
      <c r="AU1642" s="6"/>
      <c r="AV1642" s="6"/>
      <c r="AW1642" s="6"/>
      <c r="AX1642" s="6"/>
      <c r="AY1642" s="6"/>
      <c r="AZ1642" s="6"/>
      <c r="BA1642" s="6"/>
      <c r="BB1642" s="6"/>
      <c r="BC1642" s="6"/>
      <c r="BD1642" s="6"/>
      <c r="BE1642" s="6"/>
      <c r="BF1642" s="6"/>
      <c r="BG1642" s="6"/>
      <c r="BH1642" s="6"/>
      <c r="BI1642" s="6"/>
      <c r="BJ1642" s="6"/>
      <c r="BK1642" s="6"/>
      <c r="BL1642" s="6"/>
      <c r="BM1642" s="6"/>
      <c r="BN1642" s="6"/>
      <c r="BO1642" s="6"/>
      <c r="BP1642" s="6"/>
      <c r="BQ1642" s="6"/>
      <c r="BR1642" s="6"/>
      <c r="BS1642" s="6"/>
      <c r="BT1642" s="6"/>
      <c r="BU1642" s="6"/>
      <c r="BV1642" s="6"/>
      <c r="BW1642" s="6"/>
      <c r="BX1642" s="6"/>
      <c r="BY1642" s="6"/>
      <c r="BZ1642" s="6"/>
      <c r="CA1642" s="6"/>
      <c r="CB1642" s="6"/>
      <c r="CC1642" s="6"/>
    </row>
    <row r="1643" spans="2:81" x14ac:dyDescent="0.2">
      <c r="B1643" s="68"/>
      <c r="C1643" s="69"/>
      <c r="D1643" s="70"/>
      <c r="F1643" s="68"/>
      <c r="G1643" s="69"/>
      <c r="H1643" s="70"/>
      <c r="J1643" s="71"/>
      <c r="K1643" s="71"/>
      <c r="L1643" s="67"/>
      <c r="N1643" s="71"/>
      <c r="O1643" s="71"/>
      <c r="P1643" s="67"/>
      <c r="R1643" s="67"/>
      <c r="S1643" s="6"/>
      <c r="T1643" s="6"/>
      <c r="U1643" s="6"/>
      <c r="V1643" s="6"/>
      <c r="W1643" s="6"/>
      <c r="X1643" s="6"/>
      <c r="Y1643" s="6"/>
      <c r="Z1643" s="6"/>
      <c r="AA1643" s="6"/>
      <c r="AB1643" s="6"/>
      <c r="AC1643" s="6"/>
      <c r="AD1643" s="6"/>
      <c r="AE1643" s="6"/>
      <c r="AF1643" s="6"/>
      <c r="AG1643" s="6"/>
      <c r="AH1643" s="6"/>
      <c r="AI1643" s="6"/>
      <c r="AJ1643" s="6"/>
      <c r="AK1643" s="6"/>
      <c r="AL1643" s="6"/>
      <c r="AM1643" s="6"/>
      <c r="AN1643" s="6"/>
      <c r="AO1643" s="6"/>
      <c r="AP1643" s="6"/>
      <c r="AQ1643" s="6"/>
      <c r="AR1643" s="6"/>
      <c r="AS1643" s="6"/>
      <c r="AT1643" s="6"/>
      <c r="AU1643" s="6"/>
      <c r="AV1643" s="6"/>
      <c r="AW1643" s="6"/>
      <c r="AX1643" s="6"/>
      <c r="AY1643" s="6"/>
      <c r="AZ1643" s="6"/>
      <c r="BA1643" s="6"/>
      <c r="BB1643" s="6"/>
      <c r="BC1643" s="6"/>
      <c r="BD1643" s="6"/>
      <c r="BE1643" s="6"/>
      <c r="BF1643" s="6"/>
      <c r="BG1643" s="6"/>
      <c r="BH1643" s="6"/>
      <c r="BI1643" s="6"/>
      <c r="BJ1643" s="6"/>
      <c r="BK1643" s="6"/>
      <c r="BL1643" s="6"/>
      <c r="BM1643" s="6"/>
      <c r="BN1643" s="6"/>
      <c r="BO1643" s="6"/>
      <c r="BP1643" s="6"/>
      <c r="BQ1643" s="6"/>
      <c r="BR1643" s="6"/>
      <c r="BS1643" s="6"/>
      <c r="BT1643" s="6"/>
      <c r="BU1643" s="6"/>
      <c r="BV1643" s="6"/>
      <c r="BW1643" s="6"/>
      <c r="BX1643" s="6"/>
      <c r="BY1643" s="6"/>
      <c r="BZ1643" s="6"/>
      <c r="CA1643" s="6"/>
      <c r="CB1643" s="6"/>
      <c r="CC1643" s="6"/>
    </row>
    <row r="1644" spans="2:81" x14ac:dyDescent="0.2">
      <c r="B1644" s="68"/>
      <c r="C1644" s="69"/>
      <c r="D1644" s="70"/>
      <c r="F1644" s="68"/>
      <c r="G1644" s="69"/>
      <c r="H1644" s="70"/>
      <c r="J1644" s="71"/>
      <c r="K1644" s="71"/>
      <c r="L1644" s="67"/>
      <c r="N1644" s="71"/>
      <c r="O1644" s="71"/>
      <c r="P1644" s="67"/>
      <c r="R1644" s="67"/>
      <c r="S1644" s="6"/>
      <c r="T1644" s="6"/>
      <c r="U1644" s="6"/>
      <c r="V1644" s="6"/>
      <c r="W1644" s="6"/>
      <c r="X1644" s="6"/>
      <c r="Y1644" s="6"/>
      <c r="Z1644" s="6"/>
      <c r="AA1644" s="6"/>
      <c r="AB1644" s="6"/>
      <c r="AC1644" s="6"/>
      <c r="AD1644" s="6"/>
      <c r="AE1644" s="6"/>
      <c r="AF1644" s="6"/>
      <c r="AG1644" s="6"/>
      <c r="AH1644" s="6"/>
      <c r="AI1644" s="6"/>
      <c r="AJ1644" s="6"/>
      <c r="AK1644" s="6"/>
      <c r="AL1644" s="6"/>
      <c r="AM1644" s="6"/>
      <c r="AN1644" s="6"/>
      <c r="AO1644" s="6"/>
      <c r="AP1644" s="6"/>
      <c r="AQ1644" s="6"/>
      <c r="AR1644" s="6"/>
      <c r="AS1644" s="6"/>
      <c r="AT1644" s="6"/>
      <c r="AU1644" s="6"/>
      <c r="AV1644" s="6"/>
      <c r="AW1644" s="6"/>
      <c r="AX1644" s="6"/>
      <c r="AY1644" s="6"/>
      <c r="AZ1644" s="6"/>
      <c r="BA1644" s="6"/>
      <c r="BB1644" s="6"/>
      <c r="BC1644" s="6"/>
      <c r="BD1644" s="6"/>
      <c r="BE1644" s="6"/>
      <c r="BF1644" s="6"/>
      <c r="BG1644" s="6"/>
      <c r="BH1644" s="6"/>
      <c r="BI1644" s="6"/>
      <c r="BJ1644" s="6"/>
      <c r="BK1644" s="6"/>
      <c r="BL1644" s="6"/>
      <c r="BM1644" s="6"/>
      <c r="BN1644" s="6"/>
      <c r="BO1644" s="6"/>
      <c r="BP1644" s="6"/>
      <c r="BQ1644" s="6"/>
      <c r="BR1644" s="6"/>
      <c r="BS1644" s="6"/>
      <c r="BT1644" s="6"/>
      <c r="BU1644" s="6"/>
      <c r="BV1644" s="6"/>
      <c r="BW1644" s="6"/>
      <c r="BX1644" s="6"/>
      <c r="BY1644" s="6"/>
      <c r="BZ1644" s="6"/>
      <c r="CA1644" s="6"/>
      <c r="CB1644" s="6"/>
      <c r="CC1644" s="6"/>
    </row>
    <row r="1645" spans="2:81" x14ac:dyDescent="0.2">
      <c r="B1645" s="68"/>
      <c r="C1645" s="69"/>
      <c r="D1645" s="70"/>
      <c r="F1645" s="68"/>
      <c r="G1645" s="69"/>
      <c r="H1645" s="70"/>
      <c r="J1645" s="71"/>
      <c r="K1645" s="71"/>
      <c r="L1645" s="67"/>
      <c r="N1645" s="71"/>
      <c r="O1645" s="71"/>
      <c r="P1645" s="67"/>
      <c r="R1645" s="67"/>
      <c r="S1645" s="6"/>
      <c r="T1645" s="6"/>
      <c r="U1645" s="6"/>
      <c r="V1645" s="6"/>
      <c r="W1645" s="6"/>
      <c r="X1645" s="6"/>
      <c r="Y1645" s="6"/>
      <c r="Z1645" s="6"/>
      <c r="AA1645" s="6"/>
      <c r="AB1645" s="6"/>
      <c r="AC1645" s="6"/>
      <c r="AD1645" s="6"/>
      <c r="AE1645" s="6"/>
      <c r="AF1645" s="6"/>
      <c r="AG1645" s="6"/>
      <c r="AH1645" s="6"/>
      <c r="AI1645" s="6"/>
      <c r="AJ1645" s="6"/>
      <c r="AK1645" s="6"/>
      <c r="AL1645" s="6"/>
      <c r="AM1645" s="6"/>
      <c r="AN1645" s="6"/>
      <c r="AO1645" s="6"/>
      <c r="AP1645" s="6"/>
      <c r="AQ1645" s="6"/>
      <c r="AR1645" s="6"/>
      <c r="AS1645" s="6"/>
      <c r="AT1645" s="6"/>
      <c r="AU1645" s="6"/>
      <c r="AV1645" s="6"/>
      <c r="AW1645" s="6"/>
      <c r="AX1645" s="6"/>
      <c r="AY1645" s="6"/>
      <c r="AZ1645" s="6"/>
      <c r="BA1645" s="6"/>
      <c r="BB1645" s="6"/>
      <c r="BC1645" s="6"/>
      <c r="BD1645" s="6"/>
      <c r="BE1645" s="6"/>
      <c r="BF1645" s="6"/>
      <c r="BG1645" s="6"/>
      <c r="BH1645" s="6"/>
      <c r="BI1645" s="6"/>
      <c r="BJ1645" s="6"/>
      <c r="BK1645" s="6"/>
      <c r="BL1645" s="6"/>
      <c r="BM1645" s="6"/>
      <c r="BN1645" s="6"/>
      <c r="BO1645" s="6"/>
      <c r="BP1645" s="6"/>
      <c r="BQ1645" s="6"/>
      <c r="BR1645" s="6"/>
      <c r="BS1645" s="6"/>
      <c r="BT1645" s="6"/>
      <c r="BU1645" s="6"/>
      <c r="BV1645" s="6"/>
      <c r="BW1645" s="6"/>
      <c r="BX1645" s="6"/>
      <c r="BY1645" s="6"/>
      <c r="BZ1645" s="6"/>
      <c r="CA1645" s="6"/>
      <c r="CB1645" s="6"/>
      <c r="CC1645" s="6"/>
    </row>
    <row r="1646" spans="2:81" x14ac:dyDescent="0.2">
      <c r="B1646" s="68"/>
      <c r="C1646" s="69"/>
      <c r="D1646" s="70"/>
      <c r="F1646" s="68"/>
      <c r="G1646" s="69"/>
      <c r="H1646" s="70"/>
      <c r="J1646" s="71"/>
      <c r="K1646" s="71"/>
      <c r="L1646" s="67"/>
      <c r="N1646" s="71"/>
      <c r="O1646" s="71"/>
      <c r="P1646" s="67"/>
      <c r="R1646" s="67"/>
      <c r="S1646" s="6"/>
      <c r="T1646" s="6"/>
      <c r="U1646" s="6"/>
      <c r="V1646" s="6"/>
      <c r="W1646" s="6"/>
      <c r="X1646" s="6"/>
      <c r="Y1646" s="6"/>
      <c r="Z1646" s="6"/>
      <c r="AA1646" s="6"/>
      <c r="AB1646" s="6"/>
      <c r="AC1646" s="6"/>
      <c r="AD1646" s="6"/>
      <c r="AE1646" s="6"/>
      <c r="AF1646" s="6"/>
      <c r="AG1646" s="6"/>
      <c r="AH1646" s="6"/>
      <c r="AI1646" s="6"/>
      <c r="AJ1646" s="6"/>
      <c r="AK1646" s="6"/>
      <c r="AL1646" s="6"/>
      <c r="AM1646" s="6"/>
      <c r="AN1646" s="6"/>
      <c r="AO1646" s="6"/>
      <c r="AP1646" s="6"/>
      <c r="AQ1646" s="6"/>
      <c r="AR1646" s="6"/>
      <c r="AS1646" s="6"/>
      <c r="AT1646" s="6"/>
      <c r="AU1646" s="6"/>
      <c r="AV1646" s="6"/>
      <c r="AW1646" s="6"/>
      <c r="AX1646" s="6"/>
      <c r="AY1646" s="6"/>
      <c r="AZ1646" s="6"/>
      <c r="BA1646" s="6"/>
      <c r="BB1646" s="6"/>
      <c r="BC1646" s="6"/>
      <c r="BD1646" s="6"/>
      <c r="BE1646" s="6"/>
      <c r="BF1646" s="6"/>
      <c r="BG1646" s="6"/>
      <c r="BH1646" s="6"/>
      <c r="BI1646" s="6"/>
      <c r="BJ1646" s="6"/>
      <c r="BK1646" s="6"/>
      <c r="BL1646" s="6"/>
      <c r="BM1646" s="6"/>
      <c r="BN1646" s="6"/>
      <c r="BO1646" s="6"/>
      <c r="BP1646" s="6"/>
      <c r="BQ1646" s="6"/>
      <c r="BR1646" s="6"/>
      <c r="BS1646" s="6"/>
      <c r="BT1646" s="6"/>
      <c r="BU1646" s="6"/>
      <c r="BV1646" s="6"/>
      <c r="BW1646" s="6"/>
      <c r="BX1646" s="6"/>
      <c r="BY1646" s="6"/>
      <c r="BZ1646" s="6"/>
      <c r="CA1646" s="6"/>
      <c r="CB1646" s="6"/>
      <c r="CC1646" s="6"/>
    </row>
    <row r="1647" spans="2:81" x14ac:dyDescent="0.2">
      <c r="B1647" s="68"/>
      <c r="C1647" s="69"/>
      <c r="D1647" s="70"/>
      <c r="F1647" s="68"/>
      <c r="G1647" s="69"/>
      <c r="H1647" s="70"/>
      <c r="J1647" s="71"/>
      <c r="K1647" s="71"/>
      <c r="L1647" s="67"/>
      <c r="N1647" s="71"/>
      <c r="O1647" s="71"/>
      <c r="P1647" s="67"/>
      <c r="R1647" s="67"/>
      <c r="S1647" s="6"/>
      <c r="T1647" s="6"/>
      <c r="U1647" s="6"/>
      <c r="V1647" s="6"/>
      <c r="W1647" s="6"/>
      <c r="X1647" s="6"/>
      <c r="Y1647" s="6"/>
      <c r="Z1647" s="6"/>
      <c r="AA1647" s="6"/>
      <c r="AB1647" s="6"/>
      <c r="AC1647" s="6"/>
      <c r="AD1647" s="6"/>
      <c r="AE1647" s="6"/>
      <c r="AF1647" s="6"/>
      <c r="AG1647" s="6"/>
      <c r="AH1647" s="6"/>
      <c r="AI1647" s="6"/>
      <c r="AJ1647" s="6"/>
      <c r="AK1647" s="6"/>
      <c r="AL1647" s="6"/>
      <c r="AM1647" s="6"/>
      <c r="AN1647" s="6"/>
      <c r="AO1647" s="6"/>
      <c r="AP1647" s="6"/>
      <c r="AQ1647" s="6"/>
      <c r="AR1647" s="6"/>
      <c r="AS1647" s="6"/>
      <c r="AT1647" s="6"/>
      <c r="AU1647" s="6"/>
      <c r="AV1647" s="6"/>
      <c r="AW1647" s="6"/>
      <c r="AX1647" s="6"/>
      <c r="AY1647" s="6"/>
      <c r="AZ1647" s="6"/>
      <c r="BA1647" s="6"/>
      <c r="BB1647" s="6"/>
      <c r="BC1647" s="6"/>
      <c r="BD1647" s="6"/>
      <c r="BE1647" s="6"/>
      <c r="BF1647" s="6"/>
      <c r="BG1647" s="6"/>
      <c r="BH1647" s="6"/>
      <c r="BI1647" s="6"/>
      <c r="BJ1647" s="6"/>
      <c r="BK1647" s="6"/>
      <c r="BL1647" s="6"/>
      <c r="BM1647" s="6"/>
      <c r="BN1647" s="6"/>
      <c r="BO1647" s="6"/>
      <c r="BP1647" s="6"/>
      <c r="BQ1647" s="6"/>
      <c r="BR1647" s="6"/>
      <c r="BS1647" s="6"/>
      <c r="BT1647" s="6"/>
      <c r="BU1647" s="6"/>
      <c r="BV1647" s="6"/>
      <c r="BW1647" s="6"/>
      <c r="BX1647" s="6"/>
      <c r="BY1647" s="6"/>
      <c r="BZ1647" s="6"/>
      <c r="CA1647" s="6"/>
      <c r="CB1647" s="6"/>
      <c r="CC1647" s="6"/>
    </row>
    <row r="1648" spans="2:81" x14ac:dyDescent="0.2">
      <c r="B1648" s="68"/>
      <c r="C1648" s="69"/>
      <c r="D1648" s="70"/>
      <c r="F1648" s="68"/>
      <c r="G1648" s="69"/>
      <c r="H1648" s="70"/>
      <c r="J1648" s="71"/>
      <c r="K1648" s="71"/>
      <c r="L1648" s="67"/>
      <c r="N1648" s="71"/>
      <c r="O1648" s="71"/>
      <c r="P1648" s="67"/>
      <c r="R1648" s="67"/>
      <c r="S1648" s="6"/>
      <c r="T1648" s="6"/>
      <c r="U1648" s="6"/>
      <c r="V1648" s="6"/>
      <c r="W1648" s="6"/>
      <c r="X1648" s="6"/>
      <c r="Y1648" s="6"/>
      <c r="Z1648" s="6"/>
      <c r="AA1648" s="6"/>
      <c r="AB1648" s="6"/>
      <c r="AC1648" s="6"/>
      <c r="AD1648" s="6"/>
      <c r="AE1648" s="6"/>
      <c r="AF1648" s="6"/>
      <c r="AG1648" s="6"/>
      <c r="AH1648" s="6"/>
      <c r="AI1648" s="6"/>
      <c r="AJ1648" s="6"/>
      <c r="AK1648" s="6"/>
      <c r="AL1648" s="6"/>
      <c r="AM1648" s="6"/>
      <c r="AN1648" s="6"/>
      <c r="AO1648" s="6"/>
      <c r="AP1648" s="6"/>
      <c r="AQ1648" s="6"/>
      <c r="AR1648" s="6"/>
      <c r="AS1648" s="6"/>
      <c r="AT1648" s="6"/>
      <c r="AU1648" s="6"/>
      <c r="AV1648" s="6"/>
      <c r="AW1648" s="6"/>
      <c r="AX1648" s="6"/>
      <c r="AY1648" s="6"/>
      <c r="AZ1648" s="6"/>
      <c r="BA1648" s="6"/>
      <c r="BB1648" s="6"/>
      <c r="BC1648" s="6"/>
      <c r="BD1648" s="6"/>
      <c r="BE1648" s="6"/>
      <c r="BF1648" s="6"/>
      <c r="BG1648" s="6"/>
      <c r="BH1648" s="6"/>
      <c r="BI1648" s="6"/>
      <c r="BJ1648" s="6"/>
      <c r="BK1648" s="6"/>
      <c r="BL1648" s="6"/>
      <c r="BM1648" s="6"/>
      <c r="BN1648" s="6"/>
      <c r="BO1648" s="6"/>
      <c r="BP1648" s="6"/>
      <c r="BQ1648" s="6"/>
      <c r="BR1648" s="6"/>
      <c r="BS1648" s="6"/>
      <c r="BT1648" s="6"/>
      <c r="BU1648" s="6"/>
      <c r="BV1648" s="6"/>
      <c r="BW1648" s="6"/>
      <c r="BX1648" s="6"/>
      <c r="BY1648" s="6"/>
      <c r="BZ1648" s="6"/>
      <c r="CA1648" s="6"/>
      <c r="CB1648" s="6"/>
      <c r="CC1648" s="6"/>
    </row>
    <row r="1649" spans="2:81" x14ac:dyDescent="0.2">
      <c r="B1649" s="68"/>
      <c r="C1649" s="69"/>
      <c r="D1649" s="70"/>
      <c r="F1649" s="68"/>
      <c r="G1649" s="69"/>
      <c r="H1649" s="70"/>
      <c r="J1649" s="71"/>
      <c r="K1649" s="71"/>
      <c r="L1649" s="67"/>
      <c r="N1649" s="71"/>
      <c r="O1649" s="71"/>
      <c r="P1649" s="67"/>
      <c r="R1649" s="67"/>
      <c r="S1649" s="6"/>
      <c r="T1649" s="6"/>
      <c r="U1649" s="6"/>
      <c r="V1649" s="6"/>
      <c r="W1649" s="6"/>
      <c r="X1649" s="6"/>
      <c r="Y1649" s="6"/>
      <c r="Z1649" s="6"/>
      <c r="AA1649" s="6"/>
      <c r="AB1649" s="6"/>
      <c r="AC1649" s="6"/>
      <c r="AD1649" s="6"/>
      <c r="AE1649" s="6"/>
      <c r="AF1649" s="6"/>
      <c r="AG1649" s="6"/>
      <c r="AH1649" s="6"/>
      <c r="AI1649" s="6"/>
      <c r="AJ1649" s="6"/>
      <c r="AK1649" s="6"/>
      <c r="AL1649" s="6"/>
      <c r="AM1649" s="6"/>
      <c r="AN1649" s="6"/>
      <c r="AO1649" s="6"/>
      <c r="AP1649" s="6"/>
      <c r="AQ1649" s="6"/>
      <c r="AR1649" s="6"/>
      <c r="AS1649" s="6"/>
      <c r="AT1649" s="6"/>
      <c r="AU1649" s="6"/>
      <c r="AV1649" s="6"/>
      <c r="AW1649" s="6"/>
      <c r="AX1649" s="6"/>
      <c r="AY1649" s="6"/>
      <c r="AZ1649" s="6"/>
      <c r="BA1649" s="6"/>
      <c r="BB1649" s="6"/>
      <c r="BC1649" s="6"/>
      <c r="BD1649" s="6"/>
      <c r="BE1649" s="6"/>
      <c r="BF1649" s="6"/>
      <c r="BG1649" s="6"/>
      <c r="BH1649" s="6"/>
      <c r="BI1649" s="6"/>
      <c r="BJ1649" s="6"/>
      <c r="BK1649" s="6"/>
      <c r="BL1649" s="6"/>
      <c r="BM1649" s="6"/>
      <c r="BN1649" s="6"/>
      <c r="BO1649" s="6"/>
      <c r="BP1649" s="6"/>
      <c r="BQ1649" s="6"/>
      <c r="BR1649" s="6"/>
      <c r="BS1649" s="6"/>
      <c r="BT1649" s="6"/>
      <c r="BU1649" s="6"/>
      <c r="BV1649" s="6"/>
      <c r="BW1649" s="6"/>
      <c r="BX1649" s="6"/>
      <c r="BY1649" s="6"/>
      <c r="BZ1649" s="6"/>
      <c r="CA1649" s="6"/>
      <c r="CB1649" s="6"/>
      <c r="CC1649" s="6"/>
    </row>
    <row r="1650" spans="2:81" x14ac:dyDescent="0.2">
      <c r="B1650" s="68"/>
      <c r="C1650" s="69"/>
      <c r="D1650" s="70"/>
      <c r="F1650" s="68"/>
      <c r="G1650" s="69"/>
      <c r="H1650" s="70"/>
      <c r="J1650" s="71"/>
      <c r="K1650" s="71"/>
      <c r="L1650" s="67"/>
      <c r="N1650" s="71"/>
      <c r="O1650" s="71"/>
      <c r="P1650" s="67"/>
      <c r="R1650" s="67"/>
      <c r="S1650" s="6"/>
      <c r="T1650" s="6"/>
      <c r="U1650" s="6"/>
      <c r="V1650" s="6"/>
      <c r="W1650" s="6"/>
      <c r="X1650" s="6"/>
      <c r="Y1650" s="6"/>
      <c r="Z1650" s="6"/>
      <c r="AA1650" s="6"/>
      <c r="AB1650" s="6"/>
      <c r="AC1650" s="6"/>
      <c r="AD1650" s="6"/>
      <c r="AE1650" s="6"/>
      <c r="AF1650" s="6"/>
      <c r="AG1650" s="6"/>
      <c r="AH1650" s="6"/>
      <c r="AI1650" s="6"/>
      <c r="AJ1650" s="6"/>
      <c r="AK1650" s="6"/>
      <c r="AL1650" s="6"/>
      <c r="AM1650" s="6"/>
      <c r="AN1650" s="6"/>
      <c r="AO1650" s="6"/>
      <c r="AP1650" s="6"/>
      <c r="AQ1650" s="6"/>
      <c r="AR1650" s="6"/>
      <c r="AS1650" s="6"/>
      <c r="AT1650" s="6"/>
      <c r="AU1650" s="6"/>
      <c r="AV1650" s="6"/>
      <c r="AW1650" s="6"/>
      <c r="AX1650" s="6"/>
      <c r="AY1650" s="6"/>
      <c r="AZ1650" s="6"/>
      <c r="BA1650" s="6"/>
      <c r="BB1650" s="6"/>
      <c r="BC1650" s="6"/>
      <c r="BD1650" s="6"/>
      <c r="BE1650" s="6"/>
      <c r="BF1650" s="6"/>
      <c r="BG1650" s="6"/>
      <c r="BH1650" s="6"/>
      <c r="BI1650" s="6"/>
      <c r="BJ1650" s="6"/>
      <c r="BK1650" s="6"/>
      <c r="BL1650" s="6"/>
      <c r="BM1650" s="6"/>
      <c r="BN1650" s="6"/>
      <c r="BO1650" s="6"/>
      <c r="BP1650" s="6"/>
      <c r="BQ1650" s="6"/>
      <c r="BR1650" s="6"/>
      <c r="BS1650" s="6"/>
      <c r="BT1650" s="6"/>
      <c r="BU1650" s="6"/>
      <c r="BV1650" s="6"/>
      <c r="BW1650" s="6"/>
      <c r="BX1650" s="6"/>
      <c r="BY1650" s="6"/>
      <c r="BZ1650" s="6"/>
      <c r="CA1650" s="6"/>
      <c r="CB1650" s="6"/>
      <c r="CC1650" s="6"/>
    </row>
    <row r="1651" spans="2:81" x14ac:dyDescent="0.2">
      <c r="B1651" s="68"/>
      <c r="C1651" s="69"/>
      <c r="D1651" s="70"/>
      <c r="F1651" s="68"/>
      <c r="G1651" s="69"/>
      <c r="H1651" s="70"/>
      <c r="J1651" s="71"/>
      <c r="K1651" s="71"/>
      <c r="L1651" s="67"/>
      <c r="N1651" s="71"/>
      <c r="O1651" s="71"/>
      <c r="P1651" s="67"/>
      <c r="R1651" s="67"/>
      <c r="S1651" s="6"/>
      <c r="T1651" s="6"/>
      <c r="U1651" s="6"/>
      <c r="V1651" s="6"/>
      <c r="W1651" s="6"/>
      <c r="X1651" s="6"/>
      <c r="Y1651" s="6"/>
      <c r="Z1651" s="6"/>
      <c r="AA1651" s="6"/>
      <c r="AB1651" s="6"/>
      <c r="AC1651" s="6"/>
      <c r="AD1651" s="6"/>
      <c r="AE1651" s="6"/>
      <c r="AF1651" s="6"/>
      <c r="AG1651" s="6"/>
      <c r="AH1651" s="6"/>
      <c r="AI1651" s="6"/>
      <c r="AJ1651" s="6"/>
      <c r="AK1651" s="6"/>
      <c r="AL1651" s="6"/>
      <c r="AM1651" s="6"/>
      <c r="AN1651" s="6"/>
      <c r="AO1651" s="6"/>
      <c r="AP1651" s="6"/>
      <c r="AQ1651" s="6"/>
      <c r="AR1651" s="6"/>
      <c r="AS1651" s="6"/>
      <c r="AT1651" s="6"/>
      <c r="AU1651" s="6"/>
      <c r="AV1651" s="6"/>
      <c r="AW1651" s="6"/>
      <c r="AX1651" s="6"/>
      <c r="AY1651" s="6"/>
      <c r="AZ1651" s="6"/>
      <c r="BA1651" s="6"/>
      <c r="BB1651" s="6"/>
      <c r="BC1651" s="6"/>
      <c r="BD1651" s="6"/>
      <c r="BE1651" s="6"/>
      <c r="BF1651" s="6"/>
      <c r="BG1651" s="6"/>
      <c r="BH1651" s="6"/>
      <c r="BI1651" s="6"/>
      <c r="BJ1651" s="6"/>
      <c r="BK1651" s="6"/>
      <c r="BL1651" s="6"/>
      <c r="BM1651" s="6"/>
      <c r="BN1651" s="6"/>
      <c r="BO1651" s="6"/>
      <c r="BP1651" s="6"/>
      <c r="BQ1651" s="6"/>
      <c r="BR1651" s="6"/>
      <c r="BS1651" s="6"/>
      <c r="BT1651" s="6"/>
      <c r="BU1651" s="6"/>
      <c r="BV1651" s="6"/>
      <c r="BW1651" s="6"/>
      <c r="BX1651" s="6"/>
      <c r="BY1651" s="6"/>
      <c r="BZ1651" s="6"/>
      <c r="CA1651" s="6"/>
      <c r="CB1651" s="6"/>
      <c r="CC1651" s="6"/>
    </row>
    <row r="1652" spans="2:81" x14ac:dyDescent="0.2">
      <c r="B1652" s="68"/>
      <c r="C1652" s="69"/>
      <c r="D1652" s="70"/>
      <c r="F1652" s="68"/>
      <c r="G1652" s="69"/>
      <c r="H1652" s="70"/>
      <c r="J1652" s="71"/>
      <c r="K1652" s="71"/>
      <c r="L1652" s="67"/>
      <c r="N1652" s="71"/>
      <c r="O1652" s="71"/>
      <c r="P1652" s="67"/>
      <c r="R1652" s="67"/>
      <c r="S1652" s="6"/>
      <c r="T1652" s="6"/>
      <c r="U1652" s="6"/>
      <c r="V1652" s="6"/>
      <c r="W1652" s="6"/>
      <c r="X1652" s="6"/>
      <c r="Y1652" s="6"/>
      <c r="Z1652" s="6"/>
      <c r="AA1652" s="6"/>
      <c r="AB1652" s="6"/>
      <c r="AC1652" s="6"/>
      <c r="AD1652" s="6"/>
      <c r="AE1652" s="6"/>
      <c r="AF1652" s="6"/>
      <c r="AG1652" s="6"/>
      <c r="AH1652" s="6"/>
      <c r="AI1652" s="6"/>
      <c r="AJ1652" s="6"/>
      <c r="AK1652" s="6"/>
      <c r="AL1652" s="6"/>
      <c r="AM1652" s="6"/>
      <c r="AN1652" s="6"/>
      <c r="AO1652" s="6"/>
      <c r="AP1652" s="6"/>
      <c r="AQ1652" s="6"/>
      <c r="AR1652" s="6"/>
      <c r="AS1652" s="6"/>
      <c r="AT1652" s="6"/>
      <c r="AU1652" s="6"/>
      <c r="AV1652" s="6"/>
      <c r="AW1652" s="6"/>
      <c r="AX1652" s="6"/>
      <c r="AY1652" s="6"/>
      <c r="AZ1652" s="6"/>
      <c r="BA1652" s="6"/>
      <c r="BB1652" s="6"/>
      <c r="BC1652" s="6"/>
      <c r="BD1652" s="6"/>
      <c r="BE1652" s="6"/>
      <c r="BF1652" s="6"/>
      <c r="BG1652" s="6"/>
      <c r="BH1652" s="6"/>
      <c r="BI1652" s="6"/>
      <c r="BJ1652" s="6"/>
      <c r="BK1652" s="6"/>
      <c r="BL1652" s="6"/>
      <c r="BM1652" s="6"/>
      <c r="BN1652" s="6"/>
      <c r="BO1652" s="6"/>
      <c r="BP1652" s="6"/>
      <c r="BQ1652" s="6"/>
      <c r="BR1652" s="6"/>
      <c r="BS1652" s="6"/>
      <c r="BT1652" s="6"/>
      <c r="BU1652" s="6"/>
      <c r="BV1652" s="6"/>
      <c r="BW1652" s="6"/>
      <c r="BX1652" s="6"/>
      <c r="BY1652" s="6"/>
      <c r="BZ1652" s="6"/>
      <c r="CA1652" s="6"/>
      <c r="CB1652" s="6"/>
      <c r="CC1652" s="6"/>
    </row>
    <row r="1653" spans="2:81" x14ac:dyDescent="0.2">
      <c r="B1653" s="68"/>
      <c r="C1653" s="69"/>
      <c r="D1653" s="70"/>
      <c r="F1653" s="68"/>
      <c r="G1653" s="69"/>
      <c r="H1653" s="70"/>
      <c r="J1653" s="71"/>
      <c r="K1653" s="71"/>
      <c r="L1653" s="67"/>
      <c r="N1653" s="71"/>
      <c r="O1653" s="71"/>
      <c r="P1653" s="67"/>
      <c r="R1653" s="67"/>
      <c r="S1653" s="6"/>
      <c r="T1653" s="6"/>
      <c r="U1653" s="6"/>
      <c r="V1653" s="6"/>
      <c r="W1653" s="6"/>
      <c r="X1653" s="6"/>
      <c r="Y1653" s="6"/>
      <c r="Z1653" s="6"/>
      <c r="AA1653" s="6"/>
      <c r="AB1653" s="6"/>
      <c r="AC1653" s="6"/>
      <c r="AD1653" s="6"/>
      <c r="AE1653" s="6"/>
      <c r="AF1653" s="6"/>
      <c r="AG1653" s="6"/>
      <c r="AH1653" s="6"/>
      <c r="AI1653" s="6"/>
      <c r="AJ1653" s="6"/>
      <c r="AK1653" s="6"/>
      <c r="AL1653" s="6"/>
      <c r="AM1653" s="6"/>
      <c r="AN1653" s="6"/>
      <c r="AO1653" s="6"/>
      <c r="AP1653" s="6"/>
      <c r="AQ1653" s="6"/>
      <c r="AR1653" s="6"/>
      <c r="AS1653" s="6"/>
      <c r="AT1653" s="6"/>
      <c r="AU1653" s="6"/>
      <c r="AV1653" s="6"/>
      <c r="AW1653" s="6"/>
      <c r="AX1653" s="6"/>
      <c r="AY1653" s="6"/>
      <c r="AZ1653" s="6"/>
      <c r="BA1653" s="6"/>
      <c r="BB1653" s="6"/>
      <c r="BC1653" s="6"/>
      <c r="BD1653" s="6"/>
      <c r="BE1653" s="6"/>
      <c r="BF1653" s="6"/>
      <c r="BG1653" s="6"/>
      <c r="BH1653" s="6"/>
      <c r="BI1653" s="6"/>
      <c r="BJ1653" s="6"/>
      <c r="BK1653" s="6"/>
      <c r="BL1653" s="6"/>
      <c r="BM1653" s="6"/>
      <c r="BN1653" s="6"/>
      <c r="BO1653" s="6"/>
      <c r="BP1653" s="6"/>
      <c r="BQ1653" s="6"/>
      <c r="BR1653" s="6"/>
      <c r="BS1653" s="6"/>
      <c r="BT1653" s="6"/>
      <c r="BU1653" s="6"/>
      <c r="BV1653" s="6"/>
      <c r="BW1653" s="6"/>
      <c r="BX1653" s="6"/>
      <c r="BY1653" s="6"/>
      <c r="BZ1653" s="6"/>
      <c r="CA1653" s="6"/>
      <c r="CB1653" s="6"/>
      <c r="CC1653" s="6"/>
    </row>
    <row r="1654" spans="2:81" x14ac:dyDescent="0.2">
      <c r="B1654" s="68"/>
      <c r="C1654" s="69"/>
      <c r="D1654" s="70"/>
      <c r="F1654" s="68"/>
      <c r="G1654" s="69"/>
      <c r="H1654" s="70"/>
      <c r="J1654" s="71"/>
      <c r="K1654" s="71"/>
      <c r="L1654" s="67"/>
      <c r="N1654" s="71"/>
      <c r="O1654" s="71"/>
      <c r="P1654" s="67"/>
      <c r="R1654" s="67"/>
      <c r="S1654" s="6"/>
      <c r="T1654" s="6"/>
      <c r="U1654" s="6"/>
      <c r="V1654" s="6"/>
      <c r="W1654" s="6"/>
      <c r="X1654" s="6"/>
      <c r="Y1654" s="6"/>
      <c r="Z1654" s="6"/>
      <c r="AA1654" s="6"/>
      <c r="AB1654" s="6"/>
      <c r="AC1654" s="6"/>
      <c r="AD1654" s="6"/>
      <c r="AE1654" s="6"/>
      <c r="AF1654" s="6"/>
      <c r="AG1654" s="6"/>
      <c r="AH1654" s="6"/>
      <c r="AI1654" s="6"/>
      <c r="AJ1654" s="6"/>
      <c r="AK1654" s="6"/>
      <c r="AL1654" s="6"/>
      <c r="AM1654" s="6"/>
      <c r="AN1654" s="6"/>
      <c r="AO1654" s="6"/>
      <c r="AP1654" s="6"/>
      <c r="AQ1654" s="6"/>
      <c r="AR1654" s="6"/>
      <c r="AS1654" s="6"/>
      <c r="AT1654" s="6"/>
      <c r="AU1654" s="6"/>
      <c r="AV1654" s="6"/>
      <c r="AW1654" s="6"/>
      <c r="AX1654" s="6"/>
      <c r="AY1654" s="6"/>
      <c r="AZ1654" s="6"/>
      <c r="BA1654" s="6"/>
      <c r="BB1654" s="6"/>
      <c r="BC1654" s="6"/>
      <c r="BD1654" s="6"/>
      <c r="BE1654" s="6"/>
      <c r="BF1654" s="6"/>
      <c r="BG1654" s="6"/>
      <c r="BH1654" s="6"/>
      <c r="BI1654" s="6"/>
      <c r="BJ1654" s="6"/>
      <c r="BK1654" s="6"/>
      <c r="BL1654" s="6"/>
      <c r="BM1654" s="6"/>
      <c r="BN1654" s="6"/>
      <c r="BO1654" s="6"/>
      <c r="BP1654" s="6"/>
      <c r="BQ1654" s="6"/>
      <c r="BR1654" s="6"/>
      <c r="BS1654" s="6"/>
      <c r="BT1654" s="6"/>
      <c r="BU1654" s="6"/>
      <c r="BV1654" s="6"/>
      <c r="BW1654" s="6"/>
      <c r="BX1654" s="6"/>
      <c r="BY1654" s="6"/>
      <c r="BZ1654" s="6"/>
      <c r="CA1654" s="6"/>
      <c r="CB1654" s="6"/>
      <c r="CC1654" s="6"/>
    </row>
    <row r="1655" spans="2:81" x14ac:dyDescent="0.2">
      <c r="B1655" s="68"/>
      <c r="C1655" s="69"/>
      <c r="D1655" s="70"/>
      <c r="F1655" s="68"/>
      <c r="G1655" s="69"/>
      <c r="H1655" s="70"/>
      <c r="J1655" s="71"/>
      <c r="K1655" s="71"/>
      <c r="L1655" s="67"/>
      <c r="N1655" s="71"/>
      <c r="O1655" s="71"/>
      <c r="P1655" s="67"/>
      <c r="R1655" s="67"/>
      <c r="S1655" s="6"/>
      <c r="T1655" s="6"/>
      <c r="U1655" s="6"/>
      <c r="V1655" s="6"/>
      <c r="W1655" s="6"/>
      <c r="X1655" s="6"/>
      <c r="Y1655" s="6"/>
      <c r="Z1655" s="6"/>
      <c r="AA1655" s="6"/>
      <c r="AB1655" s="6"/>
      <c r="AC1655" s="6"/>
      <c r="AD1655" s="6"/>
      <c r="AE1655" s="6"/>
      <c r="AF1655" s="6"/>
      <c r="AG1655" s="6"/>
      <c r="AH1655" s="6"/>
      <c r="AI1655" s="6"/>
      <c r="AJ1655" s="6"/>
      <c r="AK1655" s="6"/>
      <c r="AL1655" s="6"/>
      <c r="AM1655" s="6"/>
      <c r="AN1655" s="6"/>
      <c r="AO1655" s="6"/>
      <c r="AP1655" s="6"/>
      <c r="AQ1655" s="6"/>
      <c r="AR1655" s="6"/>
      <c r="AS1655" s="6"/>
      <c r="AT1655" s="6"/>
      <c r="AU1655" s="6"/>
      <c r="AV1655" s="6"/>
      <c r="AW1655" s="6"/>
      <c r="AX1655" s="6"/>
      <c r="AY1655" s="6"/>
      <c r="AZ1655" s="6"/>
      <c r="BA1655" s="6"/>
      <c r="BB1655" s="6"/>
      <c r="BC1655" s="6"/>
      <c r="BD1655" s="6"/>
      <c r="BE1655" s="6"/>
      <c r="BF1655" s="6"/>
      <c r="BG1655" s="6"/>
      <c r="BH1655" s="6"/>
      <c r="BI1655" s="6"/>
      <c r="BJ1655" s="6"/>
      <c r="BK1655" s="6"/>
      <c r="BL1655" s="6"/>
      <c r="BM1655" s="6"/>
      <c r="BN1655" s="6"/>
      <c r="BO1655" s="6"/>
      <c r="BP1655" s="6"/>
      <c r="BQ1655" s="6"/>
      <c r="BR1655" s="6"/>
      <c r="BS1655" s="6"/>
      <c r="BT1655" s="6"/>
      <c r="BU1655" s="6"/>
      <c r="BV1655" s="6"/>
      <c r="BW1655" s="6"/>
      <c r="BX1655" s="6"/>
      <c r="BY1655" s="6"/>
      <c r="BZ1655" s="6"/>
      <c r="CA1655" s="6"/>
      <c r="CB1655" s="6"/>
      <c r="CC1655" s="6"/>
    </row>
    <row r="1656" spans="2:81" x14ac:dyDescent="0.2">
      <c r="B1656" s="68"/>
      <c r="C1656" s="69"/>
      <c r="D1656" s="70"/>
      <c r="F1656" s="68"/>
      <c r="G1656" s="69"/>
      <c r="H1656" s="70"/>
      <c r="J1656" s="71"/>
      <c r="K1656" s="71"/>
      <c r="L1656" s="67"/>
      <c r="N1656" s="71"/>
      <c r="O1656" s="71"/>
      <c r="P1656" s="67"/>
      <c r="R1656" s="67"/>
      <c r="S1656" s="6"/>
      <c r="T1656" s="6"/>
      <c r="U1656" s="6"/>
      <c r="V1656" s="6"/>
      <c r="W1656" s="6"/>
      <c r="X1656" s="6"/>
      <c r="Y1656" s="6"/>
      <c r="Z1656" s="6"/>
      <c r="AA1656" s="6"/>
      <c r="AB1656" s="6"/>
      <c r="AC1656" s="6"/>
      <c r="AD1656" s="6"/>
      <c r="AE1656" s="6"/>
      <c r="AF1656" s="6"/>
      <c r="AG1656" s="6"/>
      <c r="AH1656" s="6"/>
      <c r="AI1656" s="6"/>
      <c r="AJ1656" s="6"/>
      <c r="AK1656" s="6"/>
      <c r="AL1656" s="6"/>
      <c r="AM1656" s="6"/>
      <c r="AN1656" s="6"/>
      <c r="AO1656" s="6"/>
      <c r="AP1656" s="6"/>
      <c r="AQ1656" s="6"/>
      <c r="AR1656" s="6"/>
      <c r="AS1656" s="6"/>
      <c r="AT1656" s="6"/>
      <c r="AU1656" s="6"/>
      <c r="AV1656" s="6"/>
      <c r="AW1656" s="6"/>
      <c r="AX1656" s="6"/>
      <c r="AY1656" s="6"/>
      <c r="AZ1656" s="6"/>
      <c r="BA1656" s="6"/>
      <c r="BB1656" s="6"/>
      <c r="BC1656" s="6"/>
      <c r="BD1656" s="6"/>
      <c r="BE1656" s="6"/>
      <c r="BF1656" s="6"/>
      <c r="BG1656" s="6"/>
      <c r="BH1656" s="6"/>
      <c r="BI1656" s="6"/>
      <c r="BJ1656" s="6"/>
      <c r="BK1656" s="6"/>
      <c r="BL1656" s="6"/>
      <c r="BM1656" s="6"/>
      <c r="BN1656" s="6"/>
      <c r="BO1656" s="6"/>
      <c r="BP1656" s="6"/>
      <c r="BQ1656" s="6"/>
      <c r="BR1656" s="6"/>
      <c r="BS1656" s="6"/>
      <c r="BT1656" s="6"/>
      <c r="BU1656" s="6"/>
      <c r="BV1656" s="6"/>
      <c r="BW1656" s="6"/>
      <c r="BX1656" s="6"/>
      <c r="BY1656" s="6"/>
      <c r="BZ1656" s="6"/>
      <c r="CA1656" s="6"/>
      <c r="CB1656" s="6"/>
      <c r="CC1656" s="6"/>
    </row>
    <row r="1657" spans="2:81" x14ac:dyDescent="0.2">
      <c r="B1657" s="68"/>
      <c r="C1657" s="69"/>
      <c r="D1657" s="70"/>
      <c r="F1657" s="68"/>
      <c r="G1657" s="69"/>
      <c r="H1657" s="70"/>
      <c r="J1657" s="71"/>
      <c r="K1657" s="71"/>
      <c r="L1657" s="67"/>
      <c r="N1657" s="71"/>
      <c r="O1657" s="71"/>
      <c r="P1657" s="67"/>
      <c r="R1657" s="67"/>
      <c r="S1657" s="6"/>
      <c r="T1657" s="6"/>
      <c r="U1657" s="6"/>
      <c r="V1657" s="6"/>
      <c r="W1657" s="6"/>
      <c r="X1657" s="6"/>
      <c r="Y1657" s="6"/>
      <c r="Z1657" s="6"/>
      <c r="AA1657" s="6"/>
      <c r="AB1657" s="6"/>
      <c r="AC1657" s="6"/>
      <c r="AD1657" s="6"/>
      <c r="AE1657" s="6"/>
      <c r="AF1657" s="6"/>
      <c r="AG1657" s="6"/>
      <c r="AH1657" s="6"/>
      <c r="AI1657" s="6"/>
      <c r="AJ1657" s="6"/>
      <c r="AK1657" s="6"/>
      <c r="AL1657" s="6"/>
      <c r="AM1657" s="6"/>
      <c r="AN1657" s="6"/>
      <c r="AO1657" s="6"/>
      <c r="AP1657" s="6"/>
      <c r="AQ1657" s="6"/>
      <c r="AR1657" s="6"/>
      <c r="AS1657" s="6"/>
      <c r="AT1657" s="6"/>
      <c r="AU1657" s="6"/>
      <c r="AV1657" s="6"/>
      <c r="AW1657" s="6"/>
      <c r="AX1657" s="6"/>
      <c r="AY1657" s="6"/>
      <c r="AZ1657" s="6"/>
      <c r="BA1657" s="6"/>
      <c r="BB1657" s="6"/>
      <c r="BC1657" s="6"/>
      <c r="BD1657" s="6"/>
      <c r="BE1657" s="6"/>
      <c r="BF1657" s="6"/>
      <c r="BG1657" s="6"/>
      <c r="BH1657" s="6"/>
      <c r="BI1657" s="6"/>
      <c r="BJ1657" s="6"/>
      <c r="BK1657" s="6"/>
      <c r="BL1657" s="6"/>
      <c r="BM1657" s="6"/>
      <c r="BN1657" s="6"/>
      <c r="BO1657" s="6"/>
      <c r="BP1657" s="6"/>
      <c r="BQ1657" s="6"/>
      <c r="BR1657" s="6"/>
      <c r="BS1657" s="6"/>
      <c r="BT1657" s="6"/>
      <c r="BU1657" s="6"/>
      <c r="BV1657" s="6"/>
      <c r="BW1657" s="6"/>
      <c r="BX1657" s="6"/>
      <c r="BY1657" s="6"/>
      <c r="BZ1657" s="6"/>
      <c r="CA1657" s="6"/>
      <c r="CB1657" s="6"/>
      <c r="CC1657" s="6"/>
    </row>
    <row r="1658" spans="2:81" x14ac:dyDescent="0.2">
      <c r="B1658" s="68"/>
      <c r="C1658" s="69"/>
      <c r="D1658" s="70"/>
      <c r="F1658" s="68"/>
      <c r="G1658" s="69"/>
      <c r="H1658" s="70"/>
      <c r="J1658" s="71"/>
      <c r="K1658" s="71"/>
      <c r="L1658" s="67"/>
      <c r="N1658" s="71"/>
      <c r="O1658" s="71"/>
      <c r="P1658" s="67"/>
      <c r="R1658" s="67"/>
      <c r="S1658" s="6"/>
      <c r="T1658" s="6"/>
      <c r="U1658" s="6"/>
      <c r="V1658" s="6"/>
      <c r="W1658" s="6"/>
      <c r="X1658" s="6"/>
      <c r="Y1658" s="6"/>
      <c r="Z1658" s="6"/>
      <c r="AA1658" s="6"/>
      <c r="AB1658" s="6"/>
      <c r="AC1658" s="6"/>
      <c r="AD1658" s="6"/>
      <c r="AE1658" s="6"/>
      <c r="AF1658" s="6"/>
      <c r="AG1658" s="6"/>
      <c r="AH1658" s="6"/>
      <c r="AI1658" s="6"/>
      <c r="AJ1658" s="6"/>
      <c r="AK1658" s="6"/>
      <c r="AL1658" s="6"/>
      <c r="AM1658" s="6"/>
      <c r="AN1658" s="6"/>
      <c r="AO1658" s="6"/>
      <c r="AP1658" s="6"/>
      <c r="AQ1658" s="6"/>
      <c r="AR1658" s="6"/>
      <c r="AS1658" s="6"/>
      <c r="AT1658" s="6"/>
      <c r="AU1658" s="6"/>
      <c r="AV1658" s="6"/>
      <c r="AW1658" s="6"/>
      <c r="AX1658" s="6"/>
      <c r="AY1658" s="6"/>
      <c r="AZ1658" s="6"/>
      <c r="BA1658" s="6"/>
      <c r="BB1658" s="6"/>
      <c r="BC1658" s="6"/>
      <c r="BD1658" s="6"/>
      <c r="BE1658" s="6"/>
      <c r="BF1658" s="6"/>
      <c r="BG1658" s="6"/>
      <c r="BH1658" s="6"/>
      <c r="BI1658" s="6"/>
      <c r="BJ1658" s="6"/>
      <c r="BK1658" s="6"/>
      <c r="BL1658" s="6"/>
      <c r="BM1658" s="6"/>
      <c r="BN1658" s="6"/>
      <c r="BO1658" s="6"/>
      <c r="BP1658" s="6"/>
      <c r="BQ1658" s="6"/>
      <c r="BR1658" s="6"/>
      <c r="BS1658" s="6"/>
      <c r="BT1658" s="6"/>
      <c r="BU1658" s="6"/>
      <c r="BV1658" s="6"/>
      <c r="BW1658" s="6"/>
      <c r="BX1658" s="6"/>
      <c r="BY1658" s="6"/>
      <c r="BZ1658" s="6"/>
      <c r="CA1658" s="6"/>
      <c r="CB1658" s="6"/>
      <c r="CC1658" s="6"/>
    </row>
    <row r="1659" spans="2:81" x14ac:dyDescent="0.2">
      <c r="B1659" s="68"/>
      <c r="C1659" s="69"/>
      <c r="D1659" s="70"/>
      <c r="F1659" s="68"/>
      <c r="G1659" s="69"/>
      <c r="H1659" s="70"/>
      <c r="J1659" s="71"/>
      <c r="K1659" s="71"/>
      <c r="L1659" s="67"/>
      <c r="N1659" s="71"/>
      <c r="O1659" s="71"/>
      <c r="P1659" s="67"/>
      <c r="R1659" s="67"/>
      <c r="S1659" s="6"/>
      <c r="T1659" s="6"/>
      <c r="U1659" s="6"/>
      <c r="V1659" s="6"/>
      <c r="W1659" s="6"/>
      <c r="X1659" s="6"/>
      <c r="Y1659" s="6"/>
      <c r="Z1659" s="6"/>
      <c r="AA1659" s="6"/>
      <c r="AB1659" s="6"/>
      <c r="AC1659" s="6"/>
      <c r="AD1659" s="6"/>
      <c r="AE1659" s="6"/>
      <c r="AF1659" s="6"/>
      <c r="AG1659" s="6"/>
      <c r="AH1659" s="6"/>
      <c r="AI1659" s="6"/>
      <c r="AJ1659" s="6"/>
      <c r="AK1659" s="6"/>
      <c r="AL1659" s="6"/>
      <c r="AM1659" s="6"/>
      <c r="AN1659" s="6"/>
      <c r="AO1659" s="6"/>
      <c r="AP1659" s="6"/>
      <c r="AQ1659" s="6"/>
      <c r="AR1659" s="6"/>
      <c r="AS1659" s="6"/>
      <c r="AT1659" s="6"/>
      <c r="AU1659" s="6"/>
      <c r="AV1659" s="6"/>
      <c r="AW1659" s="6"/>
      <c r="AX1659" s="6"/>
      <c r="AY1659" s="6"/>
      <c r="AZ1659" s="6"/>
      <c r="BA1659" s="6"/>
      <c r="BB1659" s="6"/>
      <c r="BC1659" s="6"/>
      <c r="BD1659" s="6"/>
      <c r="BE1659" s="6"/>
      <c r="BF1659" s="6"/>
      <c r="BG1659" s="6"/>
      <c r="BH1659" s="6"/>
      <c r="BI1659" s="6"/>
      <c r="BJ1659" s="6"/>
      <c r="BK1659" s="6"/>
      <c r="BL1659" s="6"/>
      <c r="BM1659" s="6"/>
      <c r="BN1659" s="6"/>
      <c r="BO1659" s="6"/>
      <c r="BP1659" s="6"/>
      <c r="BQ1659" s="6"/>
      <c r="BR1659" s="6"/>
      <c r="BS1659" s="6"/>
      <c r="BT1659" s="6"/>
      <c r="BU1659" s="6"/>
      <c r="BV1659" s="6"/>
      <c r="BW1659" s="6"/>
      <c r="BX1659" s="6"/>
      <c r="BY1659" s="6"/>
      <c r="BZ1659" s="6"/>
      <c r="CA1659" s="6"/>
      <c r="CB1659" s="6"/>
      <c r="CC1659" s="6"/>
    </row>
    <row r="1660" spans="2:81" x14ac:dyDescent="0.2">
      <c r="B1660" s="68"/>
      <c r="C1660" s="69"/>
      <c r="D1660" s="70"/>
      <c r="F1660" s="68"/>
      <c r="G1660" s="69"/>
      <c r="H1660" s="70"/>
      <c r="J1660" s="71"/>
      <c r="K1660" s="71"/>
      <c r="L1660" s="67"/>
      <c r="N1660" s="71"/>
      <c r="O1660" s="71"/>
      <c r="P1660" s="67"/>
      <c r="R1660" s="67"/>
      <c r="S1660" s="6"/>
      <c r="T1660" s="6"/>
      <c r="U1660" s="6"/>
      <c r="V1660" s="6"/>
      <c r="W1660" s="6"/>
      <c r="X1660" s="6"/>
      <c r="Y1660" s="6"/>
      <c r="Z1660" s="6"/>
      <c r="AA1660" s="6"/>
      <c r="AB1660" s="6"/>
      <c r="AC1660" s="6"/>
      <c r="AD1660" s="6"/>
      <c r="AE1660" s="6"/>
      <c r="AF1660" s="6"/>
      <c r="AG1660" s="6"/>
      <c r="AH1660" s="6"/>
      <c r="AI1660" s="6"/>
      <c r="AJ1660" s="6"/>
      <c r="AK1660" s="6"/>
      <c r="AL1660" s="6"/>
      <c r="AM1660" s="6"/>
      <c r="AN1660" s="6"/>
      <c r="AO1660" s="6"/>
      <c r="AP1660" s="6"/>
      <c r="AQ1660" s="6"/>
      <c r="AR1660" s="6"/>
      <c r="AS1660" s="6"/>
      <c r="AT1660" s="6"/>
      <c r="AU1660" s="6"/>
      <c r="AV1660" s="6"/>
      <c r="AW1660" s="6"/>
      <c r="AX1660" s="6"/>
      <c r="AY1660" s="6"/>
      <c r="AZ1660" s="6"/>
      <c r="BA1660" s="6"/>
      <c r="BB1660" s="6"/>
      <c r="BC1660" s="6"/>
      <c r="BD1660" s="6"/>
      <c r="BE1660" s="6"/>
      <c r="BF1660" s="6"/>
      <c r="BG1660" s="6"/>
      <c r="BH1660" s="6"/>
      <c r="BI1660" s="6"/>
      <c r="BJ1660" s="6"/>
      <c r="BK1660" s="6"/>
      <c r="BL1660" s="6"/>
      <c r="BM1660" s="6"/>
      <c r="BN1660" s="6"/>
      <c r="BO1660" s="6"/>
      <c r="BP1660" s="6"/>
      <c r="BQ1660" s="6"/>
      <c r="BR1660" s="6"/>
      <c r="BS1660" s="6"/>
      <c r="BT1660" s="6"/>
      <c r="BU1660" s="6"/>
      <c r="BV1660" s="6"/>
      <c r="BW1660" s="6"/>
      <c r="BX1660" s="6"/>
      <c r="BY1660" s="6"/>
      <c r="BZ1660" s="6"/>
      <c r="CA1660" s="6"/>
      <c r="CB1660" s="6"/>
      <c r="CC1660" s="6"/>
    </row>
    <row r="1661" spans="2:81" x14ac:dyDescent="0.2">
      <c r="B1661" s="68"/>
      <c r="C1661" s="69"/>
      <c r="D1661" s="70"/>
      <c r="F1661" s="68"/>
      <c r="G1661" s="69"/>
      <c r="H1661" s="70"/>
      <c r="J1661" s="71"/>
      <c r="K1661" s="71"/>
      <c r="L1661" s="67"/>
      <c r="N1661" s="71"/>
      <c r="O1661" s="71"/>
      <c r="P1661" s="67"/>
      <c r="R1661" s="67"/>
      <c r="S1661" s="6"/>
      <c r="T1661" s="6"/>
      <c r="U1661" s="6"/>
      <c r="V1661" s="6"/>
      <c r="W1661" s="6"/>
      <c r="X1661" s="6"/>
      <c r="Y1661" s="6"/>
      <c r="Z1661" s="6"/>
      <c r="AA1661" s="6"/>
      <c r="AB1661" s="6"/>
      <c r="AC1661" s="6"/>
      <c r="AD1661" s="6"/>
      <c r="AE1661" s="6"/>
      <c r="AF1661" s="6"/>
      <c r="AG1661" s="6"/>
      <c r="AH1661" s="6"/>
      <c r="AI1661" s="6"/>
      <c r="AJ1661" s="6"/>
      <c r="AK1661" s="6"/>
      <c r="AL1661" s="6"/>
      <c r="AM1661" s="6"/>
      <c r="AN1661" s="6"/>
      <c r="AO1661" s="6"/>
      <c r="AP1661" s="6"/>
      <c r="AQ1661" s="6"/>
      <c r="AR1661" s="6"/>
      <c r="AS1661" s="6"/>
      <c r="AT1661" s="6"/>
      <c r="AU1661" s="6"/>
      <c r="AV1661" s="6"/>
      <c r="AW1661" s="6"/>
      <c r="AX1661" s="6"/>
      <c r="AY1661" s="6"/>
      <c r="AZ1661" s="6"/>
      <c r="BA1661" s="6"/>
      <c r="BB1661" s="6"/>
      <c r="BC1661" s="6"/>
      <c r="BD1661" s="6"/>
      <c r="BE1661" s="6"/>
      <c r="BF1661" s="6"/>
      <c r="BG1661" s="6"/>
      <c r="BH1661" s="6"/>
      <c r="BI1661" s="6"/>
      <c r="BJ1661" s="6"/>
      <c r="BK1661" s="6"/>
      <c r="BL1661" s="6"/>
      <c r="BM1661" s="6"/>
      <c r="BN1661" s="6"/>
      <c r="BO1661" s="6"/>
      <c r="BP1661" s="6"/>
      <c r="BQ1661" s="6"/>
      <c r="BR1661" s="6"/>
      <c r="BS1661" s="6"/>
      <c r="BT1661" s="6"/>
      <c r="BU1661" s="6"/>
      <c r="BV1661" s="6"/>
      <c r="BW1661" s="6"/>
      <c r="BX1661" s="6"/>
      <c r="BY1661" s="6"/>
      <c r="BZ1661" s="6"/>
      <c r="CA1661" s="6"/>
      <c r="CB1661" s="6"/>
      <c r="CC1661" s="6"/>
    </row>
    <row r="1662" spans="2:81" x14ac:dyDescent="0.2">
      <c r="B1662" s="68"/>
      <c r="C1662" s="69"/>
      <c r="D1662" s="70"/>
      <c r="F1662" s="68"/>
      <c r="G1662" s="69"/>
      <c r="H1662" s="70"/>
      <c r="J1662" s="71"/>
      <c r="K1662" s="71"/>
      <c r="L1662" s="67"/>
      <c r="N1662" s="71"/>
      <c r="O1662" s="71"/>
      <c r="P1662" s="67"/>
      <c r="R1662" s="67"/>
      <c r="S1662" s="6"/>
      <c r="T1662" s="6"/>
      <c r="U1662" s="6"/>
      <c r="V1662" s="6"/>
      <c r="W1662" s="6"/>
      <c r="X1662" s="6"/>
      <c r="Y1662" s="6"/>
      <c r="Z1662" s="6"/>
      <c r="AA1662" s="6"/>
      <c r="AB1662" s="6"/>
      <c r="AC1662" s="6"/>
      <c r="AD1662" s="6"/>
      <c r="AE1662" s="6"/>
      <c r="AF1662" s="6"/>
      <c r="AG1662" s="6"/>
      <c r="AH1662" s="6"/>
      <c r="AI1662" s="6"/>
      <c r="AJ1662" s="6"/>
      <c r="AK1662" s="6"/>
      <c r="AL1662" s="6"/>
      <c r="AM1662" s="6"/>
      <c r="AN1662" s="6"/>
      <c r="AO1662" s="6"/>
      <c r="AP1662" s="6"/>
      <c r="AQ1662" s="6"/>
      <c r="AR1662" s="6"/>
      <c r="AS1662" s="6"/>
      <c r="AT1662" s="6"/>
      <c r="AU1662" s="6"/>
      <c r="AV1662" s="6"/>
      <c r="AW1662" s="6"/>
      <c r="AX1662" s="6"/>
      <c r="AY1662" s="6"/>
      <c r="AZ1662" s="6"/>
      <c r="BA1662" s="6"/>
      <c r="BB1662" s="6"/>
      <c r="BC1662" s="6"/>
      <c r="BD1662" s="6"/>
      <c r="BE1662" s="6"/>
      <c r="BF1662" s="6"/>
      <c r="BG1662" s="6"/>
      <c r="BH1662" s="6"/>
      <c r="BI1662" s="6"/>
      <c r="BJ1662" s="6"/>
      <c r="BK1662" s="6"/>
      <c r="BL1662" s="6"/>
      <c r="BM1662" s="6"/>
      <c r="BN1662" s="6"/>
      <c r="BO1662" s="6"/>
      <c r="BP1662" s="6"/>
      <c r="BQ1662" s="6"/>
      <c r="BR1662" s="6"/>
      <c r="BS1662" s="6"/>
      <c r="BT1662" s="6"/>
      <c r="BU1662" s="6"/>
      <c r="BV1662" s="6"/>
      <c r="BW1662" s="6"/>
      <c r="BX1662" s="6"/>
      <c r="BY1662" s="6"/>
      <c r="BZ1662" s="6"/>
      <c r="CA1662" s="6"/>
      <c r="CB1662" s="6"/>
      <c r="CC1662" s="6"/>
    </row>
    <row r="1663" spans="2:81" x14ac:dyDescent="0.2">
      <c r="B1663" s="68"/>
      <c r="C1663" s="69"/>
      <c r="D1663" s="70"/>
      <c r="F1663" s="68"/>
      <c r="G1663" s="69"/>
      <c r="H1663" s="70"/>
      <c r="J1663" s="71"/>
      <c r="K1663" s="71"/>
      <c r="L1663" s="67"/>
      <c r="N1663" s="71"/>
      <c r="O1663" s="71"/>
      <c r="P1663" s="67"/>
      <c r="R1663" s="67"/>
      <c r="S1663" s="6"/>
      <c r="T1663" s="6"/>
      <c r="U1663" s="6"/>
      <c r="V1663" s="6"/>
      <c r="W1663" s="6"/>
      <c r="X1663" s="6"/>
      <c r="Y1663" s="6"/>
      <c r="Z1663" s="6"/>
      <c r="AA1663" s="6"/>
      <c r="AB1663" s="6"/>
      <c r="AC1663" s="6"/>
      <c r="AD1663" s="6"/>
      <c r="AE1663" s="6"/>
      <c r="AF1663" s="6"/>
      <c r="AG1663" s="6"/>
      <c r="AH1663" s="6"/>
      <c r="AI1663" s="6"/>
      <c r="AJ1663" s="6"/>
      <c r="AK1663" s="6"/>
      <c r="AL1663" s="6"/>
      <c r="AM1663" s="6"/>
      <c r="AN1663" s="6"/>
      <c r="AO1663" s="6"/>
      <c r="AP1663" s="6"/>
      <c r="AQ1663" s="6"/>
      <c r="AR1663" s="6"/>
      <c r="AS1663" s="6"/>
      <c r="AT1663" s="6"/>
      <c r="AU1663" s="6"/>
      <c r="AV1663" s="6"/>
      <c r="AW1663" s="6"/>
      <c r="AX1663" s="6"/>
      <c r="AY1663" s="6"/>
      <c r="AZ1663" s="6"/>
      <c r="BA1663" s="6"/>
      <c r="BB1663" s="6"/>
      <c r="BC1663" s="6"/>
      <c r="BD1663" s="6"/>
      <c r="BE1663" s="6"/>
      <c r="BF1663" s="6"/>
      <c r="BG1663" s="6"/>
      <c r="BH1663" s="6"/>
      <c r="BI1663" s="6"/>
      <c r="BJ1663" s="6"/>
      <c r="BK1663" s="6"/>
      <c r="BL1663" s="6"/>
      <c r="BM1663" s="6"/>
      <c r="BN1663" s="6"/>
      <c r="BO1663" s="6"/>
      <c r="BP1663" s="6"/>
      <c r="BQ1663" s="6"/>
      <c r="BR1663" s="6"/>
      <c r="BS1663" s="6"/>
      <c r="BT1663" s="6"/>
      <c r="BU1663" s="6"/>
      <c r="BV1663" s="6"/>
      <c r="BW1663" s="6"/>
      <c r="BX1663" s="6"/>
      <c r="BY1663" s="6"/>
      <c r="BZ1663" s="6"/>
      <c r="CA1663" s="6"/>
      <c r="CB1663" s="6"/>
      <c r="CC1663" s="6"/>
    </row>
    <row r="1664" spans="2:81" x14ac:dyDescent="0.2">
      <c r="B1664" s="68"/>
      <c r="C1664" s="69"/>
      <c r="D1664" s="70"/>
      <c r="F1664" s="68"/>
      <c r="G1664" s="69"/>
      <c r="H1664" s="70"/>
      <c r="J1664" s="71"/>
      <c r="K1664" s="71"/>
      <c r="L1664" s="67"/>
      <c r="N1664" s="71"/>
      <c r="O1664" s="71"/>
      <c r="P1664" s="67"/>
      <c r="R1664" s="67"/>
      <c r="S1664" s="6"/>
      <c r="T1664" s="6"/>
      <c r="U1664" s="6"/>
      <c r="V1664" s="6"/>
      <c r="W1664" s="6"/>
      <c r="X1664" s="6"/>
      <c r="Y1664" s="6"/>
      <c r="Z1664" s="6"/>
      <c r="AA1664" s="6"/>
      <c r="AB1664" s="6"/>
      <c r="AC1664" s="6"/>
      <c r="AD1664" s="6"/>
      <c r="AE1664" s="6"/>
      <c r="AF1664" s="6"/>
      <c r="AG1664" s="6"/>
      <c r="AH1664" s="6"/>
      <c r="AI1664" s="6"/>
      <c r="AJ1664" s="6"/>
      <c r="AK1664" s="6"/>
      <c r="AL1664" s="6"/>
      <c r="AM1664" s="6"/>
      <c r="AN1664" s="6"/>
      <c r="AO1664" s="6"/>
      <c r="AP1664" s="6"/>
      <c r="AQ1664" s="6"/>
      <c r="AR1664" s="6"/>
      <c r="AS1664" s="6"/>
      <c r="AT1664" s="6"/>
      <c r="AU1664" s="6"/>
      <c r="AV1664" s="6"/>
      <c r="AW1664" s="6"/>
      <c r="AX1664" s="6"/>
      <c r="AY1664" s="6"/>
      <c r="AZ1664" s="6"/>
      <c r="BA1664" s="6"/>
      <c r="BB1664" s="6"/>
      <c r="BC1664" s="6"/>
      <c r="BD1664" s="6"/>
      <c r="BE1664" s="6"/>
      <c r="BF1664" s="6"/>
      <c r="BG1664" s="6"/>
      <c r="BH1664" s="6"/>
      <c r="BI1664" s="6"/>
      <c r="BJ1664" s="6"/>
      <c r="BK1664" s="6"/>
      <c r="BL1664" s="6"/>
      <c r="BM1664" s="6"/>
      <c r="BN1664" s="6"/>
      <c r="BO1664" s="6"/>
      <c r="BP1664" s="6"/>
      <c r="BQ1664" s="6"/>
      <c r="BR1664" s="6"/>
      <c r="BS1664" s="6"/>
      <c r="BT1664" s="6"/>
      <c r="BU1664" s="6"/>
      <c r="BV1664" s="6"/>
      <c r="BW1664" s="6"/>
      <c r="BX1664" s="6"/>
      <c r="BY1664" s="6"/>
      <c r="BZ1664" s="6"/>
      <c r="CA1664" s="6"/>
      <c r="CB1664" s="6"/>
      <c r="CC1664" s="6"/>
    </row>
    <row r="1665" spans="2:81" x14ac:dyDescent="0.2">
      <c r="B1665" s="68"/>
      <c r="C1665" s="69"/>
      <c r="D1665" s="70"/>
      <c r="F1665" s="68"/>
      <c r="G1665" s="69"/>
      <c r="H1665" s="70"/>
      <c r="J1665" s="71"/>
      <c r="K1665" s="71"/>
      <c r="L1665" s="67"/>
      <c r="N1665" s="71"/>
      <c r="O1665" s="71"/>
      <c r="P1665" s="67"/>
      <c r="R1665" s="67"/>
      <c r="S1665" s="6"/>
      <c r="T1665" s="6"/>
      <c r="U1665" s="6"/>
      <c r="V1665" s="6"/>
      <c r="W1665" s="6"/>
      <c r="X1665" s="6"/>
      <c r="Y1665" s="6"/>
      <c r="Z1665" s="6"/>
      <c r="AA1665" s="6"/>
      <c r="AB1665" s="6"/>
      <c r="AC1665" s="6"/>
      <c r="AD1665" s="6"/>
      <c r="AE1665" s="6"/>
      <c r="AF1665" s="6"/>
      <c r="AG1665" s="6"/>
      <c r="AH1665" s="6"/>
      <c r="AI1665" s="6"/>
      <c r="AJ1665" s="6"/>
      <c r="AK1665" s="6"/>
      <c r="AL1665" s="6"/>
      <c r="AM1665" s="6"/>
      <c r="AN1665" s="6"/>
      <c r="AO1665" s="6"/>
      <c r="AP1665" s="6"/>
      <c r="AQ1665" s="6"/>
      <c r="AR1665" s="6"/>
      <c r="AS1665" s="6"/>
      <c r="AT1665" s="6"/>
      <c r="AU1665" s="6"/>
      <c r="AV1665" s="6"/>
      <c r="AW1665" s="6"/>
      <c r="AX1665" s="6"/>
      <c r="AY1665" s="6"/>
      <c r="AZ1665" s="6"/>
      <c r="BA1665" s="6"/>
      <c r="BB1665" s="6"/>
      <c r="BC1665" s="6"/>
      <c r="BD1665" s="6"/>
      <c r="BE1665" s="6"/>
      <c r="BF1665" s="6"/>
      <c r="BG1665" s="6"/>
      <c r="BH1665" s="6"/>
      <c r="BI1665" s="6"/>
      <c r="BJ1665" s="6"/>
      <c r="BK1665" s="6"/>
      <c r="BL1665" s="6"/>
      <c r="BM1665" s="6"/>
      <c r="BN1665" s="6"/>
      <c r="BO1665" s="6"/>
      <c r="BP1665" s="6"/>
      <c r="BQ1665" s="6"/>
      <c r="BR1665" s="6"/>
      <c r="BS1665" s="6"/>
      <c r="BT1665" s="6"/>
      <c r="BU1665" s="6"/>
      <c r="BV1665" s="6"/>
      <c r="BW1665" s="6"/>
      <c r="BX1665" s="6"/>
      <c r="BY1665" s="6"/>
      <c r="BZ1665" s="6"/>
      <c r="CA1665" s="6"/>
      <c r="CB1665" s="6"/>
      <c r="CC1665" s="6"/>
    </row>
    <row r="1666" spans="2:81" x14ac:dyDescent="0.2">
      <c r="B1666" s="68"/>
      <c r="C1666" s="69"/>
      <c r="D1666" s="70"/>
      <c r="F1666" s="68"/>
      <c r="G1666" s="69"/>
      <c r="H1666" s="70"/>
      <c r="J1666" s="71"/>
      <c r="K1666" s="71"/>
      <c r="L1666" s="67"/>
      <c r="N1666" s="71"/>
      <c r="O1666" s="71"/>
      <c r="P1666" s="67"/>
      <c r="R1666" s="67"/>
      <c r="S1666" s="6"/>
      <c r="T1666" s="6"/>
      <c r="U1666" s="6"/>
      <c r="V1666" s="6"/>
      <c r="W1666" s="6"/>
      <c r="X1666" s="6"/>
      <c r="Y1666" s="6"/>
      <c r="Z1666" s="6"/>
      <c r="AA1666" s="6"/>
      <c r="AB1666" s="6"/>
      <c r="AC1666" s="6"/>
      <c r="AD1666" s="6"/>
      <c r="AE1666" s="6"/>
      <c r="AF1666" s="6"/>
      <c r="AG1666" s="6"/>
      <c r="AH1666" s="6"/>
      <c r="AI1666" s="6"/>
      <c r="AJ1666" s="6"/>
      <c r="AK1666" s="6"/>
      <c r="AL1666" s="6"/>
      <c r="AM1666" s="6"/>
      <c r="AN1666" s="6"/>
      <c r="AO1666" s="6"/>
      <c r="AP1666" s="6"/>
      <c r="AQ1666" s="6"/>
      <c r="AR1666" s="6"/>
      <c r="AS1666" s="6"/>
      <c r="AT1666" s="6"/>
      <c r="AU1666" s="6"/>
      <c r="AV1666" s="6"/>
      <c r="AW1666" s="6"/>
      <c r="AX1666" s="6"/>
      <c r="AY1666" s="6"/>
      <c r="AZ1666" s="6"/>
      <c r="BA1666" s="6"/>
      <c r="BB1666" s="6"/>
      <c r="BC1666" s="6"/>
      <c r="BD1666" s="6"/>
      <c r="BE1666" s="6"/>
      <c r="BF1666" s="6"/>
      <c r="BG1666" s="6"/>
      <c r="BH1666" s="6"/>
      <c r="BI1666" s="6"/>
      <c r="BJ1666" s="6"/>
      <c r="BK1666" s="6"/>
      <c r="BL1666" s="6"/>
      <c r="BM1666" s="6"/>
      <c r="BN1666" s="6"/>
      <c r="BO1666" s="6"/>
      <c r="BP1666" s="6"/>
      <c r="BQ1666" s="6"/>
      <c r="BR1666" s="6"/>
      <c r="BS1666" s="6"/>
      <c r="BT1666" s="6"/>
      <c r="BU1666" s="6"/>
      <c r="BV1666" s="6"/>
      <c r="BW1666" s="6"/>
      <c r="BX1666" s="6"/>
      <c r="BY1666" s="6"/>
      <c r="BZ1666" s="6"/>
      <c r="CA1666" s="6"/>
      <c r="CB1666" s="6"/>
      <c r="CC1666" s="6"/>
    </row>
    <row r="1667" spans="2:81" x14ac:dyDescent="0.2">
      <c r="B1667" s="68"/>
      <c r="C1667" s="69"/>
      <c r="D1667" s="70"/>
      <c r="F1667" s="68"/>
      <c r="G1667" s="69"/>
      <c r="H1667" s="70"/>
      <c r="J1667" s="71"/>
      <c r="K1667" s="71"/>
      <c r="L1667" s="67"/>
      <c r="N1667" s="71"/>
      <c r="O1667" s="71"/>
      <c r="P1667" s="67"/>
      <c r="R1667" s="67"/>
      <c r="S1667" s="6"/>
      <c r="T1667" s="6"/>
      <c r="U1667" s="6"/>
      <c r="V1667" s="6"/>
      <c r="W1667" s="6"/>
      <c r="X1667" s="6"/>
      <c r="Y1667" s="6"/>
      <c r="Z1667" s="6"/>
      <c r="AA1667" s="6"/>
      <c r="AB1667" s="6"/>
      <c r="AC1667" s="6"/>
      <c r="AD1667" s="6"/>
      <c r="AE1667" s="6"/>
      <c r="AF1667" s="6"/>
      <c r="AG1667" s="6"/>
      <c r="AH1667" s="6"/>
      <c r="AI1667" s="6"/>
      <c r="AJ1667" s="6"/>
      <c r="AK1667" s="6"/>
      <c r="AL1667" s="6"/>
      <c r="AM1667" s="6"/>
      <c r="AN1667" s="6"/>
      <c r="AO1667" s="6"/>
      <c r="AP1667" s="6"/>
      <c r="AQ1667" s="6"/>
      <c r="AR1667" s="6"/>
      <c r="AS1667" s="6"/>
      <c r="AT1667" s="6"/>
      <c r="AU1667" s="6"/>
      <c r="AV1667" s="6"/>
      <c r="AW1667" s="6"/>
      <c r="AX1667" s="6"/>
      <c r="AY1667" s="6"/>
      <c r="AZ1667" s="6"/>
      <c r="BA1667" s="6"/>
      <c r="BB1667" s="6"/>
      <c r="BC1667" s="6"/>
      <c r="BD1667" s="6"/>
      <c r="BE1667" s="6"/>
      <c r="BF1667" s="6"/>
      <c r="BG1667" s="6"/>
      <c r="BH1667" s="6"/>
      <c r="BI1667" s="6"/>
      <c r="BJ1667" s="6"/>
      <c r="BK1667" s="6"/>
      <c r="BL1667" s="6"/>
      <c r="BM1667" s="6"/>
      <c r="BN1667" s="6"/>
      <c r="BO1667" s="6"/>
      <c r="BP1667" s="6"/>
      <c r="BQ1667" s="6"/>
      <c r="BR1667" s="6"/>
      <c r="BS1667" s="6"/>
      <c r="BT1667" s="6"/>
      <c r="BU1667" s="6"/>
      <c r="BV1667" s="6"/>
      <c r="BW1667" s="6"/>
      <c r="BX1667" s="6"/>
      <c r="BY1667" s="6"/>
      <c r="BZ1667" s="6"/>
      <c r="CA1667" s="6"/>
      <c r="CB1667" s="6"/>
      <c r="CC1667" s="6"/>
    </row>
    <row r="1668" spans="2:81" x14ac:dyDescent="0.2">
      <c r="B1668" s="68"/>
      <c r="C1668" s="69"/>
      <c r="D1668" s="70"/>
      <c r="F1668" s="68"/>
      <c r="G1668" s="69"/>
      <c r="H1668" s="70"/>
      <c r="J1668" s="71"/>
      <c r="K1668" s="71"/>
      <c r="L1668" s="67"/>
      <c r="N1668" s="71"/>
      <c r="O1668" s="71"/>
      <c r="P1668" s="67"/>
      <c r="R1668" s="67"/>
      <c r="S1668" s="6"/>
      <c r="T1668" s="6"/>
      <c r="U1668" s="6"/>
      <c r="V1668" s="6"/>
      <c r="W1668" s="6"/>
      <c r="X1668" s="6"/>
      <c r="Y1668" s="6"/>
      <c r="Z1668" s="6"/>
      <c r="AA1668" s="6"/>
      <c r="AB1668" s="6"/>
      <c r="AC1668" s="6"/>
      <c r="AD1668" s="6"/>
      <c r="AE1668" s="6"/>
      <c r="AF1668" s="6"/>
      <c r="AG1668" s="6"/>
      <c r="AH1668" s="6"/>
      <c r="AI1668" s="6"/>
      <c r="AJ1668" s="6"/>
      <c r="AK1668" s="6"/>
      <c r="AL1668" s="6"/>
      <c r="AM1668" s="6"/>
      <c r="AN1668" s="6"/>
      <c r="AO1668" s="6"/>
      <c r="AP1668" s="6"/>
      <c r="AQ1668" s="6"/>
      <c r="AR1668" s="6"/>
      <c r="AS1668" s="6"/>
      <c r="AT1668" s="6"/>
      <c r="AU1668" s="6"/>
      <c r="AV1668" s="6"/>
      <c r="AW1668" s="6"/>
      <c r="AX1668" s="6"/>
      <c r="AY1668" s="6"/>
      <c r="AZ1668" s="6"/>
      <c r="BA1668" s="6"/>
      <c r="BB1668" s="6"/>
      <c r="BC1668" s="6"/>
      <c r="BD1668" s="6"/>
      <c r="BE1668" s="6"/>
      <c r="BF1668" s="6"/>
      <c r="BG1668" s="6"/>
      <c r="BH1668" s="6"/>
      <c r="BI1668" s="6"/>
      <c r="BJ1668" s="6"/>
      <c r="BK1668" s="6"/>
      <c r="BL1668" s="6"/>
      <c r="BM1668" s="6"/>
      <c r="BN1668" s="6"/>
      <c r="BO1668" s="6"/>
      <c r="BP1668" s="6"/>
      <c r="BQ1668" s="6"/>
      <c r="BR1668" s="6"/>
      <c r="BS1668" s="6"/>
      <c r="BT1668" s="6"/>
      <c r="BU1668" s="6"/>
      <c r="BV1668" s="6"/>
      <c r="BW1668" s="6"/>
      <c r="BX1668" s="6"/>
      <c r="BY1668" s="6"/>
      <c r="BZ1668" s="6"/>
      <c r="CA1668" s="6"/>
      <c r="CB1668" s="6"/>
      <c r="CC1668" s="6"/>
    </row>
    <row r="1669" spans="2:81" x14ac:dyDescent="0.2">
      <c r="B1669" s="68"/>
      <c r="C1669" s="69"/>
      <c r="D1669" s="70"/>
      <c r="F1669" s="68"/>
      <c r="G1669" s="69"/>
      <c r="H1669" s="70"/>
      <c r="J1669" s="71"/>
      <c r="K1669" s="71"/>
      <c r="L1669" s="67"/>
      <c r="N1669" s="71"/>
      <c r="O1669" s="71"/>
      <c r="P1669" s="67"/>
      <c r="R1669" s="67"/>
      <c r="S1669" s="6"/>
      <c r="T1669" s="6"/>
      <c r="U1669" s="6"/>
      <c r="V1669" s="6"/>
      <c r="W1669" s="6"/>
      <c r="X1669" s="6"/>
      <c r="Y1669" s="6"/>
      <c r="Z1669" s="6"/>
      <c r="AA1669" s="6"/>
      <c r="AB1669" s="6"/>
      <c r="AC1669" s="6"/>
      <c r="AD1669" s="6"/>
      <c r="AE1669" s="6"/>
      <c r="AF1669" s="6"/>
      <c r="AG1669" s="6"/>
      <c r="AH1669" s="6"/>
      <c r="AI1669" s="6"/>
      <c r="AJ1669" s="6"/>
      <c r="AK1669" s="6"/>
      <c r="AL1669" s="6"/>
      <c r="AM1669" s="6"/>
      <c r="AN1669" s="6"/>
      <c r="AO1669" s="6"/>
      <c r="AP1669" s="6"/>
      <c r="AQ1669" s="6"/>
      <c r="AR1669" s="6"/>
      <c r="AS1669" s="6"/>
      <c r="AT1669" s="6"/>
      <c r="AU1669" s="6"/>
      <c r="AV1669" s="6"/>
      <c r="AW1669" s="6"/>
      <c r="AX1669" s="6"/>
      <c r="AY1669" s="6"/>
      <c r="AZ1669" s="6"/>
      <c r="BA1669" s="6"/>
      <c r="BB1669" s="6"/>
      <c r="BC1669" s="6"/>
      <c r="BD1669" s="6"/>
      <c r="BE1669" s="6"/>
      <c r="BF1669" s="6"/>
      <c r="BG1669" s="6"/>
      <c r="BH1669" s="6"/>
      <c r="BI1669" s="6"/>
      <c r="BJ1669" s="6"/>
      <c r="BK1669" s="6"/>
      <c r="BL1669" s="6"/>
      <c r="BM1669" s="6"/>
      <c r="BN1669" s="6"/>
      <c r="BO1669" s="6"/>
      <c r="BP1669" s="6"/>
      <c r="BQ1669" s="6"/>
      <c r="BR1669" s="6"/>
      <c r="BS1669" s="6"/>
      <c r="BT1669" s="6"/>
      <c r="BU1669" s="6"/>
      <c r="BV1669" s="6"/>
      <c r="BW1669" s="6"/>
      <c r="BX1669" s="6"/>
      <c r="BY1669" s="6"/>
      <c r="BZ1669" s="6"/>
      <c r="CA1669" s="6"/>
      <c r="CB1669" s="6"/>
      <c r="CC1669" s="6"/>
    </row>
    <row r="1670" spans="2:81" x14ac:dyDescent="0.2">
      <c r="B1670" s="68"/>
      <c r="C1670" s="69"/>
      <c r="D1670" s="70"/>
      <c r="F1670" s="68"/>
      <c r="G1670" s="69"/>
      <c r="H1670" s="70"/>
      <c r="J1670" s="71"/>
      <c r="K1670" s="71"/>
      <c r="L1670" s="67"/>
      <c r="N1670" s="71"/>
      <c r="O1670" s="71"/>
      <c r="P1670" s="67"/>
      <c r="R1670" s="67"/>
      <c r="S1670" s="6"/>
      <c r="T1670" s="6"/>
      <c r="U1670" s="6"/>
      <c r="V1670" s="6"/>
      <c r="W1670" s="6"/>
      <c r="X1670" s="6"/>
      <c r="Y1670" s="6"/>
      <c r="Z1670" s="6"/>
      <c r="AA1670" s="6"/>
      <c r="AB1670" s="6"/>
      <c r="AC1670" s="6"/>
      <c r="AD1670" s="6"/>
      <c r="AE1670" s="6"/>
      <c r="AF1670" s="6"/>
      <c r="AG1670" s="6"/>
      <c r="AH1670" s="6"/>
      <c r="AI1670" s="6"/>
      <c r="AJ1670" s="6"/>
      <c r="AK1670" s="6"/>
      <c r="AL1670" s="6"/>
      <c r="AM1670" s="6"/>
      <c r="AN1670" s="6"/>
      <c r="AO1670" s="6"/>
      <c r="AP1670" s="6"/>
      <c r="AQ1670" s="6"/>
      <c r="AR1670" s="6"/>
      <c r="AS1670" s="6"/>
      <c r="AT1670" s="6"/>
      <c r="AU1670" s="6"/>
      <c r="AV1670" s="6"/>
      <c r="AW1670" s="6"/>
      <c r="AX1670" s="6"/>
      <c r="AY1670" s="6"/>
      <c r="AZ1670" s="6"/>
      <c r="BA1670" s="6"/>
      <c r="BB1670" s="6"/>
      <c r="BC1670" s="6"/>
      <c r="BD1670" s="6"/>
      <c r="BE1670" s="6"/>
      <c r="BF1670" s="6"/>
      <c r="BG1670" s="6"/>
      <c r="BH1670" s="6"/>
      <c r="BI1670" s="6"/>
      <c r="BJ1670" s="6"/>
      <c r="BK1670" s="6"/>
      <c r="BL1670" s="6"/>
      <c r="BM1670" s="6"/>
      <c r="BN1670" s="6"/>
      <c r="BO1670" s="6"/>
      <c r="BP1670" s="6"/>
      <c r="BQ1670" s="6"/>
      <c r="BR1670" s="6"/>
      <c r="BS1670" s="6"/>
      <c r="BT1670" s="6"/>
      <c r="BU1670" s="6"/>
      <c r="BV1670" s="6"/>
      <c r="BW1670" s="6"/>
      <c r="BX1670" s="6"/>
      <c r="BY1670" s="6"/>
      <c r="BZ1670" s="6"/>
      <c r="CA1670" s="6"/>
      <c r="CB1670" s="6"/>
      <c r="CC1670" s="6"/>
    </row>
    <row r="1671" spans="2:81" x14ac:dyDescent="0.2">
      <c r="B1671" s="68"/>
      <c r="C1671" s="69"/>
      <c r="D1671" s="70"/>
      <c r="F1671" s="68"/>
      <c r="G1671" s="69"/>
      <c r="H1671" s="70"/>
      <c r="J1671" s="71"/>
      <c r="K1671" s="71"/>
      <c r="L1671" s="67"/>
      <c r="N1671" s="71"/>
      <c r="O1671" s="71"/>
      <c r="P1671" s="67"/>
      <c r="R1671" s="67"/>
      <c r="S1671" s="6"/>
      <c r="T1671" s="6"/>
      <c r="U1671" s="6"/>
      <c r="V1671" s="6"/>
      <c r="W1671" s="6"/>
      <c r="X1671" s="6"/>
      <c r="Y1671" s="6"/>
      <c r="Z1671" s="6"/>
      <c r="AA1671" s="6"/>
      <c r="AB1671" s="6"/>
      <c r="AC1671" s="6"/>
      <c r="AD1671" s="6"/>
      <c r="AE1671" s="6"/>
      <c r="AF1671" s="6"/>
      <c r="AG1671" s="6"/>
      <c r="AH1671" s="6"/>
      <c r="AI1671" s="6"/>
      <c r="AJ1671" s="6"/>
      <c r="AK1671" s="6"/>
      <c r="AL1671" s="6"/>
      <c r="AM1671" s="6"/>
      <c r="AN1671" s="6"/>
      <c r="AO1671" s="6"/>
      <c r="AP1671" s="6"/>
      <c r="AQ1671" s="6"/>
      <c r="AR1671" s="6"/>
      <c r="AS1671" s="6"/>
      <c r="AT1671" s="6"/>
      <c r="AU1671" s="6"/>
      <c r="AV1671" s="6"/>
      <c r="AW1671" s="6"/>
      <c r="AX1671" s="6"/>
      <c r="AY1671" s="6"/>
      <c r="AZ1671" s="6"/>
      <c r="BA1671" s="6"/>
      <c r="BB1671" s="6"/>
      <c r="BC1671" s="6"/>
      <c r="BD1671" s="6"/>
      <c r="BE1671" s="6"/>
      <c r="BF1671" s="6"/>
      <c r="BG1671" s="6"/>
      <c r="BH1671" s="6"/>
      <c r="BI1671" s="6"/>
      <c r="BJ1671" s="6"/>
      <c r="BK1671" s="6"/>
      <c r="BL1671" s="6"/>
      <c r="BM1671" s="6"/>
      <c r="BN1671" s="6"/>
      <c r="BO1671" s="6"/>
      <c r="BP1671" s="6"/>
      <c r="BQ1671" s="6"/>
      <c r="BR1671" s="6"/>
      <c r="BS1671" s="6"/>
      <c r="BT1671" s="6"/>
      <c r="BU1671" s="6"/>
      <c r="BV1671" s="6"/>
      <c r="BW1671" s="6"/>
      <c r="BX1671" s="6"/>
      <c r="BY1671" s="6"/>
      <c r="BZ1671" s="6"/>
      <c r="CA1671" s="6"/>
      <c r="CB1671" s="6"/>
      <c r="CC1671" s="6"/>
    </row>
    <row r="1672" spans="2:81" x14ac:dyDescent="0.2">
      <c r="B1672" s="68"/>
      <c r="C1672" s="69"/>
      <c r="D1672" s="70"/>
      <c r="F1672" s="68"/>
      <c r="G1672" s="69"/>
      <c r="H1672" s="70"/>
      <c r="J1672" s="71"/>
      <c r="K1672" s="71"/>
      <c r="L1672" s="67"/>
      <c r="N1672" s="71"/>
      <c r="O1672" s="71"/>
      <c r="P1672" s="67"/>
      <c r="R1672" s="67"/>
      <c r="S1672" s="6"/>
      <c r="T1672" s="6"/>
      <c r="U1672" s="6"/>
      <c r="V1672" s="6"/>
      <c r="W1672" s="6"/>
      <c r="X1672" s="6"/>
      <c r="Y1672" s="6"/>
      <c r="Z1672" s="6"/>
      <c r="AA1672" s="6"/>
      <c r="AB1672" s="6"/>
      <c r="AC1672" s="6"/>
      <c r="AD1672" s="6"/>
      <c r="AE1672" s="6"/>
      <c r="AF1672" s="6"/>
      <c r="AG1672" s="6"/>
      <c r="AH1672" s="6"/>
      <c r="AI1672" s="6"/>
      <c r="AJ1672" s="6"/>
      <c r="AK1672" s="6"/>
      <c r="AL1672" s="6"/>
      <c r="AM1672" s="6"/>
      <c r="AN1672" s="6"/>
      <c r="AO1672" s="6"/>
      <c r="AP1672" s="6"/>
      <c r="AQ1672" s="6"/>
      <c r="AR1672" s="6"/>
      <c r="AS1672" s="6"/>
      <c r="AT1672" s="6"/>
      <c r="AU1672" s="6"/>
      <c r="AV1672" s="6"/>
      <c r="AW1672" s="6"/>
      <c r="AX1672" s="6"/>
      <c r="AY1672" s="6"/>
      <c r="AZ1672" s="6"/>
      <c r="BA1672" s="6"/>
      <c r="BB1672" s="6"/>
      <c r="BC1672" s="6"/>
      <c r="BD1672" s="6"/>
      <c r="BE1672" s="6"/>
      <c r="BF1672" s="6"/>
      <c r="BG1672" s="6"/>
      <c r="BH1672" s="6"/>
      <c r="BI1672" s="6"/>
      <c r="BJ1672" s="6"/>
      <c r="BK1672" s="6"/>
      <c r="BL1672" s="6"/>
      <c r="BM1672" s="6"/>
      <c r="BN1672" s="6"/>
      <c r="BO1672" s="6"/>
      <c r="BP1672" s="6"/>
      <c r="BQ1672" s="6"/>
      <c r="BR1672" s="6"/>
      <c r="BS1672" s="6"/>
      <c r="BT1672" s="6"/>
      <c r="BU1672" s="6"/>
      <c r="BV1672" s="6"/>
      <c r="BW1672" s="6"/>
      <c r="BX1672" s="6"/>
      <c r="BY1672" s="6"/>
      <c r="BZ1672" s="6"/>
      <c r="CA1672" s="6"/>
      <c r="CB1672" s="6"/>
      <c r="CC1672" s="6"/>
    </row>
    <row r="1673" spans="2:81" x14ac:dyDescent="0.2">
      <c r="B1673" s="68"/>
      <c r="C1673" s="69"/>
      <c r="D1673" s="70"/>
      <c r="F1673" s="68"/>
      <c r="G1673" s="69"/>
      <c r="H1673" s="70"/>
      <c r="J1673" s="71"/>
      <c r="K1673" s="71"/>
      <c r="L1673" s="67"/>
      <c r="N1673" s="71"/>
      <c r="O1673" s="71"/>
      <c r="P1673" s="67"/>
      <c r="R1673" s="67"/>
      <c r="S1673" s="6"/>
      <c r="T1673" s="6"/>
      <c r="U1673" s="6"/>
      <c r="V1673" s="6"/>
      <c r="W1673" s="6"/>
      <c r="X1673" s="6"/>
      <c r="Y1673" s="6"/>
      <c r="Z1673" s="6"/>
      <c r="AA1673" s="6"/>
      <c r="AB1673" s="6"/>
      <c r="AC1673" s="6"/>
      <c r="AD1673" s="6"/>
      <c r="AE1673" s="6"/>
      <c r="AF1673" s="6"/>
      <c r="AG1673" s="6"/>
      <c r="AH1673" s="6"/>
      <c r="AI1673" s="6"/>
      <c r="AJ1673" s="6"/>
      <c r="AK1673" s="6"/>
      <c r="AL1673" s="6"/>
      <c r="AM1673" s="6"/>
      <c r="AN1673" s="6"/>
      <c r="AO1673" s="6"/>
      <c r="AP1673" s="6"/>
      <c r="AQ1673" s="6"/>
      <c r="AR1673" s="6"/>
      <c r="AS1673" s="6"/>
      <c r="AT1673" s="6"/>
      <c r="AU1673" s="6"/>
      <c r="AV1673" s="6"/>
      <c r="AW1673" s="6"/>
      <c r="AX1673" s="6"/>
      <c r="AY1673" s="6"/>
      <c r="AZ1673" s="6"/>
      <c r="BA1673" s="6"/>
      <c r="BB1673" s="6"/>
      <c r="BC1673" s="6"/>
      <c r="BD1673" s="6"/>
      <c r="BE1673" s="6"/>
      <c r="BF1673" s="6"/>
      <c r="BG1673" s="6"/>
      <c r="BH1673" s="6"/>
      <c r="BI1673" s="6"/>
      <c r="BJ1673" s="6"/>
      <c r="BK1673" s="6"/>
      <c r="BL1673" s="6"/>
      <c r="BM1673" s="6"/>
      <c r="BN1673" s="6"/>
      <c r="BO1673" s="6"/>
      <c r="BP1673" s="6"/>
      <c r="BQ1673" s="6"/>
      <c r="BR1673" s="6"/>
      <c r="BS1673" s="6"/>
      <c r="BT1673" s="6"/>
      <c r="BU1673" s="6"/>
      <c r="BV1673" s="6"/>
      <c r="BW1673" s="6"/>
      <c r="BX1673" s="6"/>
      <c r="BY1673" s="6"/>
      <c r="BZ1673" s="6"/>
      <c r="CA1673" s="6"/>
      <c r="CB1673" s="6"/>
      <c r="CC1673" s="6"/>
    </row>
    <row r="1674" spans="2:81" x14ac:dyDescent="0.2">
      <c r="B1674" s="68"/>
      <c r="C1674" s="69"/>
      <c r="D1674" s="70"/>
      <c r="F1674" s="68"/>
      <c r="G1674" s="69"/>
      <c r="H1674" s="70"/>
      <c r="J1674" s="71"/>
      <c r="K1674" s="71"/>
      <c r="L1674" s="67"/>
      <c r="N1674" s="71"/>
      <c r="O1674" s="71"/>
      <c r="P1674" s="67"/>
      <c r="R1674" s="67"/>
      <c r="S1674" s="6"/>
      <c r="T1674" s="6"/>
      <c r="U1674" s="6"/>
      <c r="V1674" s="6"/>
      <c r="W1674" s="6"/>
      <c r="X1674" s="6"/>
      <c r="Y1674" s="6"/>
      <c r="Z1674" s="6"/>
      <c r="AA1674" s="6"/>
      <c r="AB1674" s="6"/>
      <c r="AC1674" s="6"/>
      <c r="AD1674" s="6"/>
      <c r="AE1674" s="6"/>
      <c r="AF1674" s="6"/>
      <c r="AG1674" s="6"/>
      <c r="AH1674" s="6"/>
      <c r="AI1674" s="6"/>
      <c r="AJ1674" s="6"/>
      <c r="AK1674" s="6"/>
      <c r="AL1674" s="6"/>
      <c r="AM1674" s="6"/>
      <c r="AN1674" s="6"/>
      <c r="AO1674" s="6"/>
      <c r="AP1674" s="6"/>
      <c r="AQ1674" s="6"/>
      <c r="AR1674" s="6"/>
      <c r="AS1674" s="6"/>
      <c r="AT1674" s="6"/>
      <c r="AU1674" s="6"/>
      <c r="AV1674" s="6"/>
      <c r="AW1674" s="6"/>
      <c r="AX1674" s="6"/>
      <c r="AY1674" s="6"/>
      <c r="AZ1674" s="6"/>
      <c r="BA1674" s="6"/>
      <c r="BB1674" s="6"/>
      <c r="BC1674" s="6"/>
      <c r="BD1674" s="6"/>
      <c r="BE1674" s="6"/>
      <c r="BF1674" s="6"/>
      <c r="BG1674" s="6"/>
      <c r="BH1674" s="6"/>
      <c r="BI1674" s="6"/>
      <c r="BJ1674" s="6"/>
      <c r="BK1674" s="6"/>
      <c r="BL1674" s="6"/>
      <c r="BM1674" s="6"/>
      <c r="BN1674" s="6"/>
      <c r="BO1674" s="6"/>
      <c r="BP1674" s="6"/>
      <c r="BQ1674" s="6"/>
      <c r="BR1674" s="6"/>
      <c r="BS1674" s="6"/>
      <c r="BT1674" s="6"/>
      <c r="BU1674" s="6"/>
      <c r="BV1674" s="6"/>
      <c r="BW1674" s="6"/>
      <c r="BX1674" s="6"/>
      <c r="BY1674" s="6"/>
      <c r="BZ1674" s="6"/>
      <c r="CA1674" s="6"/>
      <c r="CB1674" s="6"/>
      <c r="CC1674" s="6"/>
    </row>
    <row r="1675" spans="2:81" x14ac:dyDescent="0.2">
      <c r="B1675" s="68"/>
      <c r="C1675" s="69"/>
      <c r="D1675" s="70"/>
      <c r="F1675" s="68"/>
      <c r="G1675" s="69"/>
      <c r="H1675" s="70"/>
      <c r="J1675" s="71"/>
      <c r="K1675" s="71"/>
      <c r="L1675" s="67"/>
      <c r="N1675" s="71"/>
      <c r="O1675" s="71"/>
      <c r="P1675" s="67"/>
      <c r="R1675" s="67"/>
      <c r="S1675" s="6"/>
      <c r="T1675" s="6"/>
      <c r="U1675" s="6"/>
      <c r="V1675" s="6"/>
      <c r="W1675" s="6"/>
      <c r="X1675" s="6"/>
      <c r="Y1675" s="6"/>
      <c r="Z1675" s="6"/>
      <c r="AA1675" s="6"/>
      <c r="AB1675" s="6"/>
      <c r="AC1675" s="6"/>
      <c r="AD1675" s="6"/>
      <c r="AE1675" s="6"/>
      <c r="AF1675" s="6"/>
      <c r="AG1675" s="6"/>
      <c r="AH1675" s="6"/>
      <c r="AI1675" s="6"/>
      <c r="AJ1675" s="6"/>
      <c r="AK1675" s="6"/>
      <c r="AL1675" s="6"/>
      <c r="AM1675" s="6"/>
      <c r="AN1675" s="6"/>
      <c r="AO1675" s="6"/>
      <c r="AP1675" s="6"/>
      <c r="AQ1675" s="6"/>
      <c r="AR1675" s="6"/>
      <c r="AS1675" s="6"/>
      <c r="AT1675" s="6"/>
      <c r="AU1675" s="6"/>
      <c r="AV1675" s="6"/>
      <c r="AW1675" s="6"/>
      <c r="AX1675" s="6"/>
      <c r="AY1675" s="6"/>
      <c r="AZ1675" s="6"/>
      <c r="BA1675" s="6"/>
      <c r="BB1675" s="6"/>
      <c r="BC1675" s="6"/>
      <c r="BD1675" s="6"/>
      <c r="BE1675" s="6"/>
      <c r="BF1675" s="6"/>
      <c r="BG1675" s="6"/>
      <c r="BH1675" s="6"/>
      <c r="BI1675" s="6"/>
      <c r="BJ1675" s="6"/>
      <c r="BK1675" s="6"/>
      <c r="BL1675" s="6"/>
      <c r="BM1675" s="6"/>
      <c r="BN1675" s="6"/>
      <c r="BO1675" s="6"/>
      <c r="BP1675" s="6"/>
      <c r="BQ1675" s="6"/>
      <c r="BR1675" s="6"/>
      <c r="BS1675" s="6"/>
      <c r="BT1675" s="6"/>
      <c r="BU1675" s="6"/>
      <c r="BV1675" s="6"/>
      <c r="BW1675" s="6"/>
      <c r="BX1675" s="6"/>
      <c r="BY1675" s="6"/>
      <c r="BZ1675" s="6"/>
      <c r="CA1675" s="6"/>
      <c r="CB1675" s="6"/>
      <c r="CC1675" s="6"/>
    </row>
    <row r="1676" spans="2:81" x14ac:dyDescent="0.2">
      <c r="B1676" s="68"/>
      <c r="C1676" s="69"/>
      <c r="D1676" s="70"/>
      <c r="F1676" s="68"/>
      <c r="G1676" s="69"/>
      <c r="H1676" s="70"/>
      <c r="J1676" s="71"/>
      <c r="K1676" s="71"/>
      <c r="L1676" s="67"/>
      <c r="N1676" s="71"/>
      <c r="O1676" s="71"/>
      <c r="P1676" s="67"/>
      <c r="R1676" s="67"/>
      <c r="S1676" s="6"/>
      <c r="T1676" s="6"/>
      <c r="U1676" s="6"/>
      <c r="V1676" s="6"/>
      <c r="W1676" s="6"/>
      <c r="X1676" s="6"/>
      <c r="Y1676" s="6"/>
      <c r="Z1676" s="6"/>
      <c r="AA1676" s="6"/>
      <c r="AB1676" s="6"/>
      <c r="AC1676" s="6"/>
      <c r="AD1676" s="6"/>
      <c r="AE1676" s="6"/>
      <c r="AF1676" s="6"/>
      <c r="AG1676" s="6"/>
      <c r="AH1676" s="6"/>
      <c r="AI1676" s="6"/>
      <c r="AJ1676" s="6"/>
      <c r="AK1676" s="6"/>
      <c r="AL1676" s="6"/>
      <c r="AM1676" s="6"/>
      <c r="AN1676" s="6"/>
      <c r="AO1676" s="6"/>
      <c r="AP1676" s="6"/>
      <c r="AQ1676" s="6"/>
      <c r="AR1676" s="6"/>
      <c r="AS1676" s="6"/>
      <c r="AT1676" s="6"/>
      <c r="AU1676" s="6"/>
      <c r="AV1676" s="6"/>
      <c r="AW1676" s="6"/>
      <c r="AX1676" s="6"/>
      <c r="AY1676" s="6"/>
      <c r="AZ1676" s="6"/>
      <c r="BA1676" s="6"/>
      <c r="BB1676" s="6"/>
      <c r="BC1676" s="6"/>
      <c r="BD1676" s="6"/>
      <c r="BE1676" s="6"/>
      <c r="BF1676" s="6"/>
      <c r="BG1676" s="6"/>
      <c r="BH1676" s="6"/>
      <c r="BI1676" s="6"/>
      <c r="BJ1676" s="6"/>
      <c r="BK1676" s="6"/>
      <c r="BL1676" s="6"/>
      <c r="BM1676" s="6"/>
      <c r="BN1676" s="6"/>
      <c r="BO1676" s="6"/>
      <c r="BP1676" s="6"/>
      <c r="BQ1676" s="6"/>
      <c r="BR1676" s="6"/>
      <c r="BS1676" s="6"/>
      <c r="BT1676" s="6"/>
      <c r="BU1676" s="6"/>
      <c r="BV1676" s="6"/>
      <c r="BW1676" s="6"/>
      <c r="BX1676" s="6"/>
      <c r="BY1676" s="6"/>
      <c r="BZ1676" s="6"/>
      <c r="CA1676" s="6"/>
      <c r="CB1676" s="6"/>
      <c r="CC1676" s="6"/>
    </row>
    <row r="1677" spans="2:81" x14ac:dyDescent="0.2">
      <c r="B1677" s="68"/>
      <c r="C1677" s="69"/>
      <c r="D1677" s="70"/>
      <c r="F1677" s="68"/>
      <c r="G1677" s="69"/>
      <c r="H1677" s="70"/>
      <c r="J1677" s="71"/>
      <c r="K1677" s="71"/>
      <c r="L1677" s="67"/>
      <c r="N1677" s="71"/>
      <c r="O1677" s="71"/>
      <c r="P1677" s="67"/>
      <c r="R1677" s="67"/>
      <c r="S1677" s="6"/>
      <c r="T1677" s="6"/>
      <c r="U1677" s="6"/>
      <c r="V1677" s="6"/>
      <c r="W1677" s="6"/>
      <c r="X1677" s="6"/>
      <c r="Y1677" s="6"/>
      <c r="Z1677" s="6"/>
      <c r="AA1677" s="6"/>
      <c r="AB1677" s="6"/>
      <c r="AC1677" s="6"/>
      <c r="AD1677" s="6"/>
      <c r="AE1677" s="6"/>
      <c r="AF1677" s="6"/>
      <c r="AG1677" s="6"/>
      <c r="AH1677" s="6"/>
      <c r="AI1677" s="6"/>
      <c r="AJ1677" s="6"/>
      <c r="AK1677" s="6"/>
      <c r="AL1677" s="6"/>
      <c r="AM1677" s="6"/>
      <c r="AN1677" s="6"/>
      <c r="AO1677" s="6"/>
      <c r="AP1677" s="6"/>
      <c r="AQ1677" s="6"/>
      <c r="AR1677" s="6"/>
      <c r="AS1677" s="6"/>
      <c r="AT1677" s="6"/>
      <c r="AU1677" s="6"/>
      <c r="AV1677" s="6"/>
      <c r="AW1677" s="6"/>
      <c r="AX1677" s="6"/>
      <c r="AY1677" s="6"/>
      <c r="AZ1677" s="6"/>
      <c r="BA1677" s="6"/>
      <c r="BB1677" s="6"/>
      <c r="BC1677" s="6"/>
      <c r="BD1677" s="6"/>
      <c r="BE1677" s="6"/>
      <c r="BF1677" s="6"/>
      <c r="BG1677" s="6"/>
      <c r="BH1677" s="6"/>
      <c r="BI1677" s="6"/>
      <c r="BJ1677" s="6"/>
      <c r="BK1677" s="6"/>
      <c r="BL1677" s="6"/>
      <c r="BM1677" s="6"/>
      <c r="BN1677" s="6"/>
      <c r="BO1677" s="6"/>
      <c r="BP1677" s="6"/>
      <c r="BQ1677" s="6"/>
      <c r="BR1677" s="6"/>
      <c r="BS1677" s="6"/>
      <c r="BT1677" s="6"/>
      <c r="BU1677" s="6"/>
      <c r="BV1677" s="6"/>
      <c r="BW1677" s="6"/>
      <c r="BX1677" s="6"/>
      <c r="BY1677" s="6"/>
      <c r="BZ1677" s="6"/>
      <c r="CA1677" s="6"/>
      <c r="CB1677" s="6"/>
      <c r="CC1677" s="6"/>
    </row>
    <row r="1678" spans="2:81" x14ac:dyDescent="0.2">
      <c r="B1678" s="68"/>
      <c r="C1678" s="69"/>
      <c r="D1678" s="70"/>
      <c r="F1678" s="68"/>
      <c r="G1678" s="69"/>
      <c r="H1678" s="70"/>
      <c r="J1678" s="71"/>
      <c r="K1678" s="71"/>
      <c r="L1678" s="67"/>
      <c r="N1678" s="71"/>
      <c r="O1678" s="71"/>
      <c r="P1678" s="67"/>
      <c r="R1678" s="67"/>
      <c r="S1678" s="6"/>
      <c r="T1678" s="6"/>
      <c r="U1678" s="6"/>
      <c r="V1678" s="6"/>
      <c r="W1678" s="6"/>
      <c r="X1678" s="6"/>
      <c r="Y1678" s="6"/>
      <c r="Z1678" s="6"/>
      <c r="AA1678" s="6"/>
      <c r="AB1678" s="6"/>
      <c r="AC1678" s="6"/>
      <c r="AD1678" s="6"/>
      <c r="AE1678" s="6"/>
      <c r="AF1678" s="6"/>
      <c r="AG1678" s="6"/>
      <c r="AH1678" s="6"/>
      <c r="AI1678" s="6"/>
      <c r="AJ1678" s="6"/>
      <c r="AK1678" s="6"/>
      <c r="AL1678" s="6"/>
      <c r="AM1678" s="6"/>
      <c r="AN1678" s="6"/>
      <c r="AO1678" s="6"/>
      <c r="AP1678" s="6"/>
      <c r="AQ1678" s="6"/>
      <c r="AR1678" s="6"/>
      <c r="AS1678" s="6"/>
      <c r="AT1678" s="6"/>
      <c r="AU1678" s="6"/>
      <c r="AV1678" s="6"/>
      <c r="AW1678" s="6"/>
      <c r="AX1678" s="6"/>
      <c r="AY1678" s="6"/>
      <c r="AZ1678" s="6"/>
      <c r="BA1678" s="6"/>
      <c r="BB1678" s="6"/>
      <c r="BC1678" s="6"/>
      <c r="BD1678" s="6"/>
      <c r="BE1678" s="6"/>
      <c r="BF1678" s="6"/>
      <c r="BG1678" s="6"/>
      <c r="BH1678" s="6"/>
      <c r="BI1678" s="6"/>
      <c r="BJ1678" s="6"/>
      <c r="BK1678" s="6"/>
      <c r="BL1678" s="6"/>
      <c r="BM1678" s="6"/>
      <c r="BN1678" s="6"/>
      <c r="BO1678" s="6"/>
      <c r="BP1678" s="6"/>
      <c r="BQ1678" s="6"/>
      <c r="BR1678" s="6"/>
      <c r="BS1678" s="6"/>
      <c r="BT1678" s="6"/>
      <c r="BU1678" s="6"/>
      <c r="BV1678" s="6"/>
      <c r="BW1678" s="6"/>
      <c r="BX1678" s="6"/>
      <c r="BY1678" s="6"/>
      <c r="BZ1678" s="6"/>
      <c r="CA1678" s="6"/>
      <c r="CB1678" s="6"/>
      <c r="CC1678" s="6"/>
    </row>
    <row r="1679" spans="2:81" x14ac:dyDescent="0.2">
      <c r="B1679" s="68"/>
      <c r="C1679" s="69"/>
      <c r="D1679" s="70"/>
      <c r="F1679" s="68"/>
      <c r="G1679" s="69"/>
      <c r="H1679" s="70"/>
      <c r="J1679" s="71"/>
      <c r="K1679" s="71"/>
      <c r="L1679" s="67"/>
      <c r="N1679" s="71"/>
      <c r="O1679" s="71"/>
      <c r="P1679" s="67"/>
      <c r="R1679" s="67"/>
      <c r="S1679" s="6"/>
      <c r="T1679" s="6"/>
      <c r="U1679" s="6"/>
      <c r="V1679" s="6"/>
      <c r="W1679" s="6"/>
      <c r="X1679" s="6"/>
      <c r="Y1679" s="6"/>
      <c r="Z1679" s="6"/>
      <c r="AA1679" s="6"/>
      <c r="AB1679" s="6"/>
      <c r="AC1679" s="6"/>
      <c r="AD1679" s="6"/>
      <c r="AE1679" s="6"/>
      <c r="AF1679" s="6"/>
      <c r="AG1679" s="6"/>
      <c r="AH1679" s="6"/>
      <c r="AI1679" s="6"/>
      <c r="AJ1679" s="6"/>
      <c r="AK1679" s="6"/>
      <c r="AL1679" s="6"/>
      <c r="AM1679" s="6"/>
      <c r="AN1679" s="6"/>
      <c r="AO1679" s="6"/>
      <c r="AP1679" s="6"/>
      <c r="AQ1679" s="6"/>
      <c r="AR1679" s="6"/>
      <c r="AS1679" s="6"/>
      <c r="AT1679" s="6"/>
      <c r="AU1679" s="6"/>
      <c r="AV1679" s="6"/>
      <c r="AW1679" s="6"/>
      <c r="AX1679" s="6"/>
      <c r="AY1679" s="6"/>
      <c r="AZ1679" s="6"/>
      <c r="BA1679" s="6"/>
      <c r="BB1679" s="6"/>
      <c r="BC1679" s="6"/>
      <c r="BD1679" s="6"/>
      <c r="BE1679" s="6"/>
      <c r="BF1679" s="6"/>
      <c r="BG1679" s="6"/>
      <c r="BH1679" s="6"/>
      <c r="BI1679" s="6"/>
      <c r="BJ1679" s="6"/>
      <c r="BK1679" s="6"/>
      <c r="BL1679" s="6"/>
      <c r="BM1679" s="6"/>
      <c r="BN1679" s="6"/>
      <c r="BO1679" s="6"/>
      <c r="BP1679" s="6"/>
      <c r="BQ1679" s="6"/>
      <c r="BR1679" s="6"/>
      <c r="BS1679" s="6"/>
      <c r="BT1679" s="6"/>
      <c r="BU1679" s="6"/>
      <c r="BV1679" s="6"/>
      <c r="BW1679" s="6"/>
      <c r="BX1679" s="6"/>
      <c r="BY1679" s="6"/>
      <c r="BZ1679" s="6"/>
      <c r="CA1679" s="6"/>
      <c r="CB1679" s="6"/>
      <c r="CC1679" s="6"/>
    </row>
    <row r="1680" spans="2:81" x14ac:dyDescent="0.2">
      <c r="B1680" s="68"/>
      <c r="C1680" s="69"/>
      <c r="D1680" s="70"/>
      <c r="F1680" s="68"/>
      <c r="G1680" s="69"/>
      <c r="H1680" s="70"/>
      <c r="J1680" s="71"/>
      <c r="K1680" s="71"/>
      <c r="L1680" s="67"/>
      <c r="N1680" s="71"/>
      <c r="O1680" s="71"/>
      <c r="P1680" s="67"/>
      <c r="R1680" s="67"/>
      <c r="S1680" s="6"/>
      <c r="T1680" s="6"/>
      <c r="U1680" s="6"/>
      <c r="V1680" s="6"/>
      <c r="W1680" s="6"/>
      <c r="X1680" s="6"/>
      <c r="Y1680" s="6"/>
      <c r="Z1680" s="6"/>
      <c r="AA1680" s="6"/>
      <c r="AB1680" s="6"/>
      <c r="AC1680" s="6"/>
      <c r="AD1680" s="6"/>
      <c r="AE1680" s="6"/>
      <c r="AF1680" s="6"/>
      <c r="AG1680" s="6"/>
      <c r="AH1680" s="6"/>
      <c r="AI1680" s="6"/>
      <c r="AJ1680" s="6"/>
      <c r="AK1680" s="6"/>
      <c r="AL1680" s="6"/>
      <c r="AM1680" s="6"/>
      <c r="AN1680" s="6"/>
      <c r="AO1680" s="6"/>
      <c r="AP1680" s="6"/>
      <c r="AQ1680" s="6"/>
      <c r="AR1680" s="6"/>
      <c r="AS1680" s="6"/>
      <c r="AT1680" s="6"/>
      <c r="AU1680" s="6"/>
      <c r="AV1680" s="6"/>
      <c r="AW1680" s="6"/>
      <c r="AX1680" s="6"/>
      <c r="AY1680" s="6"/>
      <c r="AZ1680" s="6"/>
      <c r="BA1680" s="6"/>
      <c r="BB1680" s="6"/>
      <c r="BC1680" s="6"/>
      <c r="BD1680" s="6"/>
      <c r="BE1680" s="6"/>
      <c r="BF1680" s="6"/>
      <c r="BG1680" s="6"/>
      <c r="BH1680" s="6"/>
      <c r="BI1680" s="6"/>
      <c r="BJ1680" s="6"/>
      <c r="BK1680" s="6"/>
      <c r="BL1680" s="6"/>
      <c r="BM1680" s="6"/>
      <c r="BN1680" s="6"/>
      <c r="BO1680" s="6"/>
      <c r="BP1680" s="6"/>
      <c r="BQ1680" s="6"/>
      <c r="BR1680" s="6"/>
      <c r="BS1680" s="6"/>
      <c r="BT1680" s="6"/>
      <c r="BU1680" s="6"/>
      <c r="BV1680" s="6"/>
      <c r="BW1680" s="6"/>
      <c r="BX1680" s="6"/>
      <c r="BY1680" s="6"/>
      <c r="BZ1680" s="6"/>
      <c r="CA1680" s="6"/>
      <c r="CB1680" s="6"/>
      <c r="CC1680" s="6"/>
    </row>
    <row r="1681" spans="2:81" x14ac:dyDescent="0.2">
      <c r="B1681" s="68"/>
      <c r="C1681" s="69"/>
      <c r="D1681" s="70"/>
      <c r="F1681" s="68"/>
      <c r="G1681" s="69"/>
      <c r="H1681" s="70"/>
      <c r="J1681" s="71"/>
      <c r="K1681" s="71"/>
      <c r="L1681" s="67"/>
      <c r="N1681" s="71"/>
      <c r="O1681" s="71"/>
      <c r="P1681" s="67"/>
      <c r="R1681" s="67"/>
      <c r="S1681" s="6"/>
      <c r="T1681" s="6"/>
      <c r="U1681" s="6"/>
      <c r="V1681" s="6"/>
      <c r="W1681" s="6"/>
      <c r="X1681" s="6"/>
      <c r="Y1681" s="6"/>
      <c r="Z1681" s="6"/>
      <c r="AA1681" s="6"/>
      <c r="AB1681" s="6"/>
      <c r="AC1681" s="6"/>
      <c r="AD1681" s="6"/>
      <c r="AE1681" s="6"/>
      <c r="AF1681" s="6"/>
      <c r="AG1681" s="6"/>
      <c r="AH1681" s="6"/>
      <c r="AI1681" s="6"/>
      <c r="AJ1681" s="6"/>
      <c r="AK1681" s="6"/>
      <c r="AL1681" s="6"/>
      <c r="AM1681" s="6"/>
      <c r="AN1681" s="6"/>
      <c r="AO1681" s="6"/>
      <c r="AP1681" s="6"/>
      <c r="AQ1681" s="6"/>
      <c r="AR1681" s="6"/>
      <c r="AS1681" s="6"/>
      <c r="AT1681" s="6"/>
      <c r="AU1681" s="6"/>
      <c r="AV1681" s="6"/>
      <c r="AW1681" s="6"/>
      <c r="AX1681" s="6"/>
      <c r="AY1681" s="6"/>
      <c r="AZ1681" s="6"/>
      <c r="BA1681" s="6"/>
      <c r="BB1681" s="6"/>
      <c r="BC1681" s="6"/>
      <c r="BD1681" s="6"/>
      <c r="BE1681" s="6"/>
      <c r="BF1681" s="6"/>
      <c r="BG1681" s="6"/>
      <c r="BH1681" s="6"/>
      <c r="BI1681" s="6"/>
      <c r="BJ1681" s="6"/>
      <c r="BK1681" s="6"/>
      <c r="BL1681" s="6"/>
      <c r="BM1681" s="6"/>
      <c r="BN1681" s="6"/>
      <c r="BO1681" s="6"/>
      <c r="BP1681" s="6"/>
      <c r="BQ1681" s="6"/>
      <c r="BR1681" s="6"/>
      <c r="BS1681" s="6"/>
      <c r="BT1681" s="6"/>
      <c r="BU1681" s="6"/>
      <c r="BV1681" s="6"/>
      <c r="BW1681" s="6"/>
      <c r="BX1681" s="6"/>
      <c r="BY1681" s="6"/>
      <c r="BZ1681" s="6"/>
      <c r="CA1681" s="6"/>
      <c r="CB1681" s="6"/>
      <c r="CC1681" s="6"/>
    </row>
    <row r="1682" spans="2:81" x14ac:dyDescent="0.2">
      <c r="B1682" s="68"/>
      <c r="C1682" s="69"/>
      <c r="D1682" s="70"/>
      <c r="F1682" s="68"/>
      <c r="G1682" s="69"/>
      <c r="H1682" s="70"/>
      <c r="J1682" s="71"/>
      <c r="K1682" s="71"/>
      <c r="L1682" s="67"/>
      <c r="N1682" s="71"/>
      <c r="O1682" s="71"/>
      <c r="P1682" s="67"/>
      <c r="R1682" s="67"/>
      <c r="S1682" s="6"/>
      <c r="T1682" s="6"/>
      <c r="U1682" s="6"/>
      <c r="V1682" s="6"/>
      <c r="W1682" s="6"/>
      <c r="X1682" s="6"/>
      <c r="Y1682" s="6"/>
      <c r="Z1682" s="6"/>
      <c r="AA1682" s="6"/>
      <c r="AB1682" s="6"/>
      <c r="AC1682" s="6"/>
      <c r="AD1682" s="6"/>
      <c r="AE1682" s="6"/>
      <c r="AF1682" s="6"/>
      <c r="AG1682" s="6"/>
      <c r="AH1682" s="6"/>
      <c r="AI1682" s="6"/>
      <c r="AJ1682" s="6"/>
      <c r="AK1682" s="6"/>
      <c r="AL1682" s="6"/>
      <c r="AM1682" s="6"/>
      <c r="AN1682" s="6"/>
      <c r="AO1682" s="6"/>
      <c r="AP1682" s="6"/>
      <c r="AQ1682" s="6"/>
      <c r="AR1682" s="6"/>
      <c r="AS1682" s="6"/>
      <c r="AT1682" s="6"/>
      <c r="AU1682" s="6"/>
      <c r="AV1682" s="6"/>
      <c r="AW1682" s="6"/>
      <c r="AX1682" s="6"/>
      <c r="AY1682" s="6"/>
      <c r="AZ1682" s="6"/>
      <c r="BA1682" s="6"/>
      <c r="BB1682" s="6"/>
      <c r="BC1682" s="6"/>
      <c r="BD1682" s="6"/>
      <c r="BE1682" s="6"/>
      <c r="BF1682" s="6"/>
      <c r="BG1682" s="6"/>
      <c r="BH1682" s="6"/>
      <c r="BI1682" s="6"/>
      <c r="BJ1682" s="6"/>
      <c r="BK1682" s="6"/>
      <c r="BL1682" s="6"/>
      <c r="BM1682" s="6"/>
      <c r="BN1682" s="6"/>
      <c r="BO1682" s="6"/>
      <c r="BP1682" s="6"/>
      <c r="BQ1682" s="6"/>
      <c r="BR1682" s="6"/>
      <c r="BS1682" s="6"/>
      <c r="BT1682" s="6"/>
      <c r="BU1682" s="6"/>
      <c r="BV1682" s="6"/>
      <c r="BW1682" s="6"/>
      <c r="BX1682" s="6"/>
      <c r="BY1682" s="6"/>
      <c r="BZ1682" s="6"/>
      <c r="CA1682" s="6"/>
      <c r="CB1682" s="6"/>
      <c r="CC1682" s="6"/>
    </row>
    <row r="1683" spans="2:81" x14ac:dyDescent="0.2">
      <c r="B1683" s="68"/>
      <c r="C1683" s="69"/>
      <c r="D1683" s="70"/>
      <c r="F1683" s="68"/>
      <c r="G1683" s="69"/>
      <c r="H1683" s="70"/>
      <c r="J1683" s="71"/>
      <c r="K1683" s="71"/>
      <c r="L1683" s="67"/>
      <c r="N1683" s="71"/>
      <c r="O1683" s="71"/>
      <c r="P1683" s="67"/>
      <c r="R1683" s="67"/>
      <c r="S1683" s="6"/>
      <c r="T1683" s="6"/>
      <c r="U1683" s="6"/>
      <c r="V1683" s="6"/>
      <c r="W1683" s="6"/>
      <c r="X1683" s="6"/>
      <c r="Y1683" s="6"/>
      <c r="Z1683" s="6"/>
      <c r="AA1683" s="6"/>
      <c r="AB1683" s="6"/>
      <c r="AC1683" s="6"/>
      <c r="AD1683" s="6"/>
      <c r="AE1683" s="6"/>
      <c r="AF1683" s="6"/>
      <c r="AG1683" s="6"/>
      <c r="AH1683" s="6"/>
      <c r="AI1683" s="6"/>
      <c r="AJ1683" s="6"/>
      <c r="AK1683" s="6"/>
      <c r="AL1683" s="6"/>
      <c r="AM1683" s="6"/>
      <c r="AN1683" s="6"/>
      <c r="AO1683" s="6"/>
      <c r="AP1683" s="6"/>
      <c r="AQ1683" s="6"/>
      <c r="AR1683" s="6"/>
      <c r="AS1683" s="6"/>
      <c r="AT1683" s="6"/>
      <c r="AU1683" s="6"/>
      <c r="AV1683" s="6"/>
      <c r="AW1683" s="6"/>
      <c r="AX1683" s="6"/>
      <c r="AY1683" s="6"/>
      <c r="AZ1683" s="6"/>
      <c r="BA1683" s="6"/>
      <c r="BB1683" s="6"/>
      <c r="BC1683" s="6"/>
      <c r="BD1683" s="6"/>
      <c r="BE1683" s="6"/>
      <c r="BF1683" s="6"/>
      <c r="BG1683" s="6"/>
      <c r="BH1683" s="6"/>
      <c r="BI1683" s="6"/>
      <c r="BJ1683" s="6"/>
      <c r="BK1683" s="6"/>
      <c r="BL1683" s="6"/>
      <c r="BM1683" s="6"/>
      <c r="BN1683" s="6"/>
      <c r="BO1683" s="6"/>
      <c r="BP1683" s="6"/>
      <c r="BQ1683" s="6"/>
      <c r="BR1683" s="6"/>
      <c r="BS1683" s="6"/>
      <c r="BT1683" s="6"/>
      <c r="BU1683" s="6"/>
      <c r="BV1683" s="6"/>
      <c r="BW1683" s="6"/>
      <c r="BX1683" s="6"/>
      <c r="BY1683" s="6"/>
      <c r="BZ1683" s="6"/>
      <c r="CA1683" s="6"/>
      <c r="CB1683" s="6"/>
      <c r="CC1683" s="6"/>
    </row>
    <row r="1684" spans="2:81" x14ac:dyDescent="0.2">
      <c r="B1684" s="68"/>
      <c r="C1684" s="69"/>
      <c r="D1684" s="70"/>
      <c r="F1684" s="68"/>
      <c r="G1684" s="69"/>
      <c r="H1684" s="70"/>
      <c r="J1684" s="71"/>
      <c r="K1684" s="71"/>
      <c r="L1684" s="67"/>
      <c r="N1684" s="71"/>
      <c r="O1684" s="71"/>
      <c r="P1684" s="67"/>
      <c r="R1684" s="67"/>
      <c r="S1684" s="6"/>
      <c r="T1684" s="6"/>
      <c r="U1684" s="6"/>
      <c r="V1684" s="6"/>
      <c r="W1684" s="6"/>
      <c r="X1684" s="6"/>
      <c r="Y1684" s="6"/>
      <c r="Z1684" s="6"/>
      <c r="AA1684" s="6"/>
      <c r="AB1684" s="6"/>
      <c r="AC1684" s="6"/>
      <c r="AD1684" s="6"/>
      <c r="AE1684" s="6"/>
      <c r="AF1684" s="6"/>
      <c r="AG1684" s="6"/>
      <c r="AH1684" s="6"/>
      <c r="AI1684" s="6"/>
      <c r="AJ1684" s="6"/>
      <c r="AK1684" s="6"/>
      <c r="AL1684" s="6"/>
      <c r="AM1684" s="6"/>
      <c r="AN1684" s="6"/>
      <c r="AO1684" s="6"/>
      <c r="AP1684" s="6"/>
      <c r="AQ1684" s="6"/>
      <c r="AR1684" s="6"/>
      <c r="AS1684" s="6"/>
      <c r="AT1684" s="6"/>
      <c r="AU1684" s="6"/>
      <c r="AV1684" s="6"/>
      <c r="AW1684" s="6"/>
      <c r="AX1684" s="6"/>
      <c r="AY1684" s="6"/>
      <c r="AZ1684" s="6"/>
      <c r="BA1684" s="6"/>
      <c r="BB1684" s="6"/>
      <c r="BC1684" s="6"/>
      <c r="BD1684" s="6"/>
      <c r="BE1684" s="6"/>
      <c r="BF1684" s="6"/>
      <c r="BG1684" s="6"/>
      <c r="BH1684" s="6"/>
      <c r="BI1684" s="6"/>
      <c r="BJ1684" s="6"/>
      <c r="BK1684" s="6"/>
      <c r="BL1684" s="6"/>
      <c r="BM1684" s="6"/>
      <c r="BN1684" s="6"/>
      <c r="BO1684" s="6"/>
      <c r="BP1684" s="6"/>
      <c r="BQ1684" s="6"/>
      <c r="BR1684" s="6"/>
      <c r="BS1684" s="6"/>
      <c r="BT1684" s="6"/>
      <c r="BU1684" s="6"/>
      <c r="BV1684" s="6"/>
      <c r="BW1684" s="6"/>
      <c r="BX1684" s="6"/>
      <c r="BY1684" s="6"/>
      <c r="BZ1684" s="6"/>
      <c r="CA1684" s="6"/>
      <c r="CB1684" s="6"/>
      <c r="CC1684" s="6"/>
    </row>
    <row r="1685" spans="2:81" x14ac:dyDescent="0.2">
      <c r="B1685" s="68"/>
      <c r="C1685" s="69"/>
      <c r="D1685" s="70"/>
      <c r="F1685" s="68"/>
      <c r="G1685" s="69"/>
      <c r="H1685" s="70"/>
      <c r="J1685" s="71"/>
      <c r="K1685" s="71"/>
      <c r="L1685" s="67"/>
      <c r="N1685" s="71"/>
      <c r="O1685" s="71"/>
      <c r="P1685" s="67"/>
      <c r="R1685" s="67"/>
      <c r="S1685" s="6"/>
      <c r="T1685" s="6"/>
      <c r="U1685" s="6"/>
      <c r="V1685" s="6"/>
      <c r="W1685" s="6"/>
      <c r="X1685" s="6"/>
      <c r="Y1685" s="6"/>
      <c r="Z1685" s="6"/>
      <c r="AA1685" s="6"/>
      <c r="AB1685" s="6"/>
      <c r="AC1685" s="6"/>
      <c r="AD1685" s="6"/>
      <c r="AE1685" s="6"/>
      <c r="AF1685" s="6"/>
      <c r="AG1685" s="6"/>
      <c r="AH1685" s="6"/>
      <c r="AI1685" s="6"/>
      <c r="AJ1685" s="6"/>
      <c r="AK1685" s="6"/>
      <c r="AL1685" s="6"/>
      <c r="AM1685" s="6"/>
      <c r="AN1685" s="6"/>
      <c r="AO1685" s="6"/>
      <c r="AP1685" s="6"/>
      <c r="AQ1685" s="6"/>
      <c r="AR1685" s="6"/>
      <c r="AS1685" s="6"/>
      <c r="AT1685" s="6"/>
      <c r="AU1685" s="6"/>
      <c r="AV1685" s="6"/>
      <c r="AW1685" s="6"/>
      <c r="AX1685" s="6"/>
      <c r="AY1685" s="6"/>
      <c r="AZ1685" s="6"/>
      <c r="BA1685" s="6"/>
      <c r="BB1685" s="6"/>
      <c r="BC1685" s="6"/>
      <c r="BD1685" s="6"/>
      <c r="BE1685" s="6"/>
      <c r="BF1685" s="6"/>
      <c r="BG1685" s="6"/>
      <c r="BH1685" s="6"/>
      <c r="BI1685" s="6"/>
      <c r="BJ1685" s="6"/>
      <c r="BK1685" s="6"/>
      <c r="BL1685" s="6"/>
      <c r="BM1685" s="6"/>
      <c r="BN1685" s="6"/>
      <c r="BO1685" s="6"/>
      <c r="BP1685" s="6"/>
      <c r="BQ1685" s="6"/>
      <c r="BR1685" s="6"/>
      <c r="BS1685" s="6"/>
      <c r="BT1685" s="6"/>
      <c r="BU1685" s="6"/>
      <c r="BV1685" s="6"/>
      <c r="BW1685" s="6"/>
      <c r="BX1685" s="6"/>
      <c r="BY1685" s="6"/>
      <c r="BZ1685" s="6"/>
      <c r="CA1685" s="6"/>
      <c r="CB1685" s="6"/>
      <c r="CC1685" s="6"/>
    </row>
    <row r="1686" spans="2:81" x14ac:dyDescent="0.2">
      <c r="B1686" s="68"/>
      <c r="C1686" s="69"/>
      <c r="D1686" s="70"/>
      <c r="F1686" s="68"/>
      <c r="G1686" s="69"/>
      <c r="H1686" s="70"/>
      <c r="J1686" s="71"/>
      <c r="K1686" s="71"/>
      <c r="L1686" s="67"/>
      <c r="N1686" s="71"/>
      <c r="O1686" s="71"/>
      <c r="P1686" s="67"/>
      <c r="R1686" s="67"/>
      <c r="S1686" s="6"/>
      <c r="T1686" s="6"/>
      <c r="U1686" s="6"/>
      <c r="V1686" s="6"/>
      <c r="W1686" s="6"/>
      <c r="X1686" s="6"/>
      <c r="Y1686" s="6"/>
      <c r="Z1686" s="6"/>
      <c r="AA1686" s="6"/>
      <c r="AB1686" s="6"/>
      <c r="AC1686" s="6"/>
      <c r="AD1686" s="6"/>
      <c r="AE1686" s="6"/>
      <c r="AF1686" s="6"/>
      <c r="AG1686" s="6"/>
      <c r="AH1686" s="6"/>
      <c r="AI1686" s="6"/>
      <c r="AJ1686" s="6"/>
      <c r="AK1686" s="6"/>
      <c r="AL1686" s="6"/>
      <c r="AM1686" s="6"/>
      <c r="AN1686" s="6"/>
      <c r="AO1686" s="6"/>
      <c r="AP1686" s="6"/>
      <c r="AQ1686" s="6"/>
      <c r="AR1686" s="6"/>
      <c r="AS1686" s="6"/>
      <c r="AT1686" s="6"/>
      <c r="AU1686" s="6"/>
      <c r="AV1686" s="6"/>
      <c r="AW1686" s="6"/>
      <c r="AX1686" s="6"/>
      <c r="AY1686" s="6"/>
      <c r="AZ1686" s="6"/>
      <c r="BA1686" s="6"/>
      <c r="BB1686" s="6"/>
      <c r="BC1686" s="6"/>
      <c r="BD1686" s="6"/>
      <c r="BE1686" s="6"/>
      <c r="BF1686" s="6"/>
      <c r="BG1686" s="6"/>
      <c r="BH1686" s="6"/>
      <c r="BI1686" s="6"/>
      <c r="BJ1686" s="6"/>
      <c r="BK1686" s="6"/>
      <c r="BL1686" s="6"/>
      <c r="BM1686" s="6"/>
      <c r="BN1686" s="6"/>
      <c r="BO1686" s="6"/>
      <c r="BP1686" s="6"/>
      <c r="BQ1686" s="6"/>
      <c r="BR1686" s="6"/>
      <c r="BS1686" s="6"/>
      <c r="BT1686" s="6"/>
      <c r="BU1686" s="6"/>
      <c r="BV1686" s="6"/>
      <c r="BW1686" s="6"/>
      <c r="BX1686" s="6"/>
      <c r="BY1686" s="6"/>
      <c r="BZ1686" s="6"/>
      <c r="CA1686" s="6"/>
      <c r="CB1686" s="6"/>
      <c r="CC1686" s="6"/>
    </row>
    <row r="1687" spans="2:81" x14ac:dyDescent="0.2">
      <c r="B1687" s="68"/>
      <c r="C1687" s="69"/>
      <c r="D1687" s="70"/>
      <c r="F1687" s="68"/>
      <c r="G1687" s="69"/>
      <c r="H1687" s="70"/>
      <c r="J1687" s="71"/>
      <c r="K1687" s="71"/>
      <c r="L1687" s="67"/>
      <c r="N1687" s="71"/>
      <c r="O1687" s="71"/>
      <c r="P1687" s="67"/>
      <c r="R1687" s="67"/>
      <c r="S1687" s="6"/>
      <c r="T1687" s="6"/>
      <c r="U1687" s="6"/>
      <c r="V1687" s="6"/>
      <c r="W1687" s="6"/>
      <c r="X1687" s="6"/>
      <c r="Y1687" s="6"/>
      <c r="Z1687" s="6"/>
      <c r="AA1687" s="6"/>
      <c r="AB1687" s="6"/>
      <c r="AC1687" s="6"/>
      <c r="AD1687" s="6"/>
      <c r="AE1687" s="6"/>
      <c r="AF1687" s="6"/>
      <c r="AG1687" s="6"/>
      <c r="AH1687" s="6"/>
      <c r="AI1687" s="6"/>
      <c r="AJ1687" s="6"/>
      <c r="AK1687" s="6"/>
      <c r="AL1687" s="6"/>
      <c r="AM1687" s="6"/>
      <c r="AN1687" s="6"/>
      <c r="AO1687" s="6"/>
      <c r="AP1687" s="6"/>
      <c r="AQ1687" s="6"/>
      <c r="AR1687" s="6"/>
      <c r="AS1687" s="6"/>
      <c r="AT1687" s="6"/>
      <c r="AU1687" s="6"/>
      <c r="AV1687" s="6"/>
      <c r="AW1687" s="6"/>
      <c r="AX1687" s="6"/>
      <c r="AY1687" s="6"/>
      <c r="AZ1687" s="6"/>
      <c r="BA1687" s="6"/>
      <c r="BB1687" s="6"/>
      <c r="BC1687" s="6"/>
      <c r="BD1687" s="6"/>
      <c r="BE1687" s="6"/>
      <c r="BF1687" s="6"/>
      <c r="BG1687" s="6"/>
      <c r="BH1687" s="6"/>
      <c r="BI1687" s="6"/>
      <c r="BJ1687" s="6"/>
      <c r="BK1687" s="6"/>
      <c r="BL1687" s="6"/>
      <c r="BM1687" s="6"/>
      <c r="BN1687" s="6"/>
      <c r="BO1687" s="6"/>
      <c r="BP1687" s="6"/>
      <c r="BQ1687" s="6"/>
      <c r="BR1687" s="6"/>
      <c r="BS1687" s="6"/>
      <c r="BT1687" s="6"/>
      <c r="BU1687" s="6"/>
      <c r="BV1687" s="6"/>
      <c r="BW1687" s="6"/>
      <c r="BX1687" s="6"/>
      <c r="BY1687" s="6"/>
      <c r="BZ1687" s="6"/>
      <c r="CA1687" s="6"/>
      <c r="CB1687" s="6"/>
      <c r="CC1687" s="6"/>
    </row>
    <row r="1688" spans="2:81" x14ac:dyDescent="0.2">
      <c r="B1688" s="68"/>
      <c r="C1688" s="69"/>
      <c r="D1688" s="70"/>
      <c r="F1688" s="68"/>
      <c r="G1688" s="69"/>
      <c r="H1688" s="70"/>
      <c r="J1688" s="71"/>
      <c r="K1688" s="71"/>
      <c r="L1688" s="67"/>
      <c r="N1688" s="71"/>
      <c r="O1688" s="71"/>
      <c r="P1688" s="67"/>
      <c r="R1688" s="67"/>
      <c r="S1688" s="6"/>
      <c r="T1688" s="6"/>
      <c r="U1688" s="6"/>
      <c r="V1688" s="6"/>
      <c r="W1688" s="6"/>
      <c r="X1688" s="6"/>
      <c r="Y1688" s="6"/>
      <c r="Z1688" s="6"/>
      <c r="AA1688" s="6"/>
      <c r="AB1688" s="6"/>
      <c r="AC1688" s="6"/>
      <c r="AD1688" s="6"/>
      <c r="AE1688" s="6"/>
      <c r="AF1688" s="6"/>
      <c r="AG1688" s="6"/>
      <c r="AH1688" s="6"/>
      <c r="AI1688" s="6"/>
      <c r="AJ1688" s="6"/>
      <c r="AK1688" s="6"/>
      <c r="AL1688" s="6"/>
      <c r="AM1688" s="6"/>
      <c r="AN1688" s="6"/>
      <c r="AO1688" s="6"/>
      <c r="AP1688" s="6"/>
      <c r="AQ1688" s="6"/>
      <c r="AR1688" s="6"/>
      <c r="AS1688" s="6"/>
      <c r="AT1688" s="6"/>
      <c r="AU1688" s="6"/>
      <c r="AV1688" s="6"/>
      <c r="AW1688" s="6"/>
      <c r="AX1688" s="6"/>
      <c r="AY1688" s="6"/>
      <c r="AZ1688" s="6"/>
      <c r="BA1688" s="6"/>
      <c r="BB1688" s="6"/>
      <c r="BC1688" s="6"/>
      <c r="BD1688" s="6"/>
      <c r="BE1688" s="6"/>
      <c r="BF1688" s="6"/>
      <c r="BG1688" s="6"/>
      <c r="BH1688" s="6"/>
      <c r="BI1688" s="6"/>
      <c r="BJ1688" s="6"/>
      <c r="BK1688" s="6"/>
      <c r="BL1688" s="6"/>
      <c r="BM1688" s="6"/>
      <c r="BN1688" s="6"/>
      <c r="BO1688" s="6"/>
      <c r="BP1688" s="6"/>
      <c r="BQ1688" s="6"/>
      <c r="BR1688" s="6"/>
      <c r="BS1688" s="6"/>
      <c r="BT1688" s="6"/>
      <c r="BU1688" s="6"/>
      <c r="BV1688" s="6"/>
      <c r="BW1688" s="6"/>
      <c r="BX1688" s="6"/>
      <c r="BY1688" s="6"/>
      <c r="BZ1688" s="6"/>
      <c r="CA1688" s="6"/>
      <c r="CB1688" s="6"/>
      <c r="CC1688" s="6"/>
    </row>
    <row r="1689" spans="2:81" x14ac:dyDescent="0.2">
      <c r="B1689" s="68"/>
      <c r="C1689" s="69"/>
      <c r="D1689" s="70"/>
      <c r="F1689" s="68"/>
      <c r="G1689" s="69"/>
      <c r="H1689" s="70"/>
      <c r="J1689" s="71"/>
      <c r="K1689" s="71"/>
      <c r="L1689" s="67"/>
      <c r="N1689" s="71"/>
      <c r="O1689" s="71"/>
      <c r="P1689" s="67"/>
      <c r="R1689" s="67"/>
      <c r="S1689" s="6"/>
      <c r="T1689" s="6"/>
      <c r="U1689" s="6"/>
      <c r="V1689" s="6"/>
      <c r="W1689" s="6"/>
      <c r="X1689" s="6"/>
      <c r="Y1689" s="6"/>
      <c r="Z1689" s="6"/>
      <c r="AA1689" s="6"/>
      <c r="AB1689" s="6"/>
      <c r="AC1689" s="6"/>
      <c r="AD1689" s="6"/>
      <c r="AE1689" s="6"/>
      <c r="AF1689" s="6"/>
      <c r="AG1689" s="6"/>
      <c r="AH1689" s="6"/>
      <c r="AI1689" s="6"/>
      <c r="AJ1689" s="6"/>
      <c r="AK1689" s="6"/>
      <c r="AL1689" s="6"/>
      <c r="AM1689" s="6"/>
      <c r="AN1689" s="6"/>
      <c r="AO1689" s="6"/>
      <c r="AP1689" s="6"/>
      <c r="AQ1689" s="6"/>
      <c r="AR1689" s="6"/>
      <c r="AS1689" s="6"/>
      <c r="AT1689" s="6"/>
      <c r="AU1689" s="6"/>
      <c r="AV1689" s="6"/>
      <c r="AW1689" s="6"/>
      <c r="AX1689" s="6"/>
      <c r="AY1689" s="6"/>
      <c r="AZ1689" s="6"/>
      <c r="BA1689" s="6"/>
      <c r="BB1689" s="6"/>
      <c r="BC1689" s="6"/>
      <c r="BD1689" s="6"/>
      <c r="BE1689" s="6"/>
      <c r="BF1689" s="6"/>
      <c r="BG1689" s="6"/>
      <c r="BH1689" s="6"/>
      <c r="BI1689" s="6"/>
      <c r="BJ1689" s="6"/>
      <c r="BK1689" s="6"/>
      <c r="BL1689" s="6"/>
      <c r="BM1689" s="6"/>
      <c r="BN1689" s="6"/>
      <c r="BO1689" s="6"/>
      <c r="BP1689" s="6"/>
      <c r="BQ1689" s="6"/>
      <c r="BR1689" s="6"/>
      <c r="BS1689" s="6"/>
      <c r="BT1689" s="6"/>
      <c r="BU1689" s="6"/>
      <c r="BV1689" s="6"/>
      <c r="BW1689" s="6"/>
      <c r="BX1689" s="6"/>
      <c r="BY1689" s="6"/>
      <c r="BZ1689" s="6"/>
      <c r="CA1689" s="6"/>
      <c r="CB1689" s="6"/>
      <c r="CC1689" s="6"/>
    </row>
    <row r="1690" spans="2:81" x14ac:dyDescent="0.2">
      <c r="B1690" s="68"/>
      <c r="C1690" s="69"/>
      <c r="D1690" s="70"/>
      <c r="F1690" s="68"/>
      <c r="G1690" s="69"/>
      <c r="H1690" s="70"/>
      <c r="J1690" s="71"/>
      <c r="K1690" s="71"/>
      <c r="L1690" s="67"/>
      <c r="N1690" s="71"/>
      <c r="O1690" s="71"/>
      <c r="P1690" s="67"/>
      <c r="R1690" s="67"/>
      <c r="S1690" s="6"/>
      <c r="T1690" s="6"/>
      <c r="U1690" s="6"/>
      <c r="V1690" s="6"/>
      <c r="W1690" s="6"/>
      <c r="X1690" s="6"/>
      <c r="Y1690" s="6"/>
      <c r="Z1690" s="6"/>
      <c r="AA1690" s="6"/>
      <c r="AB1690" s="6"/>
      <c r="AC1690" s="6"/>
      <c r="AD1690" s="6"/>
      <c r="AE1690" s="6"/>
      <c r="AF1690" s="6"/>
      <c r="AG1690" s="6"/>
      <c r="AH1690" s="6"/>
      <c r="AI1690" s="6"/>
      <c r="AJ1690" s="6"/>
      <c r="AK1690" s="6"/>
      <c r="AL1690" s="6"/>
      <c r="AM1690" s="6"/>
      <c r="AN1690" s="6"/>
      <c r="AO1690" s="6"/>
      <c r="AP1690" s="6"/>
      <c r="AQ1690" s="6"/>
      <c r="AR1690" s="6"/>
      <c r="AS1690" s="6"/>
      <c r="AT1690" s="6"/>
      <c r="AU1690" s="6"/>
      <c r="AV1690" s="6"/>
      <c r="AW1690" s="6"/>
      <c r="AX1690" s="6"/>
      <c r="AY1690" s="6"/>
      <c r="AZ1690" s="6"/>
      <c r="BA1690" s="6"/>
      <c r="BB1690" s="6"/>
      <c r="BC1690" s="6"/>
      <c r="BD1690" s="6"/>
      <c r="BE1690" s="6"/>
      <c r="BF1690" s="6"/>
      <c r="BG1690" s="6"/>
      <c r="BH1690" s="6"/>
      <c r="BI1690" s="6"/>
      <c r="BJ1690" s="6"/>
      <c r="BK1690" s="6"/>
      <c r="BL1690" s="6"/>
      <c r="BM1690" s="6"/>
      <c r="BN1690" s="6"/>
      <c r="BO1690" s="6"/>
      <c r="BP1690" s="6"/>
      <c r="BQ1690" s="6"/>
      <c r="BR1690" s="6"/>
      <c r="BS1690" s="6"/>
      <c r="BT1690" s="6"/>
      <c r="BU1690" s="6"/>
      <c r="BV1690" s="6"/>
      <c r="BW1690" s="6"/>
      <c r="BX1690" s="6"/>
      <c r="BY1690" s="6"/>
      <c r="BZ1690" s="6"/>
      <c r="CA1690" s="6"/>
      <c r="CB1690" s="6"/>
      <c r="CC1690" s="6"/>
    </row>
    <row r="1691" spans="2:81" x14ac:dyDescent="0.2">
      <c r="B1691" s="68"/>
      <c r="C1691" s="69"/>
      <c r="D1691" s="70"/>
      <c r="F1691" s="68"/>
      <c r="G1691" s="69"/>
      <c r="H1691" s="70"/>
      <c r="J1691" s="71"/>
      <c r="K1691" s="71"/>
      <c r="L1691" s="67"/>
      <c r="N1691" s="71"/>
      <c r="O1691" s="71"/>
      <c r="P1691" s="67"/>
      <c r="R1691" s="67"/>
      <c r="S1691" s="6"/>
      <c r="T1691" s="6"/>
      <c r="U1691" s="6"/>
      <c r="V1691" s="6"/>
      <c r="W1691" s="6"/>
      <c r="X1691" s="6"/>
      <c r="Y1691" s="6"/>
      <c r="Z1691" s="6"/>
      <c r="AA1691" s="6"/>
      <c r="AB1691" s="6"/>
      <c r="AC1691" s="6"/>
      <c r="AD1691" s="6"/>
      <c r="AE1691" s="6"/>
      <c r="AF1691" s="6"/>
      <c r="AG1691" s="6"/>
      <c r="AH1691" s="6"/>
      <c r="AI1691" s="6"/>
      <c r="AJ1691" s="6"/>
      <c r="AK1691" s="6"/>
      <c r="AL1691" s="6"/>
      <c r="AM1691" s="6"/>
      <c r="AN1691" s="6"/>
      <c r="AO1691" s="6"/>
      <c r="AP1691" s="6"/>
      <c r="AQ1691" s="6"/>
      <c r="AR1691" s="6"/>
      <c r="AS1691" s="6"/>
      <c r="AT1691" s="6"/>
      <c r="AU1691" s="6"/>
      <c r="AV1691" s="6"/>
      <c r="AW1691" s="6"/>
      <c r="AX1691" s="6"/>
      <c r="AY1691" s="6"/>
      <c r="AZ1691" s="6"/>
      <c r="BA1691" s="6"/>
      <c r="BB1691" s="6"/>
      <c r="BC1691" s="6"/>
      <c r="BD1691" s="6"/>
      <c r="BE1691" s="6"/>
      <c r="BF1691" s="6"/>
      <c r="BG1691" s="6"/>
      <c r="BH1691" s="6"/>
      <c r="BI1691" s="6"/>
      <c r="BJ1691" s="6"/>
      <c r="BK1691" s="6"/>
      <c r="BL1691" s="6"/>
      <c r="BM1691" s="6"/>
      <c r="BN1691" s="6"/>
      <c r="BO1691" s="6"/>
      <c r="BP1691" s="6"/>
      <c r="BQ1691" s="6"/>
      <c r="BR1691" s="6"/>
      <c r="BS1691" s="6"/>
      <c r="BT1691" s="6"/>
      <c r="BU1691" s="6"/>
      <c r="BV1691" s="6"/>
      <c r="BW1691" s="6"/>
      <c r="BX1691" s="6"/>
      <c r="BY1691" s="6"/>
      <c r="BZ1691" s="6"/>
      <c r="CA1691" s="6"/>
      <c r="CB1691" s="6"/>
      <c r="CC1691" s="6"/>
    </row>
    <row r="1692" spans="2:81" x14ac:dyDescent="0.2">
      <c r="B1692" s="68"/>
      <c r="C1692" s="69"/>
      <c r="D1692" s="70"/>
      <c r="F1692" s="68"/>
      <c r="G1692" s="69"/>
      <c r="H1692" s="70"/>
      <c r="J1692" s="71"/>
      <c r="K1692" s="71"/>
      <c r="L1692" s="67"/>
      <c r="N1692" s="71"/>
      <c r="O1692" s="71"/>
      <c r="P1692" s="67"/>
      <c r="R1692" s="67"/>
      <c r="S1692" s="6"/>
      <c r="T1692" s="6"/>
      <c r="U1692" s="6"/>
      <c r="V1692" s="6"/>
      <c r="W1692" s="6"/>
      <c r="X1692" s="6"/>
      <c r="Y1692" s="6"/>
      <c r="Z1692" s="6"/>
      <c r="AA1692" s="6"/>
      <c r="AB1692" s="6"/>
      <c r="AC1692" s="6"/>
      <c r="AD1692" s="6"/>
      <c r="AE1692" s="6"/>
      <c r="AF1692" s="6"/>
      <c r="AG1692" s="6"/>
      <c r="AH1692" s="6"/>
      <c r="AI1692" s="6"/>
      <c r="AJ1692" s="6"/>
      <c r="AK1692" s="6"/>
      <c r="AL1692" s="6"/>
      <c r="AM1692" s="6"/>
      <c r="AN1692" s="6"/>
      <c r="AO1692" s="6"/>
      <c r="AP1692" s="6"/>
      <c r="AQ1692" s="6"/>
      <c r="AR1692" s="6"/>
      <c r="AS1692" s="6"/>
      <c r="AT1692" s="6"/>
      <c r="AU1692" s="6"/>
      <c r="AV1692" s="6"/>
      <c r="AW1692" s="6"/>
      <c r="AX1692" s="6"/>
      <c r="AY1692" s="6"/>
      <c r="AZ1692" s="6"/>
      <c r="BA1692" s="6"/>
      <c r="BB1692" s="6"/>
      <c r="BC1692" s="6"/>
      <c r="BD1692" s="6"/>
      <c r="BE1692" s="6"/>
      <c r="BF1692" s="6"/>
      <c r="BG1692" s="6"/>
      <c r="BH1692" s="6"/>
      <c r="BI1692" s="6"/>
      <c r="BJ1692" s="6"/>
      <c r="BK1692" s="6"/>
      <c r="BL1692" s="6"/>
      <c r="BM1692" s="6"/>
      <c r="BN1692" s="6"/>
      <c r="BO1692" s="6"/>
      <c r="BP1692" s="6"/>
      <c r="BQ1692" s="6"/>
      <c r="BR1692" s="6"/>
      <c r="BS1692" s="6"/>
      <c r="BT1692" s="6"/>
      <c r="BU1692" s="6"/>
      <c r="BV1692" s="6"/>
      <c r="BW1692" s="6"/>
      <c r="BX1692" s="6"/>
      <c r="BY1692" s="6"/>
      <c r="BZ1692" s="6"/>
      <c r="CA1692" s="6"/>
      <c r="CB1692" s="6"/>
      <c r="CC1692" s="6"/>
    </row>
    <row r="1693" spans="2:81" x14ac:dyDescent="0.2">
      <c r="B1693" s="68"/>
      <c r="C1693" s="69"/>
      <c r="D1693" s="70"/>
      <c r="F1693" s="68"/>
      <c r="G1693" s="69"/>
      <c r="H1693" s="70"/>
      <c r="J1693" s="71"/>
      <c r="K1693" s="71"/>
      <c r="L1693" s="67"/>
      <c r="N1693" s="71"/>
      <c r="O1693" s="71"/>
      <c r="P1693" s="67"/>
      <c r="R1693" s="67"/>
      <c r="S1693" s="6"/>
      <c r="T1693" s="6"/>
      <c r="U1693" s="6"/>
      <c r="V1693" s="6"/>
      <c r="W1693" s="6"/>
      <c r="X1693" s="6"/>
      <c r="Y1693" s="6"/>
      <c r="Z1693" s="6"/>
      <c r="AA1693" s="6"/>
      <c r="AB1693" s="6"/>
      <c r="AC1693" s="6"/>
      <c r="AD1693" s="6"/>
      <c r="AE1693" s="6"/>
      <c r="AF1693" s="6"/>
      <c r="AG1693" s="6"/>
      <c r="AH1693" s="6"/>
      <c r="AI1693" s="6"/>
      <c r="AJ1693" s="6"/>
      <c r="AK1693" s="6"/>
      <c r="AL1693" s="6"/>
      <c r="AM1693" s="6"/>
      <c r="AN1693" s="6"/>
      <c r="AO1693" s="6"/>
      <c r="AP1693" s="6"/>
      <c r="AQ1693" s="6"/>
      <c r="AR1693" s="6"/>
      <c r="AS1693" s="6"/>
      <c r="AT1693" s="6"/>
      <c r="AU1693" s="6"/>
      <c r="AV1693" s="6"/>
      <c r="AW1693" s="6"/>
      <c r="AX1693" s="6"/>
      <c r="AY1693" s="6"/>
      <c r="AZ1693" s="6"/>
      <c r="BA1693" s="6"/>
      <c r="BB1693" s="6"/>
      <c r="BC1693" s="6"/>
      <c r="BD1693" s="6"/>
      <c r="BE1693" s="6"/>
      <c r="BF1693" s="6"/>
      <c r="BG1693" s="6"/>
      <c r="BH1693" s="6"/>
      <c r="BI1693" s="6"/>
      <c r="BJ1693" s="6"/>
      <c r="BK1693" s="6"/>
      <c r="BL1693" s="6"/>
      <c r="BM1693" s="6"/>
      <c r="BN1693" s="6"/>
      <c r="BO1693" s="6"/>
      <c r="BP1693" s="6"/>
      <c r="BQ1693" s="6"/>
      <c r="BR1693" s="6"/>
      <c r="BS1693" s="6"/>
      <c r="BT1693" s="6"/>
      <c r="BU1693" s="6"/>
      <c r="BV1693" s="6"/>
      <c r="BW1693" s="6"/>
      <c r="BX1693" s="6"/>
      <c r="BY1693" s="6"/>
      <c r="BZ1693" s="6"/>
      <c r="CA1693" s="6"/>
      <c r="CB1693" s="6"/>
      <c r="CC1693" s="6"/>
    </row>
    <row r="1694" spans="2:81" x14ac:dyDescent="0.2">
      <c r="B1694" s="68"/>
      <c r="C1694" s="69"/>
      <c r="D1694" s="70"/>
      <c r="F1694" s="68"/>
      <c r="G1694" s="69"/>
      <c r="H1694" s="70"/>
      <c r="J1694" s="71"/>
      <c r="K1694" s="71"/>
      <c r="L1694" s="67"/>
      <c r="N1694" s="71"/>
      <c r="O1694" s="71"/>
      <c r="P1694" s="67"/>
      <c r="R1694" s="67"/>
      <c r="S1694" s="6"/>
      <c r="T1694" s="6"/>
      <c r="U1694" s="6"/>
      <c r="V1694" s="6"/>
      <c r="W1694" s="6"/>
      <c r="X1694" s="6"/>
      <c r="Y1694" s="6"/>
      <c r="Z1694" s="6"/>
      <c r="AA1694" s="6"/>
      <c r="AB1694" s="6"/>
      <c r="AC1694" s="6"/>
      <c r="AD1694" s="6"/>
      <c r="AE1694" s="6"/>
      <c r="AF1694" s="6"/>
      <c r="AG1694" s="6"/>
      <c r="AH1694" s="6"/>
      <c r="AI1694" s="6"/>
      <c r="AJ1694" s="6"/>
      <c r="AK1694" s="6"/>
      <c r="AL1694" s="6"/>
      <c r="AM1694" s="6"/>
      <c r="AN1694" s="6"/>
      <c r="AO1694" s="6"/>
      <c r="AP1694" s="6"/>
      <c r="AQ1694" s="6"/>
      <c r="AR1694" s="6"/>
      <c r="AS1694" s="6"/>
      <c r="AT1694" s="6"/>
      <c r="AU1694" s="6"/>
      <c r="AV1694" s="6"/>
      <c r="AW1694" s="6"/>
      <c r="AX1694" s="6"/>
      <c r="AY1694" s="6"/>
      <c r="AZ1694" s="6"/>
      <c r="BA1694" s="6"/>
      <c r="BB1694" s="6"/>
      <c r="BC1694" s="6"/>
      <c r="BD1694" s="6"/>
      <c r="BE1694" s="6"/>
      <c r="BF1694" s="6"/>
      <c r="BG1694" s="6"/>
      <c r="BH1694" s="6"/>
      <c r="BI1694" s="6"/>
      <c r="BJ1694" s="6"/>
      <c r="BK1694" s="6"/>
      <c r="BL1694" s="6"/>
      <c r="BM1694" s="6"/>
      <c r="BN1694" s="6"/>
      <c r="BO1694" s="6"/>
      <c r="BP1694" s="6"/>
      <c r="BQ1694" s="6"/>
      <c r="BR1694" s="6"/>
      <c r="BS1694" s="6"/>
      <c r="BT1694" s="6"/>
      <c r="BU1694" s="6"/>
      <c r="BV1694" s="6"/>
      <c r="BW1694" s="6"/>
      <c r="BX1694" s="6"/>
      <c r="BY1694" s="6"/>
      <c r="BZ1694" s="6"/>
      <c r="CA1694" s="6"/>
      <c r="CB1694" s="6"/>
      <c r="CC1694" s="6"/>
    </row>
    <row r="1695" spans="2:81" x14ac:dyDescent="0.2">
      <c r="B1695" s="68"/>
      <c r="C1695" s="69"/>
      <c r="D1695" s="70"/>
      <c r="F1695" s="68"/>
      <c r="G1695" s="69"/>
      <c r="H1695" s="70"/>
      <c r="J1695" s="71"/>
      <c r="K1695" s="71"/>
      <c r="L1695" s="67"/>
      <c r="N1695" s="71"/>
      <c r="O1695" s="71"/>
      <c r="P1695" s="67"/>
      <c r="R1695" s="67"/>
      <c r="S1695" s="6"/>
      <c r="T1695" s="6"/>
      <c r="U1695" s="6"/>
      <c r="V1695" s="6"/>
      <c r="W1695" s="6"/>
      <c r="X1695" s="6"/>
      <c r="Y1695" s="6"/>
      <c r="Z1695" s="6"/>
      <c r="AA1695" s="6"/>
      <c r="AB1695" s="6"/>
      <c r="AC1695" s="6"/>
      <c r="AD1695" s="6"/>
      <c r="AE1695" s="6"/>
      <c r="AF1695" s="6"/>
      <c r="AG1695" s="6"/>
      <c r="AH1695" s="6"/>
      <c r="AI1695" s="6"/>
      <c r="AJ1695" s="6"/>
      <c r="AK1695" s="6"/>
      <c r="AL1695" s="6"/>
      <c r="AM1695" s="6"/>
      <c r="AN1695" s="6"/>
      <c r="AO1695" s="6"/>
      <c r="AP1695" s="6"/>
      <c r="AQ1695" s="6"/>
      <c r="AR1695" s="6"/>
      <c r="AS1695" s="6"/>
      <c r="AT1695" s="6"/>
      <c r="AU1695" s="6"/>
      <c r="AV1695" s="6"/>
      <c r="AW1695" s="6"/>
      <c r="AX1695" s="6"/>
      <c r="AY1695" s="6"/>
      <c r="AZ1695" s="6"/>
      <c r="BA1695" s="6"/>
      <c r="BB1695" s="6"/>
      <c r="BC1695" s="6"/>
      <c r="BD1695" s="6"/>
      <c r="BE1695" s="6"/>
      <c r="BF1695" s="6"/>
      <c r="BG1695" s="6"/>
      <c r="BH1695" s="6"/>
      <c r="BI1695" s="6"/>
      <c r="BJ1695" s="6"/>
      <c r="BK1695" s="6"/>
      <c r="BL1695" s="6"/>
      <c r="BM1695" s="6"/>
      <c r="BN1695" s="6"/>
      <c r="BO1695" s="6"/>
      <c r="BP1695" s="6"/>
      <c r="BQ1695" s="6"/>
      <c r="BR1695" s="6"/>
      <c r="BS1695" s="6"/>
      <c r="BT1695" s="6"/>
      <c r="BU1695" s="6"/>
      <c r="BV1695" s="6"/>
      <c r="BW1695" s="6"/>
      <c r="BX1695" s="6"/>
      <c r="BY1695" s="6"/>
      <c r="BZ1695" s="6"/>
      <c r="CA1695" s="6"/>
      <c r="CB1695" s="6"/>
      <c r="CC1695" s="6"/>
    </row>
    <row r="1696" spans="2:81" x14ac:dyDescent="0.2">
      <c r="B1696" s="68"/>
      <c r="C1696" s="69"/>
      <c r="D1696" s="70"/>
      <c r="F1696" s="68"/>
      <c r="G1696" s="69"/>
      <c r="H1696" s="70"/>
      <c r="J1696" s="71"/>
      <c r="K1696" s="71"/>
      <c r="L1696" s="67"/>
      <c r="N1696" s="71"/>
      <c r="O1696" s="71"/>
      <c r="P1696" s="67"/>
      <c r="R1696" s="67"/>
      <c r="S1696" s="6"/>
      <c r="T1696" s="6"/>
      <c r="U1696" s="6"/>
      <c r="V1696" s="6"/>
      <c r="W1696" s="6"/>
      <c r="X1696" s="6"/>
      <c r="Y1696" s="6"/>
      <c r="Z1696" s="6"/>
      <c r="AA1696" s="6"/>
      <c r="AB1696" s="6"/>
      <c r="AC1696" s="6"/>
      <c r="AD1696" s="6"/>
      <c r="AE1696" s="6"/>
      <c r="AF1696" s="6"/>
      <c r="AG1696" s="6"/>
      <c r="AH1696" s="6"/>
      <c r="AI1696" s="6"/>
      <c r="AJ1696" s="6"/>
      <c r="AK1696" s="6"/>
      <c r="AL1696" s="6"/>
      <c r="AM1696" s="6"/>
      <c r="AN1696" s="6"/>
      <c r="AO1696" s="6"/>
      <c r="AP1696" s="6"/>
      <c r="AQ1696" s="6"/>
      <c r="AR1696" s="6"/>
      <c r="AS1696" s="6"/>
      <c r="AT1696" s="6"/>
      <c r="AU1696" s="6"/>
      <c r="AV1696" s="6"/>
      <c r="AW1696" s="6"/>
      <c r="AX1696" s="6"/>
      <c r="AY1696" s="6"/>
      <c r="AZ1696" s="6"/>
      <c r="BA1696" s="6"/>
      <c r="BB1696" s="6"/>
      <c r="BC1696" s="6"/>
      <c r="BD1696" s="6"/>
      <c r="BE1696" s="6"/>
      <c r="BF1696" s="6"/>
      <c r="BG1696" s="6"/>
      <c r="BH1696" s="6"/>
      <c r="BI1696" s="6"/>
      <c r="BJ1696" s="6"/>
      <c r="BK1696" s="6"/>
      <c r="BL1696" s="6"/>
      <c r="BM1696" s="6"/>
      <c r="BN1696" s="6"/>
      <c r="BO1696" s="6"/>
      <c r="BP1696" s="6"/>
      <c r="BQ1696" s="6"/>
      <c r="BR1696" s="6"/>
      <c r="BS1696" s="6"/>
      <c r="BT1696" s="6"/>
      <c r="BU1696" s="6"/>
      <c r="BV1696" s="6"/>
      <c r="BW1696" s="6"/>
      <c r="BX1696" s="6"/>
      <c r="BY1696" s="6"/>
      <c r="BZ1696" s="6"/>
      <c r="CA1696" s="6"/>
      <c r="CB1696" s="6"/>
      <c r="CC1696" s="6"/>
    </row>
    <row r="1697" spans="2:81" x14ac:dyDescent="0.2">
      <c r="B1697" s="68"/>
      <c r="C1697" s="69"/>
      <c r="D1697" s="70"/>
      <c r="F1697" s="68"/>
      <c r="G1697" s="69"/>
      <c r="H1697" s="70"/>
      <c r="J1697" s="71"/>
      <c r="K1697" s="71"/>
      <c r="L1697" s="67"/>
      <c r="N1697" s="71"/>
      <c r="O1697" s="71"/>
      <c r="P1697" s="67"/>
      <c r="R1697" s="67"/>
      <c r="S1697" s="6"/>
      <c r="T1697" s="6"/>
      <c r="U1697" s="6"/>
      <c r="V1697" s="6"/>
      <c r="W1697" s="6"/>
      <c r="X1697" s="6"/>
      <c r="Y1697" s="6"/>
      <c r="Z1697" s="6"/>
      <c r="AA1697" s="6"/>
      <c r="AB1697" s="6"/>
      <c r="AC1697" s="6"/>
      <c r="AD1697" s="6"/>
      <c r="AE1697" s="6"/>
      <c r="AF1697" s="6"/>
      <c r="AG1697" s="6"/>
      <c r="AH1697" s="6"/>
      <c r="AI1697" s="6"/>
      <c r="AJ1697" s="6"/>
      <c r="AK1697" s="6"/>
      <c r="AL1697" s="6"/>
      <c r="AM1697" s="6"/>
      <c r="AN1697" s="6"/>
      <c r="AO1697" s="6"/>
      <c r="AP1697" s="6"/>
      <c r="AQ1697" s="6"/>
      <c r="AR1697" s="6"/>
      <c r="AS1697" s="6"/>
      <c r="AT1697" s="6"/>
      <c r="AU1697" s="6"/>
      <c r="AV1697" s="6"/>
      <c r="AW1697" s="6"/>
      <c r="AX1697" s="6"/>
      <c r="AY1697" s="6"/>
      <c r="AZ1697" s="6"/>
      <c r="BA1697" s="6"/>
      <c r="BB1697" s="6"/>
      <c r="BC1697" s="6"/>
      <c r="BD1697" s="6"/>
      <c r="BE1697" s="6"/>
      <c r="BF1697" s="6"/>
      <c r="BG1697" s="6"/>
      <c r="BH1697" s="6"/>
      <c r="BI1697" s="6"/>
      <c r="BJ1697" s="6"/>
      <c r="BK1697" s="6"/>
      <c r="BL1697" s="6"/>
      <c r="BM1697" s="6"/>
      <c r="BN1697" s="6"/>
      <c r="BO1697" s="6"/>
      <c r="BP1697" s="6"/>
      <c r="BQ1697" s="6"/>
      <c r="BR1697" s="6"/>
      <c r="BS1697" s="6"/>
      <c r="BT1697" s="6"/>
      <c r="BU1697" s="6"/>
      <c r="BV1697" s="6"/>
      <c r="BW1697" s="6"/>
      <c r="BX1697" s="6"/>
      <c r="BY1697" s="6"/>
      <c r="BZ1697" s="6"/>
      <c r="CA1697" s="6"/>
      <c r="CB1697" s="6"/>
      <c r="CC1697" s="6"/>
    </row>
    <row r="1698" spans="2:81" x14ac:dyDescent="0.2">
      <c r="B1698" s="68"/>
      <c r="C1698" s="69"/>
      <c r="D1698" s="70"/>
      <c r="F1698" s="68"/>
      <c r="G1698" s="69"/>
      <c r="H1698" s="70"/>
      <c r="J1698" s="71"/>
      <c r="K1698" s="71"/>
      <c r="L1698" s="67"/>
      <c r="N1698" s="71"/>
      <c r="O1698" s="71"/>
      <c r="P1698" s="67"/>
      <c r="R1698" s="67"/>
      <c r="S1698" s="6"/>
      <c r="T1698" s="6"/>
      <c r="U1698" s="6"/>
      <c r="V1698" s="6"/>
      <c r="W1698" s="6"/>
      <c r="X1698" s="6"/>
      <c r="Y1698" s="6"/>
      <c r="Z1698" s="6"/>
      <c r="AA1698" s="6"/>
      <c r="AB1698" s="6"/>
      <c r="AC1698" s="6"/>
      <c r="AD1698" s="6"/>
      <c r="AE1698" s="6"/>
      <c r="AF1698" s="6"/>
      <c r="AG1698" s="6"/>
      <c r="AH1698" s="6"/>
      <c r="AI1698" s="6"/>
      <c r="AJ1698" s="6"/>
      <c r="AK1698" s="6"/>
      <c r="AL1698" s="6"/>
      <c r="AM1698" s="6"/>
      <c r="AN1698" s="6"/>
      <c r="AO1698" s="6"/>
      <c r="AP1698" s="6"/>
      <c r="AQ1698" s="6"/>
      <c r="AR1698" s="6"/>
      <c r="AS1698" s="6"/>
      <c r="AT1698" s="6"/>
      <c r="AU1698" s="6"/>
      <c r="AV1698" s="6"/>
      <c r="AW1698" s="6"/>
      <c r="AX1698" s="6"/>
      <c r="AY1698" s="6"/>
      <c r="AZ1698" s="6"/>
      <c r="BA1698" s="6"/>
      <c r="BB1698" s="6"/>
      <c r="BC1698" s="6"/>
      <c r="BD1698" s="6"/>
      <c r="BE1698" s="6"/>
      <c r="BF1698" s="6"/>
      <c r="BG1698" s="6"/>
      <c r="BH1698" s="6"/>
      <c r="BI1698" s="6"/>
      <c r="BJ1698" s="6"/>
      <c r="BK1698" s="6"/>
      <c r="BL1698" s="6"/>
      <c r="BM1698" s="6"/>
      <c r="BN1698" s="6"/>
      <c r="BO1698" s="6"/>
      <c r="BP1698" s="6"/>
      <c r="BQ1698" s="6"/>
      <c r="BR1698" s="6"/>
      <c r="BS1698" s="6"/>
      <c r="BT1698" s="6"/>
      <c r="BU1698" s="6"/>
      <c r="BV1698" s="6"/>
      <c r="BW1698" s="6"/>
      <c r="BX1698" s="6"/>
      <c r="BY1698" s="6"/>
      <c r="BZ1698" s="6"/>
      <c r="CA1698" s="6"/>
      <c r="CB1698" s="6"/>
      <c r="CC1698" s="6"/>
    </row>
    <row r="1699" spans="2:81" x14ac:dyDescent="0.2">
      <c r="B1699" s="68"/>
      <c r="C1699" s="69"/>
      <c r="D1699" s="70"/>
      <c r="F1699" s="68"/>
      <c r="G1699" s="69"/>
      <c r="H1699" s="70"/>
      <c r="J1699" s="71"/>
      <c r="K1699" s="71"/>
      <c r="L1699" s="67"/>
      <c r="N1699" s="71"/>
      <c r="O1699" s="71"/>
      <c r="P1699" s="67"/>
      <c r="R1699" s="67"/>
      <c r="S1699" s="6"/>
      <c r="T1699" s="6"/>
      <c r="U1699" s="6"/>
      <c r="V1699" s="6"/>
      <c r="W1699" s="6"/>
      <c r="X1699" s="6"/>
      <c r="Y1699" s="6"/>
      <c r="Z1699" s="6"/>
      <c r="AA1699" s="6"/>
      <c r="AB1699" s="6"/>
      <c r="AC1699" s="6"/>
      <c r="AD1699" s="6"/>
      <c r="AE1699" s="6"/>
      <c r="AF1699" s="6"/>
      <c r="AG1699" s="6"/>
      <c r="AH1699" s="6"/>
      <c r="AI1699" s="6"/>
      <c r="AJ1699" s="6"/>
      <c r="AK1699" s="6"/>
      <c r="AL1699" s="6"/>
      <c r="AM1699" s="6"/>
      <c r="AN1699" s="6"/>
      <c r="AO1699" s="6"/>
      <c r="AP1699" s="6"/>
      <c r="AQ1699" s="6"/>
      <c r="AR1699" s="6"/>
      <c r="AS1699" s="6"/>
      <c r="AT1699" s="6"/>
      <c r="AU1699" s="6"/>
      <c r="AV1699" s="6"/>
      <c r="AW1699" s="6"/>
      <c r="AX1699" s="6"/>
      <c r="AY1699" s="6"/>
      <c r="AZ1699" s="6"/>
      <c r="BA1699" s="6"/>
      <c r="BB1699" s="6"/>
      <c r="BC1699" s="6"/>
      <c r="BD1699" s="6"/>
      <c r="BE1699" s="6"/>
      <c r="BF1699" s="6"/>
      <c r="BG1699" s="6"/>
      <c r="BH1699" s="6"/>
      <c r="BI1699" s="6"/>
      <c r="BJ1699" s="6"/>
      <c r="BK1699" s="6"/>
      <c r="BL1699" s="6"/>
      <c r="BM1699" s="6"/>
      <c r="BN1699" s="6"/>
      <c r="BO1699" s="6"/>
      <c r="BP1699" s="6"/>
      <c r="BQ1699" s="6"/>
      <c r="BR1699" s="6"/>
      <c r="BS1699" s="6"/>
      <c r="BT1699" s="6"/>
      <c r="BU1699" s="6"/>
      <c r="BV1699" s="6"/>
      <c r="BW1699" s="6"/>
      <c r="BX1699" s="6"/>
      <c r="BY1699" s="6"/>
      <c r="BZ1699" s="6"/>
      <c r="CA1699" s="6"/>
      <c r="CB1699" s="6"/>
      <c r="CC1699" s="6"/>
    </row>
    <row r="1700" spans="2:81" x14ac:dyDescent="0.2">
      <c r="B1700" s="68"/>
      <c r="C1700" s="69"/>
      <c r="D1700" s="70"/>
      <c r="F1700" s="68"/>
      <c r="G1700" s="69"/>
      <c r="H1700" s="70"/>
      <c r="J1700" s="71"/>
      <c r="K1700" s="71"/>
      <c r="L1700" s="67"/>
      <c r="N1700" s="71"/>
      <c r="O1700" s="71"/>
      <c r="P1700" s="67"/>
      <c r="R1700" s="67"/>
      <c r="S1700" s="6"/>
      <c r="T1700" s="6"/>
      <c r="U1700" s="6"/>
      <c r="V1700" s="6"/>
      <c r="W1700" s="6"/>
      <c r="X1700" s="6"/>
      <c r="Y1700" s="6"/>
      <c r="Z1700" s="6"/>
      <c r="AA1700" s="6"/>
      <c r="AB1700" s="6"/>
      <c r="AC1700" s="6"/>
      <c r="AD1700" s="6"/>
      <c r="AE1700" s="6"/>
      <c r="AF1700" s="6"/>
      <c r="AG1700" s="6"/>
      <c r="AH1700" s="6"/>
      <c r="AI1700" s="6"/>
      <c r="AJ1700" s="6"/>
      <c r="AK1700" s="6"/>
      <c r="AL1700" s="6"/>
      <c r="AM1700" s="6"/>
      <c r="AN1700" s="6"/>
      <c r="AO1700" s="6"/>
      <c r="AP1700" s="6"/>
      <c r="AQ1700" s="6"/>
      <c r="AR1700" s="6"/>
      <c r="AS1700" s="6"/>
      <c r="AT1700" s="6"/>
      <c r="AU1700" s="6"/>
      <c r="AV1700" s="6"/>
      <c r="AW1700" s="6"/>
      <c r="AX1700" s="6"/>
      <c r="AY1700" s="6"/>
      <c r="AZ1700" s="6"/>
      <c r="BA1700" s="6"/>
      <c r="BB1700" s="6"/>
      <c r="BC1700" s="6"/>
      <c r="BD1700" s="6"/>
      <c r="BE1700" s="6"/>
      <c r="BF1700" s="6"/>
      <c r="BG1700" s="6"/>
      <c r="BH1700" s="6"/>
      <c r="BI1700" s="6"/>
      <c r="BJ1700" s="6"/>
      <c r="BK1700" s="6"/>
      <c r="BL1700" s="6"/>
      <c r="BM1700" s="6"/>
      <c r="BN1700" s="6"/>
      <c r="BO1700" s="6"/>
      <c r="BP1700" s="6"/>
      <c r="BQ1700" s="6"/>
      <c r="BR1700" s="6"/>
      <c r="BS1700" s="6"/>
      <c r="BT1700" s="6"/>
      <c r="BU1700" s="6"/>
      <c r="BV1700" s="6"/>
      <c r="BW1700" s="6"/>
      <c r="BX1700" s="6"/>
      <c r="BY1700" s="6"/>
      <c r="BZ1700" s="6"/>
      <c r="CA1700" s="6"/>
      <c r="CB1700" s="6"/>
      <c r="CC1700" s="6"/>
    </row>
    <row r="1701" spans="2:81" x14ac:dyDescent="0.2">
      <c r="B1701" s="68"/>
      <c r="C1701" s="69"/>
      <c r="D1701" s="70"/>
      <c r="F1701" s="68"/>
      <c r="G1701" s="69"/>
      <c r="H1701" s="70"/>
      <c r="J1701" s="71"/>
      <c r="K1701" s="71"/>
      <c r="L1701" s="67"/>
      <c r="N1701" s="71"/>
      <c r="O1701" s="71"/>
      <c r="P1701" s="67"/>
      <c r="R1701" s="67"/>
      <c r="S1701" s="6"/>
      <c r="T1701" s="6"/>
      <c r="U1701" s="6"/>
      <c r="V1701" s="6"/>
      <c r="W1701" s="6"/>
      <c r="X1701" s="6"/>
      <c r="Y1701" s="6"/>
      <c r="Z1701" s="6"/>
      <c r="AA1701" s="6"/>
      <c r="AB1701" s="6"/>
      <c r="AC1701" s="6"/>
      <c r="AD1701" s="6"/>
      <c r="AE1701" s="6"/>
      <c r="AF1701" s="6"/>
      <c r="AG1701" s="6"/>
      <c r="AH1701" s="6"/>
      <c r="AI1701" s="6"/>
      <c r="AJ1701" s="6"/>
      <c r="AK1701" s="6"/>
      <c r="AL1701" s="6"/>
      <c r="AM1701" s="6"/>
      <c r="AN1701" s="6"/>
      <c r="AO1701" s="6"/>
      <c r="AP1701" s="6"/>
      <c r="AQ1701" s="6"/>
      <c r="AR1701" s="6"/>
      <c r="AS1701" s="6"/>
      <c r="AT1701" s="6"/>
      <c r="AU1701" s="6"/>
      <c r="AV1701" s="6"/>
      <c r="AW1701" s="6"/>
      <c r="AX1701" s="6"/>
      <c r="AY1701" s="6"/>
      <c r="AZ1701" s="6"/>
      <c r="BA1701" s="6"/>
      <c r="BB1701" s="6"/>
      <c r="BC1701" s="6"/>
      <c r="BD1701" s="6"/>
      <c r="BE1701" s="6"/>
      <c r="BF1701" s="6"/>
      <c r="BG1701" s="6"/>
      <c r="BH1701" s="6"/>
      <c r="BI1701" s="6"/>
      <c r="BJ1701" s="6"/>
      <c r="BK1701" s="6"/>
      <c r="BL1701" s="6"/>
      <c r="BM1701" s="6"/>
      <c r="BN1701" s="6"/>
      <c r="BO1701" s="6"/>
      <c r="BP1701" s="6"/>
      <c r="BQ1701" s="6"/>
      <c r="BR1701" s="6"/>
      <c r="BS1701" s="6"/>
      <c r="BT1701" s="6"/>
      <c r="BU1701" s="6"/>
      <c r="BV1701" s="6"/>
      <c r="BW1701" s="6"/>
      <c r="BX1701" s="6"/>
      <c r="BY1701" s="6"/>
      <c r="BZ1701" s="6"/>
      <c r="CA1701" s="6"/>
      <c r="CB1701" s="6"/>
      <c r="CC1701" s="6"/>
    </row>
    <row r="1702" spans="2:81" x14ac:dyDescent="0.2">
      <c r="B1702" s="68"/>
      <c r="C1702" s="69"/>
      <c r="D1702" s="70"/>
      <c r="F1702" s="68"/>
      <c r="G1702" s="69"/>
      <c r="H1702" s="70"/>
      <c r="J1702" s="71"/>
      <c r="K1702" s="71"/>
      <c r="L1702" s="67"/>
      <c r="N1702" s="71"/>
      <c r="O1702" s="71"/>
      <c r="P1702" s="67"/>
      <c r="R1702" s="67"/>
      <c r="S1702" s="6"/>
      <c r="T1702" s="6"/>
      <c r="U1702" s="6"/>
      <c r="V1702" s="6"/>
      <c r="W1702" s="6"/>
      <c r="X1702" s="6"/>
      <c r="Y1702" s="6"/>
      <c r="Z1702" s="6"/>
      <c r="AA1702" s="6"/>
      <c r="AB1702" s="6"/>
      <c r="AC1702" s="6"/>
      <c r="AD1702" s="6"/>
      <c r="AE1702" s="6"/>
      <c r="AF1702" s="6"/>
      <c r="AG1702" s="6"/>
      <c r="AH1702" s="6"/>
      <c r="AI1702" s="6"/>
      <c r="AJ1702" s="6"/>
      <c r="AK1702" s="6"/>
      <c r="AL1702" s="6"/>
      <c r="AM1702" s="6"/>
      <c r="AN1702" s="6"/>
      <c r="AO1702" s="6"/>
      <c r="AP1702" s="6"/>
      <c r="AQ1702" s="6"/>
      <c r="AR1702" s="6"/>
      <c r="AS1702" s="6"/>
      <c r="AT1702" s="6"/>
      <c r="AU1702" s="6"/>
      <c r="AV1702" s="6"/>
      <c r="AW1702" s="6"/>
      <c r="AX1702" s="6"/>
      <c r="AY1702" s="6"/>
      <c r="AZ1702" s="6"/>
      <c r="BA1702" s="6"/>
      <c r="BB1702" s="6"/>
      <c r="BC1702" s="6"/>
      <c r="BD1702" s="6"/>
      <c r="BE1702" s="6"/>
      <c r="BF1702" s="6"/>
      <c r="BG1702" s="6"/>
      <c r="BH1702" s="6"/>
      <c r="BI1702" s="6"/>
      <c r="BJ1702" s="6"/>
      <c r="BK1702" s="6"/>
      <c r="BL1702" s="6"/>
      <c r="BM1702" s="6"/>
      <c r="BN1702" s="6"/>
      <c r="BO1702" s="6"/>
      <c r="BP1702" s="6"/>
      <c r="BQ1702" s="6"/>
      <c r="BR1702" s="6"/>
      <c r="BS1702" s="6"/>
      <c r="BT1702" s="6"/>
      <c r="BU1702" s="6"/>
      <c r="BV1702" s="6"/>
      <c r="BW1702" s="6"/>
      <c r="BX1702" s="6"/>
      <c r="BY1702" s="6"/>
      <c r="BZ1702" s="6"/>
      <c r="CA1702" s="6"/>
      <c r="CB1702" s="6"/>
      <c r="CC1702" s="6"/>
    </row>
    <row r="1703" spans="2:81" x14ac:dyDescent="0.2">
      <c r="B1703" s="68"/>
      <c r="C1703" s="69"/>
      <c r="D1703" s="70"/>
      <c r="F1703" s="68"/>
      <c r="G1703" s="69"/>
      <c r="H1703" s="70"/>
      <c r="J1703" s="71"/>
      <c r="K1703" s="71"/>
      <c r="L1703" s="67"/>
      <c r="N1703" s="71"/>
      <c r="O1703" s="71"/>
      <c r="P1703" s="67"/>
      <c r="R1703" s="67"/>
      <c r="S1703" s="6"/>
      <c r="T1703" s="6"/>
      <c r="U1703" s="6"/>
      <c r="V1703" s="6"/>
      <c r="W1703" s="6"/>
      <c r="X1703" s="6"/>
      <c r="Y1703" s="6"/>
      <c r="Z1703" s="6"/>
      <c r="AA1703" s="6"/>
      <c r="AB1703" s="6"/>
      <c r="AC1703" s="6"/>
      <c r="AD1703" s="6"/>
      <c r="AE1703" s="6"/>
      <c r="AF1703" s="6"/>
      <c r="AG1703" s="6"/>
      <c r="AH1703" s="6"/>
      <c r="AI1703" s="6"/>
      <c r="AJ1703" s="6"/>
      <c r="AK1703" s="6"/>
      <c r="AL1703" s="6"/>
      <c r="AM1703" s="6"/>
      <c r="AN1703" s="6"/>
      <c r="AO1703" s="6"/>
      <c r="AP1703" s="6"/>
      <c r="AQ1703" s="6"/>
      <c r="AR1703" s="6"/>
      <c r="AS1703" s="6"/>
      <c r="AT1703" s="6"/>
      <c r="AU1703" s="6"/>
      <c r="AV1703" s="6"/>
      <c r="AW1703" s="6"/>
      <c r="AX1703" s="6"/>
      <c r="AY1703" s="6"/>
      <c r="AZ1703" s="6"/>
      <c r="BA1703" s="6"/>
      <c r="BB1703" s="6"/>
      <c r="BC1703" s="6"/>
      <c r="BD1703" s="6"/>
      <c r="BE1703" s="6"/>
      <c r="BF1703" s="6"/>
      <c r="BG1703" s="6"/>
      <c r="BH1703" s="6"/>
      <c r="BI1703" s="6"/>
      <c r="BJ1703" s="6"/>
      <c r="BK1703" s="6"/>
      <c r="BL1703" s="6"/>
      <c r="BM1703" s="6"/>
      <c r="BN1703" s="6"/>
      <c r="BO1703" s="6"/>
      <c r="BP1703" s="6"/>
      <c r="BQ1703" s="6"/>
      <c r="BR1703" s="6"/>
      <c r="BS1703" s="6"/>
      <c r="BT1703" s="6"/>
      <c r="BU1703" s="6"/>
      <c r="BV1703" s="6"/>
      <c r="BW1703" s="6"/>
      <c r="BX1703" s="6"/>
      <c r="BY1703" s="6"/>
      <c r="BZ1703" s="6"/>
      <c r="CA1703" s="6"/>
      <c r="CB1703" s="6"/>
      <c r="CC1703" s="6"/>
    </row>
    <row r="1704" spans="2:81" x14ac:dyDescent="0.2">
      <c r="B1704" s="68"/>
      <c r="C1704" s="69"/>
      <c r="D1704" s="70"/>
      <c r="F1704" s="68"/>
      <c r="G1704" s="69"/>
      <c r="H1704" s="70"/>
      <c r="J1704" s="71"/>
      <c r="K1704" s="71"/>
      <c r="L1704" s="67"/>
      <c r="N1704" s="71"/>
      <c r="O1704" s="71"/>
      <c r="P1704" s="67"/>
      <c r="R1704" s="67"/>
      <c r="S1704" s="6"/>
      <c r="T1704" s="6"/>
      <c r="U1704" s="6"/>
      <c r="V1704" s="6"/>
      <c r="W1704" s="6"/>
      <c r="X1704" s="6"/>
      <c r="Y1704" s="6"/>
      <c r="Z1704" s="6"/>
      <c r="AA1704" s="6"/>
      <c r="AB1704" s="6"/>
      <c r="AC1704" s="6"/>
      <c r="AD1704" s="6"/>
      <c r="AE1704" s="6"/>
      <c r="AF1704" s="6"/>
      <c r="AG1704" s="6"/>
      <c r="AH1704" s="6"/>
      <c r="AI1704" s="6"/>
      <c r="AJ1704" s="6"/>
      <c r="AK1704" s="6"/>
      <c r="AL1704" s="6"/>
      <c r="AM1704" s="6"/>
      <c r="AN1704" s="6"/>
      <c r="AO1704" s="6"/>
      <c r="AP1704" s="6"/>
      <c r="AQ1704" s="6"/>
      <c r="AR1704" s="6"/>
      <c r="AS1704" s="6"/>
      <c r="AT1704" s="6"/>
      <c r="AU1704" s="6"/>
      <c r="AV1704" s="6"/>
      <c r="AW1704" s="6"/>
      <c r="AX1704" s="6"/>
      <c r="AY1704" s="6"/>
      <c r="AZ1704" s="6"/>
      <c r="BA1704" s="6"/>
      <c r="BB1704" s="6"/>
      <c r="BC1704" s="6"/>
      <c r="BD1704" s="6"/>
      <c r="BE1704" s="6"/>
      <c r="BF1704" s="6"/>
      <c r="BG1704" s="6"/>
      <c r="BH1704" s="6"/>
      <c r="BI1704" s="6"/>
      <c r="BJ1704" s="6"/>
      <c r="BK1704" s="6"/>
      <c r="BL1704" s="6"/>
      <c r="BM1704" s="6"/>
      <c r="BN1704" s="6"/>
      <c r="BO1704" s="6"/>
      <c r="BP1704" s="6"/>
      <c r="BQ1704" s="6"/>
      <c r="BR1704" s="6"/>
      <c r="BS1704" s="6"/>
      <c r="BT1704" s="6"/>
      <c r="BU1704" s="6"/>
      <c r="BV1704" s="6"/>
      <c r="BW1704" s="6"/>
      <c r="BX1704" s="6"/>
      <c r="BY1704" s="6"/>
      <c r="BZ1704" s="6"/>
      <c r="CA1704" s="6"/>
      <c r="CB1704" s="6"/>
      <c r="CC1704" s="6"/>
    </row>
    <row r="1705" spans="2:81" x14ac:dyDescent="0.2">
      <c r="B1705" s="68"/>
      <c r="C1705" s="69"/>
      <c r="D1705" s="70"/>
      <c r="F1705" s="68"/>
      <c r="G1705" s="69"/>
      <c r="H1705" s="70"/>
      <c r="J1705" s="71"/>
      <c r="K1705" s="71"/>
      <c r="L1705" s="67"/>
      <c r="N1705" s="71"/>
      <c r="O1705" s="71"/>
      <c r="P1705" s="67"/>
      <c r="R1705" s="67"/>
      <c r="S1705" s="6"/>
      <c r="T1705" s="6"/>
      <c r="U1705" s="6"/>
      <c r="V1705" s="6"/>
      <c r="W1705" s="6"/>
      <c r="X1705" s="6"/>
      <c r="Y1705" s="6"/>
      <c r="Z1705" s="6"/>
      <c r="AA1705" s="6"/>
      <c r="AB1705" s="6"/>
      <c r="AC1705" s="6"/>
      <c r="AD1705" s="6"/>
      <c r="AE1705" s="6"/>
      <c r="AF1705" s="6"/>
      <c r="AG1705" s="6"/>
      <c r="AH1705" s="6"/>
      <c r="AI1705" s="6"/>
      <c r="AJ1705" s="6"/>
      <c r="AK1705" s="6"/>
      <c r="AL1705" s="6"/>
      <c r="AM1705" s="6"/>
      <c r="AN1705" s="6"/>
      <c r="AO1705" s="6"/>
      <c r="AP1705" s="6"/>
      <c r="AQ1705" s="6"/>
      <c r="AR1705" s="6"/>
      <c r="AS1705" s="6"/>
      <c r="AT1705" s="6"/>
      <c r="AU1705" s="6"/>
      <c r="AV1705" s="6"/>
      <c r="AW1705" s="6"/>
      <c r="AX1705" s="6"/>
      <c r="AY1705" s="6"/>
      <c r="AZ1705" s="6"/>
      <c r="BA1705" s="6"/>
      <c r="BB1705" s="6"/>
      <c r="BC1705" s="6"/>
      <c r="BD1705" s="6"/>
      <c r="BE1705" s="6"/>
      <c r="BF1705" s="6"/>
      <c r="BG1705" s="6"/>
      <c r="BH1705" s="6"/>
      <c r="BI1705" s="6"/>
      <c r="BJ1705" s="6"/>
      <c r="BK1705" s="6"/>
      <c r="BL1705" s="6"/>
      <c r="BM1705" s="6"/>
      <c r="BN1705" s="6"/>
      <c r="BO1705" s="6"/>
      <c r="BP1705" s="6"/>
      <c r="BQ1705" s="6"/>
      <c r="BR1705" s="6"/>
      <c r="BS1705" s="6"/>
      <c r="BT1705" s="6"/>
      <c r="BU1705" s="6"/>
      <c r="BV1705" s="6"/>
      <c r="BW1705" s="6"/>
      <c r="BX1705" s="6"/>
      <c r="BY1705" s="6"/>
      <c r="BZ1705" s="6"/>
      <c r="CA1705" s="6"/>
      <c r="CB1705" s="6"/>
      <c r="CC1705" s="6"/>
    </row>
    <row r="1706" spans="2:81" x14ac:dyDescent="0.2">
      <c r="B1706" s="68"/>
      <c r="C1706" s="69"/>
      <c r="D1706" s="70"/>
      <c r="F1706" s="68"/>
      <c r="G1706" s="69"/>
      <c r="H1706" s="70"/>
      <c r="J1706" s="71"/>
      <c r="K1706" s="71"/>
      <c r="L1706" s="67"/>
      <c r="N1706" s="71"/>
      <c r="O1706" s="71"/>
      <c r="P1706" s="67"/>
      <c r="R1706" s="67"/>
      <c r="S1706" s="6"/>
      <c r="T1706" s="6"/>
      <c r="U1706" s="6"/>
      <c r="V1706" s="6"/>
      <c r="W1706" s="6"/>
      <c r="X1706" s="6"/>
      <c r="Y1706" s="6"/>
      <c r="Z1706" s="6"/>
      <c r="AA1706" s="6"/>
      <c r="AB1706" s="6"/>
      <c r="AC1706" s="6"/>
      <c r="AD1706" s="6"/>
      <c r="AE1706" s="6"/>
      <c r="AF1706" s="6"/>
      <c r="AG1706" s="6"/>
      <c r="AH1706" s="6"/>
      <c r="AI1706" s="6"/>
      <c r="AJ1706" s="6"/>
      <c r="AK1706" s="6"/>
      <c r="AL1706" s="6"/>
      <c r="AM1706" s="6"/>
      <c r="AN1706" s="6"/>
      <c r="AO1706" s="6"/>
      <c r="AP1706" s="6"/>
      <c r="AQ1706" s="6"/>
      <c r="AR1706" s="6"/>
      <c r="AS1706" s="6"/>
      <c r="AT1706" s="6"/>
      <c r="AU1706" s="6"/>
      <c r="AV1706" s="6"/>
      <c r="AW1706" s="6"/>
      <c r="AX1706" s="6"/>
      <c r="AY1706" s="6"/>
      <c r="AZ1706" s="6"/>
      <c r="BA1706" s="6"/>
      <c r="BB1706" s="6"/>
      <c r="BC1706" s="6"/>
      <c r="BD1706" s="6"/>
      <c r="BE1706" s="6"/>
      <c r="BF1706" s="6"/>
      <c r="BG1706" s="6"/>
      <c r="BH1706" s="6"/>
      <c r="BI1706" s="6"/>
      <c r="BJ1706" s="6"/>
      <c r="BK1706" s="6"/>
      <c r="BL1706" s="6"/>
      <c r="BM1706" s="6"/>
      <c r="BN1706" s="6"/>
      <c r="BO1706" s="6"/>
      <c r="BP1706" s="6"/>
      <c r="BQ1706" s="6"/>
      <c r="BR1706" s="6"/>
      <c r="BS1706" s="6"/>
      <c r="BT1706" s="6"/>
      <c r="BU1706" s="6"/>
      <c r="BV1706" s="6"/>
      <c r="BW1706" s="6"/>
      <c r="BX1706" s="6"/>
      <c r="BY1706" s="6"/>
      <c r="BZ1706" s="6"/>
      <c r="CA1706" s="6"/>
      <c r="CB1706" s="6"/>
      <c r="CC1706" s="6"/>
    </row>
    <row r="1707" spans="2:81" x14ac:dyDescent="0.2">
      <c r="B1707" s="68"/>
      <c r="C1707" s="69"/>
      <c r="D1707" s="70"/>
      <c r="F1707" s="68"/>
      <c r="G1707" s="69"/>
      <c r="H1707" s="70"/>
      <c r="J1707" s="71"/>
      <c r="K1707" s="71"/>
      <c r="L1707" s="67"/>
      <c r="N1707" s="71"/>
      <c r="O1707" s="71"/>
      <c r="P1707" s="67"/>
      <c r="R1707" s="67"/>
      <c r="S1707" s="6"/>
      <c r="T1707" s="6"/>
      <c r="U1707" s="6"/>
      <c r="V1707" s="6"/>
      <c r="W1707" s="6"/>
      <c r="X1707" s="6"/>
      <c r="Y1707" s="6"/>
      <c r="Z1707" s="6"/>
      <c r="AA1707" s="6"/>
      <c r="AB1707" s="6"/>
      <c r="AC1707" s="6"/>
      <c r="AD1707" s="6"/>
      <c r="AE1707" s="6"/>
      <c r="AF1707" s="6"/>
      <c r="AG1707" s="6"/>
      <c r="AH1707" s="6"/>
      <c r="AI1707" s="6"/>
      <c r="AJ1707" s="6"/>
      <c r="AK1707" s="6"/>
      <c r="AL1707" s="6"/>
      <c r="AM1707" s="6"/>
      <c r="AN1707" s="6"/>
      <c r="AO1707" s="6"/>
      <c r="AP1707" s="6"/>
      <c r="AQ1707" s="6"/>
      <c r="AR1707" s="6"/>
      <c r="AS1707" s="6"/>
      <c r="AT1707" s="6"/>
      <c r="AU1707" s="6"/>
      <c r="AV1707" s="6"/>
      <c r="AW1707" s="6"/>
      <c r="AX1707" s="6"/>
      <c r="AY1707" s="6"/>
      <c r="AZ1707" s="6"/>
      <c r="BA1707" s="6"/>
      <c r="BB1707" s="6"/>
      <c r="BC1707" s="6"/>
      <c r="BD1707" s="6"/>
      <c r="BE1707" s="6"/>
      <c r="BF1707" s="6"/>
      <c r="BG1707" s="6"/>
      <c r="BH1707" s="6"/>
      <c r="BI1707" s="6"/>
      <c r="BJ1707" s="6"/>
      <c r="BK1707" s="6"/>
      <c r="BL1707" s="6"/>
      <c r="BM1707" s="6"/>
      <c r="BN1707" s="6"/>
      <c r="BO1707" s="6"/>
      <c r="BP1707" s="6"/>
      <c r="BQ1707" s="6"/>
      <c r="BR1707" s="6"/>
      <c r="BS1707" s="6"/>
      <c r="BT1707" s="6"/>
      <c r="BU1707" s="6"/>
      <c r="BV1707" s="6"/>
      <c r="BW1707" s="6"/>
      <c r="BX1707" s="6"/>
      <c r="BY1707" s="6"/>
      <c r="BZ1707" s="6"/>
      <c r="CA1707" s="6"/>
      <c r="CB1707" s="6"/>
      <c r="CC1707" s="6"/>
    </row>
    <row r="1708" spans="2:81" x14ac:dyDescent="0.2">
      <c r="B1708" s="68"/>
      <c r="C1708" s="69"/>
      <c r="D1708" s="70"/>
      <c r="F1708" s="68"/>
      <c r="G1708" s="69"/>
      <c r="H1708" s="70"/>
      <c r="J1708" s="71"/>
      <c r="K1708" s="71"/>
      <c r="L1708" s="67"/>
      <c r="N1708" s="71"/>
      <c r="O1708" s="71"/>
      <c r="P1708" s="67"/>
      <c r="R1708" s="67"/>
      <c r="S1708" s="6"/>
      <c r="T1708" s="6"/>
      <c r="U1708" s="6"/>
      <c r="V1708" s="6"/>
      <c r="W1708" s="6"/>
      <c r="X1708" s="6"/>
      <c r="Y1708" s="6"/>
      <c r="Z1708" s="6"/>
      <c r="AA1708" s="6"/>
      <c r="AB1708" s="6"/>
      <c r="AC1708" s="6"/>
      <c r="AD1708" s="6"/>
      <c r="AE1708" s="6"/>
      <c r="AF1708" s="6"/>
      <c r="AG1708" s="6"/>
      <c r="AH1708" s="6"/>
      <c r="AI1708" s="6"/>
      <c r="AJ1708" s="6"/>
      <c r="AK1708" s="6"/>
      <c r="AL1708" s="6"/>
      <c r="AM1708" s="6"/>
      <c r="AN1708" s="6"/>
      <c r="AO1708" s="6"/>
      <c r="AP1708" s="6"/>
      <c r="AQ1708" s="6"/>
      <c r="AR1708" s="6"/>
      <c r="AS1708" s="6"/>
      <c r="AT1708" s="6"/>
      <c r="AU1708" s="6"/>
      <c r="AV1708" s="6"/>
      <c r="AW1708" s="6"/>
      <c r="AX1708" s="6"/>
      <c r="AY1708" s="6"/>
      <c r="AZ1708" s="6"/>
      <c r="BA1708" s="6"/>
      <c r="BB1708" s="6"/>
      <c r="BC1708" s="6"/>
      <c r="BD1708" s="6"/>
      <c r="BE1708" s="6"/>
      <c r="BF1708" s="6"/>
      <c r="BG1708" s="6"/>
      <c r="BH1708" s="6"/>
      <c r="BI1708" s="6"/>
      <c r="BJ1708" s="6"/>
      <c r="BK1708" s="6"/>
      <c r="BL1708" s="6"/>
      <c r="BM1708" s="6"/>
      <c r="BN1708" s="6"/>
      <c r="BO1708" s="6"/>
      <c r="BP1708" s="6"/>
      <c r="BQ1708" s="6"/>
      <c r="BR1708" s="6"/>
      <c r="BS1708" s="6"/>
      <c r="BT1708" s="6"/>
      <c r="BU1708" s="6"/>
      <c r="BV1708" s="6"/>
      <c r="BW1708" s="6"/>
      <c r="BX1708" s="6"/>
      <c r="BY1708" s="6"/>
      <c r="BZ1708" s="6"/>
      <c r="CA1708" s="6"/>
      <c r="CB1708" s="6"/>
      <c r="CC1708" s="6"/>
    </row>
    <row r="1709" spans="2:81" x14ac:dyDescent="0.2">
      <c r="B1709" s="68"/>
      <c r="C1709" s="69"/>
      <c r="D1709" s="70"/>
      <c r="F1709" s="68"/>
      <c r="G1709" s="69"/>
      <c r="H1709" s="70"/>
      <c r="J1709" s="71"/>
      <c r="K1709" s="71"/>
      <c r="L1709" s="67"/>
      <c r="N1709" s="71"/>
      <c r="O1709" s="71"/>
      <c r="P1709" s="67"/>
      <c r="R1709" s="67"/>
      <c r="S1709" s="6"/>
      <c r="T1709" s="6"/>
      <c r="U1709" s="6"/>
      <c r="V1709" s="6"/>
      <c r="W1709" s="6"/>
      <c r="X1709" s="6"/>
      <c r="Y1709" s="6"/>
      <c r="Z1709" s="6"/>
      <c r="AA1709" s="6"/>
      <c r="AB1709" s="6"/>
      <c r="AC1709" s="6"/>
      <c r="AD1709" s="6"/>
      <c r="AE1709" s="6"/>
      <c r="AF1709" s="6"/>
      <c r="AG1709" s="6"/>
      <c r="AH1709" s="6"/>
      <c r="AI1709" s="6"/>
      <c r="AJ1709" s="6"/>
      <c r="AK1709" s="6"/>
      <c r="AL1709" s="6"/>
      <c r="AM1709" s="6"/>
      <c r="AN1709" s="6"/>
      <c r="AO1709" s="6"/>
      <c r="AP1709" s="6"/>
      <c r="AQ1709" s="6"/>
      <c r="AR1709" s="6"/>
      <c r="AS1709" s="6"/>
      <c r="AT1709" s="6"/>
      <c r="AU1709" s="6"/>
      <c r="AV1709" s="6"/>
      <c r="AW1709" s="6"/>
      <c r="AX1709" s="6"/>
      <c r="AY1709" s="6"/>
      <c r="AZ1709" s="6"/>
      <c r="BA1709" s="6"/>
      <c r="BB1709" s="6"/>
      <c r="BC1709" s="6"/>
      <c r="BD1709" s="6"/>
      <c r="BE1709" s="6"/>
      <c r="BF1709" s="6"/>
      <c r="BG1709" s="6"/>
      <c r="BH1709" s="6"/>
      <c r="BI1709" s="6"/>
      <c r="BJ1709" s="6"/>
      <c r="BK1709" s="6"/>
      <c r="BL1709" s="6"/>
      <c r="BM1709" s="6"/>
      <c r="BN1709" s="6"/>
      <c r="BO1709" s="6"/>
      <c r="BP1709" s="6"/>
      <c r="BQ1709" s="6"/>
      <c r="BR1709" s="6"/>
      <c r="BS1709" s="6"/>
      <c r="BT1709" s="6"/>
      <c r="BU1709" s="6"/>
      <c r="BV1709" s="6"/>
      <c r="BW1709" s="6"/>
      <c r="BX1709" s="6"/>
      <c r="BY1709" s="6"/>
      <c r="BZ1709" s="6"/>
      <c r="CA1709" s="6"/>
      <c r="CB1709" s="6"/>
      <c r="CC1709" s="6"/>
    </row>
    <row r="1710" spans="2:81" x14ac:dyDescent="0.2">
      <c r="B1710" s="68"/>
      <c r="C1710" s="69"/>
      <c r="D1710" s="70"/>
      <c r="F1710" s="68"/>
      <c r="G1710" s="69"/>
      <c r="H1710" s="70"/>
      <c r="J1710" s="71"/>
      <c r="K1710" s="71"/>
      <c r="L1710" s="67"/>
      <c r="N1710" s="71"/>
      <c r="O1710" s="71"/>
      <c r="P1710" s="67"/>
      <c r="R1710" s="67"/>
      <c r="S1710" s="6"/>
      <c r="T1710" s="6"/>
      <c r="U1710" s="6"/>
      <c r="V1710" s="6"/>
      <c r="W1710" s="6"/>
      <c r="X1710" s="6"/>
      <c r="Y1710" s="6"/>
      <c r="Z1710" s="6"/>
      <c r="AA1710" s="6"/>
      <c r="AB1710" s="6"/>
      <c r="AC1710" s="6"/>
      <c r="AD1710" s="6"/>
      <c r="AE1710" s="6"/>
      <c r="AF1710" s="6"/>
      <c r="AG1710" s="6"/>
      <c r="AH1710" s="6"/>
      <c r="AI1710" s="6"/>
      <c r="AJ1710" s="6"/>
      <c r="AK1710" s="6"/>
      <c r="AL1710" s="6"/>
      <c r="AM1710" s="6"/>
      <c r="AN1710" s="6"/>
      <c r="AO1710" s="6"/>
      <c r="AP1710" s="6"/>
      <c r="AQ1710" s="6"/>
      <c r="AR1710" s="6"/>
      <c r="AS1710" s="6"/>
      <c r="AT1710" s="6"/>
      <c r="AU1710" s="6"/>
      <c r="AV1710" s="6"/>
      <c r="AW1710" s="6"/>
      <c r="AX1710" s="6"/>
      <c r="AY1710" s="6"/>
      <c r="AZ1710" s="6"/>
      <c r="BA1710" s="6"/>
      <c r="BB1710" s="6"/>
      <c r="BC1710" s="6"/>
      <c r="BD1710" s="6"/>
      <c r="BE1710" s="6"/>
      <c r="BF1710" s="6"/>
      <c r="BG1710" s="6"/>
      <c r="BH1710" s="6"/>
      <c r="BI1710" s="6"/>
      <c r="BJ1710" s="6"/>
      <c r="BK1710" s="6"/>
      <c r="BL1710" s="6"/>
      <c r="BM1710" s="6"/>
      <c r="BN1710" s="6"/>
      <c r="BO1710" s="6"/>
      <c r="BP1710" s="6"/>
      <c r="BQ1710" s="6"/>
      <c r="BR1710" s="6"/>
      <c r="BS1710" s="6"/>
      <c r="BT1710" s="6"/>
      <c r="BU1710" s="6"/>
      <c r="BV1710" s="6"/>
      <c r="BW1710" s="6"/>
      <c r="BX1710" s="6"/>
      <c r="BY1710" s="6"/>
      <c r="BZ1710" s="6"/>
      <c r="CA1710" s="6"/>
      <c r="CB1710" s="6"/>
      <c r="CC1710" s="6"/>
    </row>
    <row r="1711" spans="2:81" x14ac:dyDescent="0.2">
      <c r="B1711" s="68"/>
      <c r="C1711" s="69"/>
      <c r="D1711" s="70"/>
      <c r="F1711" s="68"/>
      <c r="G1711" s="69"/>
      <c r="H1711" s="70"/>
      <c r="J1711" s="71"/>
      <c r="K1711" s="71"/>
      <c r="L1711" s="67"/>
      <c r="N1711" s="71"/>
      <c r="O1711" s="71"/>
      <c r="P1711" s="67"/>
      <c r="R1711" s="67"/>
      <c r="S1711" s="6"/>
      <c r="T1711" s="6"/>
      <c r="U1711" s="6"/>
      <c r="V1711" s="6"/>
      <c r="W1711" s="6"/>
      <c r="X1711" s="6"/>
      <c r="Y1711" s="6"/>
      <c r="Z1711" s="6"/>
      <c r="AA1711" s="6"/>
      <c r="AB1711" s="6"/>
      <c r="AC1711" s="6"/>
      <c r="AD1711" s="6"/>
      <c r="AE1711" s="6"/>
      <c r="AF1711" s="6"/>
      <c r="AG1711" s="6"/>
      <c r="AH1711" s="6"/>
      <c r="AI1711" s="6"/>
      <c r="AJ1711" s="6"/>
      <c r="AK1711" s="6"/>
      <c r="AL1711" s="6"/>
      <c r="AM1711" s="6"/>
      <c r="AN1711" s="6"/>
      <c r="AO1711" s="6"/>
      <c r="AP1711" s="6"/>
      <c r="AQ1711" s="6"/>
      <c r="AR1711" s="6"/>
      <c r="AS1711" s="6"/>
      <c r="AT1711" s="6"/>
      <c r="AU1711" s="6"/>
      <c r="AV1711" s="6"/>
      <c r="AW1711" s="6"/>
      <c r="AX1711" s="6"/>
      <c r="AY1711" s="6"/>
      <c r="AZ1711" s="6"/>
      <c r="BA1711" s="6"/>
      <c r="BB1711" s="6"/>
      <c r="BC1711" s="6"/>
      <c r="BD1711" s="6"/>
      <c r="BE1711" s="6"/>
      <c r="BF1711" s="6"/>
      <c r="BG1711" s="6"/>
      <c r="BH1711" s="6"/>
      <c r="BI1711" s="6"/>
      <c r="BJ1711" s="6"/>
      <c r="BK1711" s="6"/>
      <c r="BL1711" s="6"/>
      <c r="BM1711" s="6"/>
      <c r="BN1711" s="6"/>
      <c r="BO1711" s="6"/>
      <c r="BP1711" s="6"/>
      <c r="BQ1711" s="6"/>
      <c r="BR1711" s="6"/>
      <c r="BS1711" s="6"/>
      <c r="BT1711" s="6"/>
      <c r="BU1711" s="6"/>
      <c r="BV1711" s="6"/>
      <c r="BW1711" s="6"/>
      <c r="BX1711" s="6"/>
      <c r="BY1711" s="6"/>
      <c r="BZ1711" s="6"/>
      <c r="CA1711" s="6"/>
      <c r="CB1711" s="6"/>
      <c r="CC1711" s="6"/>
    </row>
    <row r="1712" spans="2:81" x14ac:dyDescent="0.2">
      <c r="B1712" s="68"/>
      <c r="C1712" s="69"/>
      <c r="D1712" s="70"/>
      <c r="F1712" s="68"/>
      <c r="G1712" s="69"/>
      <c r="H1712" s="70"/>
      <c r="J1712" s="71"/>
      <c r="K1712" s="71"/>
      <c r="L1712" s="67"/>
      <c r="N1712" s="71"/>
      <c r="O1712" s="71"/>
      <c r="P1712" s="67"/>
      <c r="R1712" s="67"/>
      <c r="S1712" s="6"/>
      <c r="T1712" s="6"/>
      <c r="U1712" s="6"/>
      <c r="V1712" s="6"/>
      <c r="W1712" s="6"/>
      <c r="X1712" s="6"/>
      <c r="Y1712" s="6"/>
      <c r="Z1712" s="6"/>
      <c r="AA1712" s="6"/>
      <c r="AB1712" s="6"/>
      <c r="AC1712" s="6"/>
      <c r="AD1712" s="6"/>
      <c r="AE1712" s="6"/>
      <c r="AF1712" s="6"/>
      <c r="AG1712" s="6"/>
      <c r="AH1712" s="6"/>
      <c r="AI1712" s="6"/>
      <c r="AJ1712" s="6"/>
      <c r="AK1712" s="6"/>
      <c r="AL1712" s="6"/>
      <c r="AM1712" s="6"/>
      <c r="AN1712" s="6"/>
      <c r="AO1712" s="6"/>
      <c r="AP1712" s="6"/>
      <c r="AQ1712" s="6"/>
      <c r="AR1712" s="6"/>
      <c r="AS1712" s="6"/>
      <c r="AT1712" s="6"/>
      <c r="AU1712" s="6"/>
      <c r="AV1712" s="6"/>
      <c r="AW1712" s="6"/>
      <c r="AX1712" s="6"/>
      <c r="AY1712" s="6"/>
      <c r="AZ1712" s="6"/>
      <c r="BA1712" s="6"/>
      <c r="BB1712" s="6"/>
      <c r="BC1712" s="6"/>
      <c r="BD1712" s="6"/>
      <c r="BE1712" s="6"/>
      <c r="BF1712" s="6"/>
      <c r="BG1712" s="6"/>
      <c r="BH1712" s="6"/>
      <c r="BI1712" s="6"/>
      <c r="BJ1712" s="6"/>
      <c r="BK1712" s="6"/>
      <c r="BL1712" s="6"/>
      <c r="BM1712" s="6"/>
      <c r="BN1712" s="6"/>
      <c r="BO1712" s="6"/>
      <c r="BP1712" s="6"/>
      <c r="BQ1712" s="6"/>
      <c r="BR1712" s="6"/>
      <c r="BS1712" s="6"/>
      <c r="BT1712" s="6"/>
      <c r="BU1712" s="6"/>
      <c r="BV1712" s="6"/>
      <c r="BW1712" s="6"/>
      <c r="BX1712" s="6"/>
      <c r="BY1712" s="6"/>
      <c r="BZ1712" s="6"/>
      <c r="CA1712" s="6"/>
      <c r="CB1712" s="6"/>
      <c r="CC1712" s="6"/>
    </row>
    <row r="1713" spans="2:81" x14ac:dyDescent="0.2">
      <c r="B1713" s="68"/>
      <c r="C1713" s="69"/>
      <c r="D1713" s="70"/>
      <c r="F1713" s="68"/>
      <c r="G1713" s="69"/>
      <c r="H1713" s="70"/>
      <c r="J1713" s="71"/>
      <c r="K1713" s="71"/>
      <c r="L1713" s="67"/>
      <c r="N1713" s="71"/>
      <c r="O1713" s="71"/>
      <c r="P1713" s="67"/>
      <c r="R1713" s="67"/>
      <c r="S1713" s="6"/>
      <c r="T1713" s="6"/>
      <c r="U1713" s="6"/>
      <c r="V1713" s="6"/>
      <c r="W1713" s="6"/>
      <c r="X1713" s="6"/>
      <c r="Y1713" s="6"/>
      <c r="Z1713" s="6"/>
      <c r="AA1713" s="6"/>
      <c r="AB1713" s="6"/>
      <c r="AC1713" s="6"/>
      <c r="AD1713" s="6"/>
      <c r="AE1713" s="6"/>
      <c r="AF1713" s="6"/>
      <c r="AG1713" s="6"/>
      <c r="AH1713" s="6"/>
      <c r="AI1713" s="6"/>
      <c r="AJ1713" s="6"/>
      <c r="AK1713" s="6"/>
      <c r="AL1713" s="6"/>
      <c r="AM1713" s="6"/>
      <c r="AN1713" s="6"/>
      <c r="AO1713" s="6"/>
      <c r="AP1713" s="6"/>
      <c r="AQ1713" s="6"/>
      <c r="AR1713" s="6"/>
      <c r="AS1713" s="6"/>
      <c r="AT1713" s="6"/>
      <c r="AU1713" s="6"/>
      <c r="AV1713" s="6"/>
      <c r="AW1713" s="6"/>
      <c r="AX1713" s="6"/>
      <c r="AY1713" s="6"/>
      <c r="AZ1713" s="6"/>
      <c r="BA1713" s="6"/>
      <c r="BB1713" s="6"/>
      <c r="BC1713" s="6"/>
      <c r="BD1713" s="6"/>
      <c r="BE1713" s="6"/>
      <c r="BF1713" s="6"/>
      <c r="BG1713" s="6"/>
      <c r="BH1713" s="6"/>
      <c r="BI1713" s="6"/>
      <c r="BJ1713" s="6"/>
      <c r="BK1713" s="6"/>
      <c r="BL1713" s="6"/>
      <c r="BM1713" s="6"/>
      <c r="BN1713" s="6"/>
      <c r="BO1713" s="6"/>
      <c r="BP1713" s="6"/>
      <c r="BQ1713" s="6"/>
      <c r="BR1713" s="6"/>
      <c r="BS1713" s="6"/>
      <c r="BT1713" s="6"/>
      <c r="BU1713" s="6"/>
      <c r="BV1713" s="6"/>
      <c r="BW1713" s="6"/>
      <c r="BX1713" s="6"/>
      <c r="BY1713" s="6"/>
      <c r="BZ1713" s="6"/>
      <c r="CA1713" s="6"/>
      <c r="CB1713" s="6"/>
      <c r="CC1713" s="6"/>
    </row>
    <row r="1714" spans="2:81" x14ac:dyDescent="0.2">
      <c r="B1714" s="68"/>
      <c r="C1714" s="69"/>
      <c r="D1714" s="70"/>
      <c r="F1714" s="68"/>
      <c r="G1714" s="69"/>
      <c r="H1714" s="70"/>
      <c r="J1714" s="71"/>
      <c r="K1714" s="71"/>
      <c r="L1714" s="67"/>
      <c r="N1714" s="71"/>
      <c r="O1714" s="71"/>
      <c r="P1714" s="67"/>
      <c r="R1714" s="67"/>
      <c r="S1714" s="6"/>
      <c r="T1714" s="6"/>
      <c r="U1714" s="6"/>
      <c r="V1714" s="6"/>
      <c r="W1714" s="6"/>
      <c r="X1714" s="6"/>
      <c r="Y1714" s="6"/>
      <c r="Z1714" s="6"/>
      <c r="AA1714" s="6"/>
      <c r="AB1714" s="6"/>
      <c r="AC1714" s="6"/>
      <c r="AD1714" s="6"/>
      <c r="AE1714" s="6"/>
      <c r="AF1714" s="6"/>
      <c r="AG1714" s="6"/>
      <c r="AH1714" s="6"/>
      <c r="AI1714" s="6"/>
      <c r="AJ1714" s="6"/>
      <c r="AK1714" s="6"/>
      <c r="AL1714" s="6"/>
      <c r="AM1714" s="6"/>
      <c r="AN1714" s="6"/>
      <c r="AO1714" s="6"/>
      <c r="AP1714" s="6"/>
      <c r="AQ1714" s="6"/>
      <c r="AR1714" s="6"/>
      <c r="AS1714" s="6"/>
      <c r="AT1714" s="6"/>
      <c r="AU1714" s="6"/>
      <c r="AV1714" s="6"/>
      <c r="AW1714" s="6"/>
      <c r="AX1714" s="6"/>
      <c r="AY1714" s="6"/>
      <c r="AZ1714" s="6"/>
      <c r="BA1714" s="6"/>
      <c r="BB1714" s="6"/>
      <c r="BC1714" s="6"/>
      <c r="BD1714" s="6"/>
      <c r="BE1714" s="6"/>
      <c r="BF1714" s="6"/>
      <c r="BG1714" s="6"/>
      <c r="BH1714" s="6"/>
      <c r="BI1714" s="6"/>
      <c r="BJ1714" s="6"/>
      <c r="BK1714" s="6"/>
      <c r="BL1714" s="6"/>
      <c r="BM1714" s="6"/>
      <c r="BN1714" s="6"/>
      <c r="BO1714" s="6"/>
      <c r="BP1714" s="6"/>
      <c r="BQ1714" s="6"/>
      <c r="BR1714" s="6"/>
      <c r="BS1714" s="6"/>
      <c r="BT1714" s="6"/>
      <c r="BU1714" s="6"/>
      <c r="BV1714" s="6"/>
      <c r="BW1714" s="6"/>
      <c r="BX1714" s="6"/>
      <c r="BY1714" s="6"/>
      <c r="BZ1714" s="6"/>
      <c r="CA1714" s="6"/>
      <c r="CB1714" s="6"/>
      <c r="CC1714" s="6"/>
    </row>
    <row r="1715" spans="2:81" x14ac:dyDescent="0.2">
      <c r="B1715" s="68"/>
      <c r="C1715" s="69"/>
      <c r="D1715" s="70"/>
      <c r="F1715" s="68"/>
      <c r="G1715" s="69"/>
      <c r="H1715" s="70"/>
      <c r="J1715" s="71"/>
      <c r="K1715" s="71"/>
      <c r="L1715" s="67"/>
      <c r="N1715" s="71"/>
      <c r="O1715" s="71"/>
      <c r="P1715" s="67"/>
      <c r="R1715" s="67"/>
      <c r="S1715" s="6"/>
      <c r="T1715" s="6"/>
      <c r="U1715" s="6"/>
      <c r="V1715" s="6"/>
      <c r="W1715" s="6"/>
      <c r="X1715" s="6"/>
      <c r="Y1715" s="6"/>
      <c r="Z1715" s="6"/>
      <c r="AA1715" s="6"/>
      <c r="AB1715" s="6"/>
      <c r="AC1715" s="6"/>
      <c r="AD1715" s="6"/>
      <c r="AE1715" s="6"/>
      <c r="AF1715" s="6"/>
      <c r="AG1715" s="6"/>
      <c r="AH1715" s="6"/>
      <c r="AI1715" s="6"/>
      <c r="AJ1715" s="6"/>
      <c r="AK1715" s="6"/>
      <c r="AL1715" s="6"/>
      <c r="AM1715" s="6"/>
      <c r="AN1715" s="6"/>
      <c r="AO1715" s="6"/>
      <c r="AP1715" s="6"/>
      <c r="AQ1715" s="6"/>
      <c r="AR1715" s="6"/>
      <c r="AS1715" s="6"/>
      <c r="AT1715" s="6"/>
      <c r="AU1715" s="6"/>
      <c r="AV1715" s="6"/>
      <c r="AW1715" s="6"/>
      <c r="AX1715" s="6"/>
      <c r="AY1715" s="6"/>
      <c r="AZ1715" s="6"/>
      <c r="BA1715" s="6"/>
      <c r="BB1715" s="6"/>
      <c r="BC1715" s="6"/>
      <c r="BD1715" s="6"/>
      <c r="BE1715" s="6"/>
      <c r="BF1715" s="6"/>
      <c r="BG1715" s="6"/>
      <c r="BH1715" s="6"/>
      <c r="BI1715" s="6"/>
      <c r="BJ1715" s="6"/>
      <c r="BK1715" s="6"/>
      <c r="BL1715" s="6"/>
      <c r="BM1715" s="6"/>
      <c r="BN1715" s="6"/>
      <c r="BO1715" s="6"/>
      <c r="BP1715" s="6"/>
      <c r="BQ1715" s="6"/>
      <c r="BR1715" s="6"/>
      <c r="BS1715" s="6"/>
      <c r="BT1715" s="6"/>
      <c r="BU1715" s="6"/>
      <c r="BV1715" s="6"/>
      <c r="BW1715" s="6"/>
      <c r="BX1715" s="6"/>
      <c r="BY1715" s="6"/>
      <c r="BZ1715" s="6"/>
      <c r="CA1715" s="6"/>
      <c r="CB1715" s="6"/>
      <c r="CC1715" s="6"/>
    </row>
    <row r="1716" spans="2:81" x14ac:dyDescent="0.2">
      <c r="B1716" s="68"/>
      <c r="C1716" s="69"/>
      <c r="D1716" s="70"/>
      <c r="F1716" s="68"/>
      <c r="G1716" s="69"/>
      <c r="H1716" s="70"/>
      <c r="J1716" s="71"/>
      <c r="K1716" s="71"/>
      <c r="L1716" s="67"/>
      <c r="N1716" s="71"/>
      <c r="O1716" s="71"/>
      <c r="P1716" s="67"/>
      <c r="R1716" s="67"/>
      <c r="S1716" s="6"/>
      <c r="T1716" s="6"/>
      <c r="U1716" s="6"/>
      <c r="V1716" s="6"/>
      <c r="W1716" s="6"/>
      <c r="X1716" s="6"/>
      <c r="Y1716" s="6"/>
      <c r="Z1716" s="6"/>
      <c r="AA1716" s="6"/>
      <c r="AB1716" s="6"/>
      <c r="AC1716" s="6"/>
      <c r="AD1716" s="6"/>
      <c r="AE1716" s="6"/>
      <c r="AF1716" s="6"/>
      <c r="AG1716" s="6"/>
      <c r="AH1716" s="6"/>
      <c r="AI1716" s="6"/>
      <c r="AJ1716" s="6"/>
      <c r="AK1716" s="6"/>
      <c r="AL1716" s="6"/>
      <c r="AM1716" s="6"/>
      <c r="AN1716" s="6"/>
      <c r="AO1716" s="6"/>
      <c r="AP1716" s="6"/>
      <c r="AQ1716" s="6"/>
      <c r="AR1716" s="6"/>
      <c r="AS1716" s="6"/>
      <c r="AT1716" s="6"/>
      <c r="AU1716" s="6"/>
      <c r="AV1716" s="6"/>
      <c r="AW1716" s="6"/>
      <c r="AX1716" s="6"/>
      <c r="AY1716" s="6"/>
      <c r="AZ1716" s="6"/>
      <c r="BA1716" s="6"/>
      <c r="BB1716" s="6"/>
      <c r="BC1716" s="6"/>
      <c r="BD1716" s="6"/>
      <c r="BE1716" s="6"/>
      <c r="BF1716" s="6"/>
      <c r="BG1716" s="6"/>
      <c r="BH1716" s="6"/>
      <c r="BI1716" s="6"/>
      <c r="BJ1716" s="6"/>
      <c r="BK1716" s="6"/>
      <c r="BL1716" s="6"/>
      <c r="BM1716" s="6"/>
      <c r="BN1716" s="6"/>
      <c r="BO1716" s="6"/>
      <c r="BP1716" s="6"/>
      <c r="BQ1716" s="6"/>
      <c r="BR1716" s="6"/>
      <c r="BS1716" s="6"/>
      <c r="BT1716" s="6"/>
      <c r="BU1716" s="6"/>
      <c r="BV1716" s="6"/>
      <c r="BW1716" s="6"/>
      <c r="BX1716" s="6"/>
      <c r="BY1716" s="6"/>
      <c r="BZ1716" s="6"/>
      <c r="CA1716" s="6"/>
      <c r="CB1716" s="6"/>
      <c r="CC1716" s="6"/>
    </row>
    <row r="1717" spans="2:81" x14ac:dyDescent="0.2">
      <c r="B1717" s="68"/>
      <c r="C1717" s="69"/>
      <c r="D1717" s="70"/>
      <c r="F1717" s="68"/>
      <c r="G1717" s="69"/>
      <c r="H1717" s="70"/>
      <c r="J1717" s="71"/>
      <c r="K1717" s="71"/>
      <c r="L1717" s="67"/>
      <c r="N1717" s="71"/>
      <c r="O1717" s="71"/>
      <c r="P1717" s="67"/>
      <c r="R1717" s="67"/>
      <c r="S1717" s="6"/>
      <c r="T1717" s="6"/>
      <c r="U1717" s="6"/>
      <c r="V1717" s="6"/>
      <c r="W1717" s="6"/>
      <c r="X1717" s="6"/>
      <c r="Y1717" s="6"/>
      <c r="Z1717" s="6"/>
      <c r="AA1717" s="6"/>
      <c r="AB1717" s="6"/>
      <c r="AC1717" s="6"/>
      <c r="AD1717" s="6"/>
      <c r="AE1717" s="6"/>
      <c r="AF1717" s="6"/>
      <c r="AG1717" s="6"/>
      <c r="AH1717" s="6"/>
      <c r="AI1717" s="6"/>
      <c r="AJ1717" s="6"/>
      <c r="AK1717" s="6"/>
      <c r="AL1717" s="6"/>
      <c r="AM1717" s="6"/>
      <c r="AN1717" s="6"/>
      <c r="AO1717" s="6"/>
      <c r="AP1717" s="6"/>
      <c r="AQ1717" s="6"/>
      <c r="AR1717" s="6"/>
      <c r="AS1717" s="6"/>
      <c r="AT1717" s="6"/>
      <c r="AU1717" s="6"/>
      <c r="AV1717" s="6"/>
      <c r="AW1717" s="6"/>
      <c r="AX1717" s="6"/>
      <c r="AY1717" s="6"/>
      <c r="AZ1717" s="6"/>
      <c r="BA1717" s="6"/>
      <c r="BB1717" s="6"/>
      <c r="BC1717" s="6"/>
      <c r="BD1717" s="6"/>
      <c r="BE1717" s="6"/>
      <c r="BF1717" s="6"/>
      <c r="BG1717" s="6"/>
      <c r="BH1717" s="6"/>
      <c r="BI1717" s="6"/>
      <c r="BJ1717" s="6"/>
      <c r="BK1717" s="6"/>
      <c r="BL1717" s="6"/>
      <c r="BM1717" s="6"/>
      <c r="BN1717" s="6"/>
      <c r="BO1717" s="6"/>
      <c r="BP1717" s="6"/>
      <c r="BQ1717" s="6"/>
      <c r="BR1717" s="6"/>
      <c r="BS1717" s="6"/>
      <c r="BT1717" s="6"/>
      <c r="BU1717" s="6"/>
      <c r="BV1717" s="6"/>
      <c r="BW1717" s="6"/>
      <c r="BX1717" s="6"/>
      <c r="BY1717" s="6"/>
      <c r="BZ1717" s="6"/>
      <c r="CA1717" s="6"/>
      <c r="CB1717" s="6"/>
      <c r="CC1717" s="6"/>
    </row>
    <row r="1718" spans="2:81" x14ac:dyDescent="0.2">
      <c r="B1718" s="68"/>
      <c r="C1718" s="69"/>
      <c r="D1718" s="70"/>
      <c r="F1718" s="68"/>
      <c r="G1718" s="69"/>
      <c r="H1718" s="70"/>
      <c r="J1718" s="71"/>
      <c r="K1718" s="71"/>
      <c r="L1718" s="67"/>
      <c r="N1718" s="71"/>
      <c r="O1718" s="71"/>
      <c r="P1718" s="67"/>
      <c r="R1718" s="67"/>
      <c r="S1718" s="6"/>
      <c r="T1718" s="6"/>
      <c r="U1718" s="6"/>
      <c r="V1718" s="6"/>
      <c r="W1718" s="6"/>
      <c r="X1718" s="6"/>
      <c r="Y1718" s="6"/>
      <c r="Z1718" s="6"/>
      <c r="AA1718" s="6"/>
      <c r="AB1718" s="6"/>
      <c r="AC1718" s="6"/>
      <c r="AD1718" s="6"/>
      <c r="AE1718" s="6"/>
      <c r="AF1718" s="6"/>
      <c r="AG1718" s="6"/>
      <c r="AH1718" s="6"/>
      <c r="AI1718" s="6"/>
      <c r="AJ1718" s="6"/>
      <c r="AK1718" s="6"/>
      <c r="AL1718" s="6"/>
      <c r="AM1718" s="6"/>
      <c r="AN1718" s="6"/>
      <c r="AO1718" s="6"/>
      <c r="AP1718" s="6"/>
      <c r="AQ1718" s="6"/>
      <c r="AR1718" s="6"/>
      <c r="AS1718" s="6"/>
      <c r="AT1718" s="6"/>
      <c r="AU1718" s="6"/>
      <c r="AV1718" s="6"/>
      <c r="AW1718" s="6"/>
      <c r="AX1718" s="6"/>
      <c r="AY1718" s="6"/>
      <c r="AZ1718" s="6"/>
      <c r="BA1718" s="6"/>
      <c r="BB1718" s="6"/>
      <c r="BC1718" s="6"/>
      <c r="BD1718" s="6"/>
      <c r="BE1718" s="6"/>
      <c r="BF1718" s="6"/>
      <c r="BG1718" s="6"/>
      <c r="BH1718" s="6"/>
      <c r="BI1718" s="6"/>
      <c r="BJ1718" s="6"/>
      <c r="BK1718" s="6"/>
      <c r="BL1718" s="6"/>
      <c r="BM1718" s="6"/>
      <c r="BN1718" s="6"/>
      <c r="BO1718" s="6"/>
      <c r="BP1718" s="6"/>
      <c r="BQ1718" s="6"/>
      <c r="BR1718" s="6"/>
      <c r="BS1718" s="6"/>
      <c r="BT1718" s="6"/>
      <c r="BU1718" s="6"/>
      <c r="BV1718" s="6"/>
      <c r="BW1718" s="6"/>
      <c r="BX1718" s="6"/>
      <c r="BY1718" s="6"/>
      <c r="BZ1718" s="6"/>
      <c r="CA1718" s="6"/>
      <c r="CB1718" s="6"/>
      <c r="CC1718" s="6"/>
    </row>
    <row r="1719" spans="2:81" x14ac:dyDescent="0.2">
      <c r="B1719" s="68"/>
      <c r="C1719" s="69"/>
      <c r="D1719" s="70"/>
      <c r="F1719" s="68"/>
      <c r="G1719" s="69"/>
      <c r="H1719" s="70"/>
      <c r="J1719" s="71"/>
      <c r="K1719" s="71"/>
      <c r="L1719" s="67"/>
      <c r="N1719" s="71"/>
      <c r="O1719" s="71"/>
      <c r="P1719" s="67"/>
      <c r="R1719" s="67"/>
      <c r="S1719" s="6"/>
      <c r="T1719" s="6"/>
      <c r="U1719" s="6"/>
      <c r="V1719" s="6"/>
      <c r="W1719" s="6"/>
      <c r="X1719" s="6"/>
      <c r="Y1719" s="6"/>
      <c r="Z1719" s="6"/>
      <c r="AA1719" s="6"/>
      <c r="AB1719" s="6"/>
      <c r="AC1719" s="6"/>
      <c r="AD1719" s="6"/>
      <c r="AE1719" s="6"/>
      <c r="AF1719" s="6"/>
      <c r="AG1719" s="6"/>
      <c r="AH1719" s="6"/>
      <c r="AI1719" s="6"/>
      <c r="AJ1719" s="6"/>
      <c r="AK1719" s="6"/>
      <c r="AL1719" s="6"/>
      <c r="AM1719" s="6"/>
      <c r="AN1719" s="6"/>
      <c r="AO1719" s="6"/>
      <c r="AP1719" s="6"/>
      <c r="AQ1719" s="6"/>
      <c r="AR1719" s="6"/>
      <c r="AS1719" s="6"/>
      <c r="AT1719" s="6"/>
      <c r="AU1719" s="6"/>
      <c r="AV1719" s="6"/>
      <c r="AW1719" s="6"/>
      <c r="AX1719" s="6"/>
      <c r="AY1719" s="6"/>
      <c r="AZ1719" s="6"/>
      <c r="BA1719" s="6"/>
      <c r="BB1719" s="6"/>
      <c r="BC1719" s="6"/>
      <c r="BD1719" s="6"/>
      <c r="BE1719" s="6"/>
      <c r="BF1719" s="6"/>
      <c r="BG1719" s="6"/>
      <c r="BH1719" s="6"/>
      <c r="BI1719" s="6"/>
      <c r="BJ1719" s="6"/>
      <c r="BK1719" s="6"/>
      <c r="BL1719" s="6"/>
      <c r="BM1719" s="6"/>
      <c r="BN1719" s="6"/>
      <c r="BO1719" s="6"/>
      <c r="BP1719" s="6"/>
      <c r="BQ1719" s="6"/>
      <c r="BR1719" s="6"/>
      <c r="BS1719" s="6"/>
      <c r="BT1719" s="6"/>
      <c r="BU1719" s="6"/>
      <c r="BV1719" s="6"/>
      <c r="BW1719" s="6"/>
      <c r="BX1719" s="6"/>
      <c r="BY1719" s="6"/>
      <c r="BZ1719" s="6"/>
      <c r="CA1719" s="6"/>
      <c r="CB1719" s="6"/>
      <c r="CC1719" s="6"/>
    </row>
    <row r="1720" spans="2:81" x14ac:dyDescent="0.2">
      <c r="B1720" s="68"/>
      <c r="C1720" s="69"/>
      <c r="D1720" s="70"/>
      <c r="F1720" s="68"/>
      <c r="G1720" s="69"/>
      <c r="H1720" s="70"/>
      <c r="J1720" s="71"/>
      <c r="K1720" s="71"/>
      <c r="L1720" s="67"/>
      <c r="N1720" s="71"/>
      <c r="O1720" s="71"/>
      <c r="P1720" s="67"/>
      <c r="R1720" s="67"/>
      <c r="S1720" s="6"/>
      <c r="T1720" s="6"/>
      <c r="U1720" s="6"/>
      <c r="V1720" s="6"/>
      <c r="W1720" s="6"/>
      <c r="X1720" s="6"/>
      <c r="Y1720" s="6"/>
      <c r="Z1720" s="6"/>
      <c r="AA1720" s="6"/>
      <c r="AB1720" s="6"/>
      <c r="AC1720" s="6"/>
      <c r="AD1720" s="6"/>
      <c r="AE1720" s="6"/>
      <c r="AF1720" s="6"/>
      <c r="AG1720" s="6"/>
      <c r="AH1720" s="6"/>
      <c r="AI1720" s="6"/>
      <c r="AJ1720" s="6"/>
      <c r="AK1720" s="6"/>
      <c r="AL1720" s="6"/>
      <c r="AM1720" s="6"/>
      <c r="AN1720" s="6"/>
      <c r="AO1720" s="6"/>
      <c r="AP1720" s="6"/>
      <c r="AQ1720" s="6"/>
      <c r="AR1720" s="6"/>
      <c r="AS1720" s="6"/>
      <c r="AT1720" s="6"/>
      <c r="AU1720" s="6"/>
      <c r="AV1720" s="6"/>
      <c r="AW1720" s="6"/>
      <c r="AX1720" s="6"/>
      <c r="AY1720" s="6"/>
      <c r="AZ1720" s="6"/>
      <c r="BA1720" s="6"/>
      <c r="BB1720" s="6"/>
      <c r="BC1720" s="6"/>
      <c r="BD1720" s="6"/>
      <c r="BE1720" s="6"/>
      <c r="BF1720" s="6"/>
      <c r="BG1720" s="6"/>
      <c r="BH1720" s="6"/>
      <c r="BI1720" s="6"/>
      <c r="BJ1720" s="6"/>
      <c r="BK1720" s="6"/>
      <c r="BL1720" s="6"/>
      <c r="BM1720" s="6"/>
      <c r="BN1720" s="6"/>
      <c r="BO1720" s="6"/>
      <c r="BP1720" s="6"/>
      <c r="BQ1720" s="6"/>
      <c r="BR1720" s="6"/>
      <c r="BS1720" s="6"/>
      <c r="BT1720" s="6"/>
      <c r="BU1720" s="6"/>
      <c r="BV1720" s="6"/>
      <c r="BW1720" s="6"/>
      <c r="BX1720" s="6"/>
      <c r="BY1720" s="6"/>
      <c r="BZ1720" s="6"/>
      <c r="CA1720" s="6"/>
      <c r="CB1720" s="6"/>
      <c r="CC1720" s="6"/>
    </row>
    <row r="1721" spans="2:81" x14ac:dyDescent="0.2">
      <c r="B1721" s="68"/>
      <c r="C1721" s="69"/>
      <c r="D1721" s="70"/>
      <c r="F1721" s="68"/>
      <c r="G1721" s="69"/>
      <c r="H1721" s="70"/>
      <c r="J1721" s="71"/>
      <c r="K1721" s="71"/>
      <c r="L1721" s="67"/>
      <c r="N1721" s="71"/>
      <c r="O1721" s="71"/>
      <c r="P1721" s="67"/>
      <c r="R1721" s="67"/>
      <c r="S1721" s="6"/>
      <c r="T1721" s="6"/>
      <c r="U1721" s="6"/>
      <c r="V1721" s="6"/>
      <c r="W1721" s="6"/>
      <c r="X1721" s="6"/>
      <c r="Y1721" s="6"/>
      <c r="Z1721" s="6"/>
      <c r="AA1721" s="6"/>
      <c r="AB1721" s="6"/>
      <c r="AC1721" s="6"/>
      <c r="AD1721" s="6"/>
      <c r="AE1721" s="6"/>
      <c r="AF1721" s="6"/>
      <c r="AG1721" s="6"/>
      <c r="AH1721" s="6"/>
      <c r="AI1721" s="6"/>
      <c r="AJ1721" s="6"/>
      <c r="AK1721" s="6"/>
      <c r="AL1721" s="6"/>
      <c r="AM1721" s="6"/>
      <c r="AN1721" s="6"/>
      <c r="AO1721" s="6"/>
      <c r="AP1721" s="6"/>
      <c r="AQ1721" s="6"/>
      <c r="AR1721" s="6"/>
      <c r="AS1721" s="6"/>
      <c r="AT1721" s="6"/>
      <c r="AU1721" s="6"/>
      <c r="AV1721" s="6"/>
      <c r="AW1721" s="6"/>
      <c r="AX1721" s="6"/>
      <c r="AY1721" s="6"/>
      <c r="AZ1721" s="6"/>
      <c r="BA1721" s="6"/>
      <c r="BB1721" s="6"/>
      <c r="BC1721" s="6"/>
      <c r="BD1721" s="6"/>
      <c r="BE1721" s="6"/>
      <c r="BF1721" s="6"/>
      <c r="BG1721" s="6"/>
      <c r="BH1721" s="6"/>
      <c r="BI1721" s="6"/>
      <c r="BJ1721" s="6"/>
      <c r="BK1721" s="6"/>
      <c r="BL1721" s="6"/>
      <c r="BM1721" s="6"/>
      <c r="BN1721" s="6"/>
      <c r="BO1721" s="6"/>
      <c r="BP1721" s="6"/>
      <c r="BQ1721" s="6"/>
      <c r="BR1721" s="6"/>
      <c r="BS1721" s="6"/>
      <c r="BT1721" s="6"/>
      <c r="BU1721" s="6"/>
      <c r="BV1721" s="6"/>
      <c r="BW1721" s="6"/>
      <c r="BX1721" s="6"/>
      <c r="BY1721" s="6"/>
      <c r="BZ1721" s="6"/>
      <c r="CA1721" s="6"/>
      <c r="CB1721" s="6"/>
      <c r="CC1721" s="6"/>
    </row>
    <row r="1722" spans="2:81" x14ac:dyDescent="0.2">
      <c r="B1722" s="68"/>
      <c r="C1722" s="69"/>
      <c r="D1722" s="70"/>
      <c r="F1722" s="68"/>
      <c r="G1722" s="69"/>
      <c r="H1722" s="70"/>
      <c r="J1722" s="71"/>
      <c r="K1722" s="71"/>
      <c r="L1722" s="67"/>
      <c r="N1722" s="71"/>
      <c r="O1722" s="71"/>
      <c r="P1722" s="67"/>
      <c r="R1722" s="67"/>
      <c r="S1722" s="6"/>
      <c r="T1722" s="6"/>
      <c r="U1722" s="6"/>
      <c r="V1722" s="6"/>
      <c r="W1722" s="6"/>
      <c r="X1722" s="6"/>
      <c r="Y1722" s="6"/>
      <c r="Z1722" s="6"/>
      <c r="AA1722" s="6"/>
      <c r="AB1722" s="6"/>
      <c r="AC1722" s="6"/>
      <c r="AD1722" s="6"/>
      <c r="AE1722" s="6"/>
      <c r="AF1722" s="6"/>
      <c r="AG1722" s="6"/>
      <c r="AH1722" s="6"/>
      <c r="AI1722" s="6"/>
      <c r="AJ1722" s="6"/>
      <c r="AK1722" s="6"/>
      <c r="AL1722" s="6"/>
      <c r="AM1722" s="6"/>
      <c r="AN1722" s="6"/>
      <c r="AO1722" s="6"/>
      <c r="AP1722" s="6"/>
      <c r="AQ1722" s="6"/>
      <c r="AR1722" s="6"/>
      <c r="AS1722" s="6"/>
      <c r="AT1722" s="6"/>
      <c r="AU1722" s="6"/>
      <c r="AV1722" s="6"/>
      <c r="AW1722" s="6"/>
      <c r="AX1722" s="6"/>
      <c r="AY1722" s="6"/>
      <c r="AZ1722" s="6"/>
      <c r="BA1722" s="6"/>
      <c r="BB1722" s="6"/>
      <c r="BC1722" s="6"/>
      <c r="BD1722" s="6"/>
      <c r="BE1722" s="6"/>
      <c r="BF1722" s="6"/>
      <c r="BG1722" s="6"/>
      <c r="BH1722" s="6"/>
      <c r="BI1722" s="6"/>
      <c r="BJ1722" s="6"/>
      <c r="BK1722" s="6"/>
      <c r="BL1722" s="6"/>
      <c r="BM1722" s="6"/>
      <c r="BN1722" s="6"/>
      <c r="BO1722" s="6"/>
      <c r="BP1722" s="6"/>
      <c r="BQ1722" s="6"/>
      <c r="BR1722" s="6"/>
      <c r="BS1722" s="6"/>
      <c r="BT1722" s="6"/>
      <c r="BU1722" s="6"/>
      <c r="BV1722" s="6"/>
      <c r="BW1722" s="6"/>
      <c r="BX1722" s="6"/>
      <c r="BY1722" s="6"/>
      <c r="BZ1722" s="6"/>
      <c r="CA1722" s="6"/>
      <c r="CB1722" s="6"/>
      <c r="CC1722" s="6"/>
    </row>
    <row r="1723" spans="2:81" x14ac:dyDescent="0.2">
      <c r="B1723" s="68"/>
      <c r="C1723" s="69"/>
      <c r="D1723" s="70"/>
      <c r="F1723" s="68"/>
      <c r="G1723" s="69"/>
      <c r="H1723" s="70"/>
      <c r="J1723" s="71"/>
      <c r="K1723" s="71"/>
      <c r="L1723" s="67"/>
      <c r="N1723" s="71"/>
      <c r="O1723" s="71"/>
      <c r="P1723" s="67"/>
      <c r="R1723" s="67"/>
      <c r="S1723" s="6"/>
      <c r="T1723" s="6"/>
      <c r="U1723" s="6"/>
      <c r="V1723" s="6"/>
      <c r="W1723" s="6"/>
      <c r="X1723" s="6"/>
      <c r="Y1723" s="6"/>
      <c r="Z1723" s="6"/>
      <c r="AA1723" s="6"/>
      <c r="AB1723" s="6"/>
      <c r="AC1723" s="6"/>
      <c r="AD1723" s="6"/>
      <c r="AE1723" s="6"/>
      <c r="AF1723" s="6"/>
      <c r="AG1723" s="6"/>
      <c r="AH1723" s="6"/>
      <c r="AI1723" s="6"/>
      <c r="AJ1723" s="6"/>
      <c r="AK1723" s="6"/>
      <c r="AL1723" s="6"/>
      <c r="AM1723" s="6"/>
      <c r="AN1723" s="6"/>
      <c r="AO1723" s="6"/>
      <c r="AP1723" s="6"/>
      <c r="AQ1723" s="6"/>
      <c r="AR1723" s="6"/>
      <c r="AS1723" s="6"/>
      <c r="AT1723" s="6"/>
      <c r="AU1723" s="6"/>
      <c r="AV1723" s="6"/>
      <c r="AW1723" s="6"/>
      <c r="AX1723" s="6"/>
      <c r="AY1723" s="6"/>
      <c r="AZ1723" s="6"/>
      <c r="BA1723" s="6"/>
      <c r="BB1723" s="6"/>
      <c r="BC1723" s="6"/>
      <c r="BD1723" s="6"/>
      <c r="BE1723" s="6"/>
      <c r="BF1723" s="6"/>
      <c r="BG1723" s="6"/>
      <c r="BH1723" s="6"/>
      <c r="BI1723" s="6"/>
      <c r="BJ1723" s="6"/>
      <c r="BK1723" s="6"/>
      <c r="BL1723" s="6"/>
      <c r="BM1723" s="6"/>
      <c r="BN1723" s="6"/>
      <c r="BO1723" s="6"/>
      <c r="BP1723" s="6"/>
      <c r="BQ1723" s="6"/>
      <c r="BR1723" s="6"/>
      <c r="BS1723" s="6"/>
      <c r="BT1723" s="6"/>
      <c r="BU1723" s="6"/>
      <c r="BV1723" s="6"/>
      <c r="BW1723" s="6"/>
      <c r="BX1723" s="6"/>
      <c r="BY1723" s="6"/>
      <c r="BZ1723" s="6"/>
      <c r="CA1723" s="6"/>
      <c r="CB1723" s="6"/>
      <c r="CC1723" s="6"/>
    </row>
    <row r="1724" spans="2:81" x14ac:dyDescent="0.2">
      <c r="B1724" s="68"/>
      <c r="C1724" s="69"/>
      <c r="D1724" s="70"/>
      <c r="F1724" s="68"/>
      <c r="G1724" s="69"/>
      <c r="H1724" s="70"/>
      <c r="J1724" s="71"/>
      <c r="K1724" s="71"/>
      <c r="L1724" s="67"/>
      <c r="N1724" s="71"/>
      <c r="O1724" s="71"/>
      <c r="P1724" s="67"/>
      <c r="R1724" s="67"/>
      <c r="S1724" s="6"/>
      <c r="T1724" s="6"/>
      <c r="U1724" s="6"/>
      <c r="V1724" s="6"/>
      <c r="W1724" s="6"/>
      <c r="X1724" s="6"/>
      <c r="Y1724" s="6"/>
      <c r="Z1724" s="6"/>
      <c r="AA1724" s="6"/>
      <c r="AB1724" s="6"/>
      <c r="AC1724" s="6"/>
      <c r="AD1724" s="6"/>
      <c r="AE1724" s="6"/>
      <c r="AF1724" s="6"/>
      <c r="AG1724" s="6"/>
      <c r="AH1724" s="6"/>
      <c r="AI1724" s="6"/>
      <c r="AJ1724" s="6"/>
      <c r="AK1724" s="6"/>
      <c r="AL1724" s="6"/>
      <c r="AM1724" s="6"/>
      <c r="AN1724" s="6"/>
      <c r="AO1724" s="6"/>
      <c r="AP1724" s="6"/>
      <c r="AQ1724" s="6"/>
      <c r="AR1724" s="6"/>
      <c r="AS1724" s="6"/>
      <c r="AT1724" s="6"/>
      <c r="AU1724" s="6"/>
      <c r="AV1724" s="6"/>
      <c r="AW1724" s="6"/>
      <c r="AX1724" s="6"/>
      <c r="AY1724" s="6"/>
      <c r="AZ1724" s="6"/>
      <c r="BA1724" s="6"/>
      <c r="BB1724" s="6"/>
      <c r="BC1724" s="6"/>
      <c r="BD1724" s="6"/>
      <c r="BE1724" s="6"/>
      <c r="BF1724" s="6"/>
      <c r="BG1724" s="6"/>
      <c r="BH1724" s="6"/>
      <c r="BI1724" s="6"/>
      <c r="BJ1724" s="6"/>
      <c r="BK1724" s="6"/>
      <c r="BL1724" s="6"/>
      <c r="BM1724" s="6"/>
      <c r="BN1724" s="6"/>
      <c r="BO1724" s="6"/>
      <c r="BP1724" s="6"/>
      <c r="BQ1724" s="6"/>
      <c r="BR1724" s="6"/>
      <c r="BS1724" s="6"/>
      <c r="BT1724" s="6"/>
      <c r="BU1724" s="6"/>
      <c r="BV1724" s="6"/>
      <c r="BW1724" s="6"/>
      <c r="BX1724" s="6"/>
      <c r="BY1724" s="6"/>
      <c r="BZ1724" s="6"/>
      <c r="CA1724" s="6"/>
      <c r="CB1724" s="6"/>
      <c r="CC1724" s="6"/>
    </row>
    <row r="1725" spans="2:81" x14ac:dyDescent="0.2">
      <c r="B1725" s="68"/>
      <c r="C1725" s="69"/>
      <c r="D1725" s="70"/>
      <c r="F1725" s="68"/>
      <c r="G1725" s="69"/>
      <c r="H1725" s="70"/>
      <c r="J1725" s="71"/>
      <c r="K1725" s="71"/>
      <c r="L1725" s="67"/>
      <c r="N1725" s="71"/>
      <c r="O1725" s="71"/>
      <c r="P1725" s="67"/>
      <c r="R1725" s="67"/>
      <c r="S1725" s="6"/>
      <c r="T1725" s="6"/>
      <c r="U1725" s="6"/>
      <c r="V1725" s="6"/>
      <c r="W1725" s="6"/>
      <c r="X1725" s="6"/>
      <c r="Y1725" s="6"/>
      <c r="Z1725" s="6"/>
      <c r="AA1725" s="6"/>
      <c r="AB1725" s="6"/>
      <c r="AC1725" s="6"/>
      <c r="AD1725" s="6"/>
      <c r="AE1725" s="6"/>
      <c r="AF1725" s="6"/>
      <c r="AG1725" s="6"/>
      <c r="AH1725" s="6"/>
      <c r="AI1725" s="6"/>
      <c r="AJ1725" s="6"/>
      <c r="AK1725" s="6"/>
      <c r="AL1725" s="6"/>
      <c r="AM1725" s="6"/>
      <c r="AN1725" s="6"/>
      <c r="AO1725" s="6"/>
      <c r="AP1725" s="6"/>
      <c r="AQ1725" s="6"/>
      <c r="AR1725" s="6"/>
      <c r="AS1725" s="6"/>
      <c r="AT1725" s="6"/>
      <c r="AU1725" s="6"/>
      <c r="AV1725" s="6"/>
      <c r="AW1725" s="6"/>
      <c r="AX1725" s="6"/>
      <c r="AY1725" s="6"/>
      <c r="AZ1725" s="6"/>
      <c r="BA1725" s="6"/>
      <c r="BB1725" s="6"/>
      <c r="BC1725" s="6"/>
      <c r="BD1725" s="6"/>
      <c r="BE1725" s="6"/>
      <c r="BF1725" s="6"/>
      <c r="BG1725" s="6"/>
      <c r="BH1725" s="6"/>
      <c r="BI1725" s="6"/>
      <c r="BJ1725" s="6"/>
      <c r="BK1725" s="6"/>
      <c r="BL1725" s="6"/>
      <c r="BM1725" s="6"/>
      <c r="BN1725" s="6"/>
      <c r="BO1725" s="6"/>
      <c r="BP1725" s="6"/>
      <c r="BQ1725" s="6"/>
      <c r="BR1725" s="6"/>
      <c r="BS1725" s="6"/>
      <c r="BT1725" s="6"/>
      <c r="BU1725" s="6"/>
      <c r="BV1725" s="6"/>
      <c r="BW1725" s="6"/>
      <c r="BX1725" s="6"/>
      <c r="BY1725" s="6"/>
      <c r="BZ1725" s="6"/>
      <c r="CA1725" s="6"/>
      <c r="CB1725" s="6"/>
      <c r="CC1725" s="6"/>
    </row>
    <row r="1726" spans="2:81" x14ac:dyDescent="0.2">
      <c r="B1726" s="68"/>
      <c r="C1726" s="69"/>
      <c r="D1726" s="70"/>
      <c r="F1726" s="68"/>
      <c r="G1726" s="69"/>
      <c r="H1726" s="70"/>
      <c r="J1726" s="71"/>
      <c r="K1726" s="71"/>
      <c r="L1726" s="67"/>
      <c r="N1726" s="71"/>
      <c r="O1726" s="71"/>
      <c r="P1726" s="67"/>
      <c r="R1726" s="67"/>
      <c r="S1726" s="6"/>
      <c r="T1726" s="6"/>
      <c r="U1726" s="6"/>
      <c r="V1726" s="6"/>
      <c r="W1726" s="6"/>
      <c r="X1726" s="6"/>
      <c r="Y1726" s="6"/>
      <c r="Z1726" s="6"/>
      <c r="AA1726" s="6"/>
      <c r="AB1726" s="6"/>
      <c r="AC1726" s="6"/>
      <c r="AD1726" s="6"/>
      <c r="AE1726" s="6"/>
      <c r="AF1726" s="6"/>
      <c r="AG1726" s="6"/>
      <c r="AH1726" s="6"/>
      <c r="AI1726" s="6"/>
      <c r="AJ1726" s="6"/>
      <c r="AK1726" s="6"/>
      <c r="AL1726" s="6"/>
      <c r="AM1726" s="6"/>
      <c r="AN1726" s="6"/>
      <c r="AO1726" s="6"/>
      <c r="AP1726" s="6"/>
      <c r="AQ1726" s="6"/>
      <c r="AR1726" s="6"/>
      <c r="AS1726" s="6"/>
      <c r="AT1726" s="6"/>
      <c r="AU1726" s="6"/>
      <c r="AV1726" s="6"/>
      <c r="AW1726" s="6"/>
      <c r="AX1726" s="6"/>
      <c r="AY1726" s="6"/>
      <c r="AZ1726" s="6"/>
      <c r="BA1726" s="6"/>
      <c r="BB1726" s="6"/>
      <c r="BC1726" s="6"/>
      <c r="BD1726" s="6"/>
      <c r="BE1726" s="6"/>
      <c r="BF1726" s="6"/>
      <c r="BG1726" s="6"/>
      <c r="BH1726" s="6"/>
      <c r="BI1726" s="6"/>
      <c r="BJ1726" s="6"/>
      <c r="BK1726" s="6"/>
      <c r="BL1726" s="6"/>
      <c r="BM1726" s="6"/>
      <c r="BN1726" s="6"/>
      <c r="BO1726" s="6"/>
      <c r="BP1726" s="6"/>
      <c r="BQ1726" s="6"/>
      <c r="BR1726" s="6"/>
      <c r="BS1726" s="6"/>
      <c r="BT1726" s="6"/>
      <c r="BU1726" s="6"/>
      <c r="BV1726" s="6"/>
      <c r="BW1726" s="6"/>
      <c r="BX1726" s="6"/>
      <c r="BY1726" s="6"/>
      <c r="BZ1726" s="6"/>
      <c r="CA1726" s="6"/>
      <c r="CB1726" s="6"/>
      <c r="CC1726" s="6"/>
    </row>
    <row r="1727" spans="2:81" x14ac:dyDescent="0.2">
      <c r="B1727" s="68"/>
      <c r="C1727" s="69"/>
      <c r="D1727" s="70"/>
      <c r="F1727" s="68"/>
      <c r="G1727" s="69"/>
      <c r="H1727" s="70"/>
      <c r="J1727" s="71"/>
      <c r="K1727" s="71"/>
      <c r="L1727" s="67"/>
      <c r="N1727" s="71"/>
      <c r="O1727" s="71"/>
      <c r="P1727" s="67"/>
      <c r="R1727" s="67"/>
      <c r="S1727" s="6"/>
      <c r="T1727" s="6"/>
      <c r="U1727" s="6"/>
      <c r="V1727" s="6"/>
      <c r="W1727" s="6"/>
      <c r="X1727" s="6"/>
      <c r="Y1727" s="6"/>
      <c r="Z1727" s="6"/>
      <c r="AA1727" s="6"/>
      <c r="AB1727" s="6"/>
      <c r="AC1727" s="6"/>
      <c r="AD1727" s="6"/>
      <c r="AE1727" s="6"/>
      <c r="AF1727" s="6"/>
      <c r="AG1727" s="6"/>
      <c r="AH1727" s="6"/>
      <c r="AI1727" s="6"/>
      <c r="AJ1727" s="6"/>
      <c r="AK1727" s="6"/>
      <c r="AL1727" s="6"/>
      <c r="AM1727" s="6"/>
      <c r="AN1727" s="6"/>
      <c r="AO1727" s="6"/>
      <c r="AP1727" s="6"/>
      <c r="AQ1727" s="6"/>
      <c r="AR1727" s="6"/>
      <c r="AS1727" s="6"/>
      <c r="AT1727" s="6"/>
      <c r="AU1727" s="6"/>
      <c r="AV1727" s="6"/>
      <c r="AW1727" s="6"/>
      <c r="AX1727" s="6"/>
      <c r="AY1727" s="6"/>
      <c r="AZ1727" s="6"/>
      <c r="BA1727" s="6"/>
      <c r="BB1727" s="6"/>
      <c r="BC1727" s="6"/>
      <c r="BD1727" s="6"/>
      <c r="BE1727" s="6"/>
      <c r="BF1727" s="6"/>
      <c r="BG1727" s="6"/>
      <c r="BH1727" s="6"/>
      <c r="BI1727" s="6"/>
      <c r="BJ1727" s="6"/>
      <c r="BK1727" s="6"/>
      <c r="BL1727" s="6"/>
      <c r="BM1727" s="6"/>
      <c r="BN1727" s="6"/>
      <c r="BO1727" s="6"/>
      <c r="BP1727" s="6"/>
      <c r="BQ1727" s="6"/>
      <c r="BR1727" s="6"/>
      <c r="BS1727" s="6"/>
      <c r="BT1727" s="6"/>
      <c r="BU1727" s="6"/>
      <c r="BV1727" s="6"/>
      <c r="BW1727" s="6"/>
      <c r="BX1727" s="6"/>
      <c r="BY1727" s="6"/>
      <c r="BZ1727" s="6"/>
      <c r="CA1727" s="6"/>
      <c r="CB1727" s="6"/>
      <c r="CC1727" s="6"/>
    </row>
    <row r="1728" spans="2:81" x14ac:dyDescent="0.2">
      <c r="B1728" s="68"/>
      <c r="C1728" s="69"/>
      <c r="D1728" s="70"/>
      <c r="F1728" s="68"/>
      <c r="G1728" s="69"/>
      <c r="H1728" s="70"/>
      <c r="J1728" s="71"/>
      <c r="K1728" s="71"/>
      <c r="L1728" s="67"/>
      <c r="N1728" s="71"/>
      <c r="O1728" s="71"/>
      <c r="P1728" s="67"/>
      <c r="R1728" s="67"/>
      <c r="S1728" s="6"/>
      <c r="T1728" s="6"/>
      <c r="U1728" s="6"/>
      <c r="V1728" s="6"/>
      <c r="W1728" s="6"/>
      <c r="X1728" s="6"/>
      <c r="Y1728" s="6"/>
      <c r="Z1728" s="6"/>
      <c r="AA1728" s="6"/>
      <c r="AB1728" s="6"/>
      <c r="AC1728" s="6"/>
      <c r="AD1728" s="6"/>
      <c r="AE1728" s="6"/>
      <c r="AF1728" s="6"/>
      <c r="AG1728" s="6"/>
      <c r="AH1728" s="6"/>
      <c r="AI1728" s="6"/>
      <c r="AJ1728" s="6"/>
      <c r="AK1728" s="6"/>
      <c r="AL1728" s="6"/>
      <c r="AM1728" s="6"/>
      <c r="AN1728" s="6"/>
      <c r="AO1728" s="6"/>
      <c r="AP1728" s="6"/>
      <c r="AQ1728" s="6"/>
      <c r="AR1728" s="6"/>
      <c r="AS1728" s="6"/>
      <c r="AT1728" s="6"/>
      <c r="AU1728" s="6"/>
      <c r="AV1728" s="6"/>
      <c r="AW1728" s="6"/>
      <c r="AX1728" s="6"/>
      <c r="AY1728" s="6"/>
      <c r="AZ1728" s="6"/>
      <c r="BA1728" s="6"/>
      <c r="BB1728" s="6"/>
      <c r="BC1728" s="6"/>
      <c r="BD1728" s="6"/>
      <c r="BE1728" s="6"/>
      <c r="BF1728" s="6"/>
      <c r="BG1728" s="6"/>
      <c r="BH1728" s="6"/>
      <c r="BI1728" s="6"/>
      <c r="BJ1728" s="6"/>
      <c r="BK1728" s="6"/>
      <c r="BL1728" s="6"/>
      <c r="BM1728" s="6"/>
      <c r="BN1728" s="6"/>
      <c r="BO1728" s="6"/>
      <c r="BP1728" s="6"/>
      <c r="BQ1728" s="6"/>
      <c r="BR1728" s="6"/>
      <c r="BS1728" s="6"/>
      <c r="BT1728" s="6"/>
      <c r="BU1728" s="6"/>
      <c r="BV1728" s="6"/>
      <c r="BW1728" s="6"/>
      <c r="BX1728" s="6"/>
      <c r="BY1728" s="6"/>
      <c r="BZ1728" s="6"/>
      <c r="CA1728" s="6"/>
      <c r="CB1728" s="6"/>
      <c r="CC1728" s="6"/>
    </row>
    <row r="1729" spans="2:81" x14ac:dyDescent="0.2">
      <c r="B1729" s="68"/>
      <c r="C1729" s="69"/>
      <c r="D1729" s="70"/>
      <c r="F1729" s="68"/>
      <c r="G1729" s="69"/>
      <c r="H1729" s="70"/>
      <c r="J1729" s="71"/>
      <c r="K1729" s="71"/>
      <c r="L1729" s="67"/>
      <c r="N1729" s="71"/>
      <c r="O1729" s="71"/>
      <c r="P1729" s="67"/>
      <c r="R1729" s="67"/>
      <c r="S1729" s="6"/>
      <c r="T1729" s="6"/>
      <c r="U1729" s="6"/>
      <c r="V1729" s="6"/>
      <c r="W1729" s="6"/>
      <c r="X1729" s="6"/>
      <c r="Y1729" s="6"/>
      <c r="Z1729" s="6"/>
      <c r="AA1729" s="6"/>
      <c r="AB1729" s="6"/>
      <c r="AC1729" s="6"/>
      <c r="AD1729" s="6"/>
      <c r="AE1729" s="6"/>
      <c r="AF1729" s="6"/>
      <c r="AG1729" s="6"/>
      <c r="AH1729" s="6"/>
      <c r="AI1729" s="6"/>
      <c r="AJ1729" s="6"/>
      <c r="AK1729" s="6"/>
      <c r="AL1729" s="6"/>
      <c r="AM1729" s="6"/>
      <c r="AN1729" s="6"/>
      <c r="AO1729" s="6"/>
      <c r="AP1729" s="6"/>
      <c r="AQ1729" s="6"/>
      <c r="AR1729" s="6"/>
      <c r="AS1729" s="6"/>
      <c r="AT1729" s="6"/>
      <c r="AU1729" s="6"/>
      <c r="AV1729" s="6"/>
      <c r="AW1729" s="6"/>
      <c r="AX1729" s="6"/>
      <c r="AY1729" s="6"/>
      <c r="AZ1729" s="6"/>
      <c r="BA1729" s="6"/>
      <c r="BB1729" s="6"/>
      <c r="BC1729" s="6"/>
      <c r="BD1729" s="6"/>
      <c r="BE1729" s="6"/>
      <c r="BF1729" s="6"/>
      <c r="BG1729" s="6"/>
      <c r="BH1729" s="6"/>
      <c r="BI1729" s="6"/>
      <c r="BJ1729" s="6"/>
      <c r="BK1729" s="6"/>
      <c r="BL1729" s="6"/>
      <c r="BM1729" s="6"/>
      <c r="BN1729" s="6"/>
      <c r="BO1729" s="6"/>
      <c r="BP1729" s="6"/>
      <c r="BQ1729" s="6"/>
      <c r="BR1729" s="6"/>
      <c r="BS1729" s="6"/>
      <c r="BT1729" s="6"/>
      <c r="BU1729" s="6"/>
      <c r="BV1729" s="6"/>
      <c r="BW1729" s="6"/>
      <c r="BX1729" s="6"/>
      <c r="BY1729" s="6"/>
      <c r="BZ1729" s="6"/>
      <c r="CA1729" s="6"/>
      <c r="CB1729" s="6"/>
      <c r="CC1729" s="6"/>
    </row>
    <row r="1730" spans="2:81" x14ac:dyDescent="0.2">
      <c r="B1730" s="68"/>
      <c r="C1730" s="69"/>
      <c r="D1730" s="70"/>
      <c r="F1730" s="68"/>
      <c r="G1730" s="69"/>
      <c r="H1730" s="70"/>
      <c r="J1730" s="71"/>
      <c r="K1730" s="71"/>
      <c r="L1730" s="67"/>
      <c r="N1730" s="71"/>
      <c r="O1730" s="71"/>
      <c r="P1730" s="67"/>
      <c r="R1730" s="67"/>
      <c r="S1730" s="6"/>
      <c r="T1730" s="6"/>
      <c r="U1730" s="6"/>
      <c r="V1730" s="6"/>
      <c r="W1730" s="6"/>
      <c r="X1730" s="6"/>
      <c r="Y1730" s="6"/>
      <c r="Z1730" s="6"/>
      <c r="AA1730" s="6"/>
      <c r="AB1730" s="6"/>
      <c r="AC1730" s="6"/>
      <c r="AD1730" s="6"/>
      <c r="AE1730" s="6"/>
      <c r="AF1730" s="6"/>
      <c r="AG1730" s="6"/>
      <c r="AH1730" s="6"/>
      <c r="AI1730" s="6"/>
      <c r="AJ1730" s="6"/>
      <c r="AK1730" s="6"/>
      <c r="AL1730" s="6"/>
      <c r="AM1730" s="6"/>
      <c r="AN1730" s="6"/>
      <c r="AO1730" s="6"/>
      <c r="AP1730" s="6"/>
      <c r="AQ1730" s="6"/>
      <c r="AR1730" s="6"/>
      <c r="AS1730" s="6"/>
      <c r="AT1730" s="6"/>
      <c r="AU1730" s="6"/>
      <c r="AV1730" s="6"/>
      <c r="AW1730" s="6"/>
      <c r="AX1730" s="6"/>
      <c r="AY1730" s="6"/>
      <c r="AZ1730" s="6"/>
      <c r="BA1730" s="6"/>
      <c r="BB1730" s="6"/>
      <c r="BC1730" s="6"/>
      <c r="BD1730" s="6"/>
      <c r="BE1730" s="6"/>
      <c r="BF1730" s="6"/>
      <c r="BG1730" s="6"/>
      <c r="BH1730" s="6"/>
      <c r="BI1730" s="6"/>
      <c r="BJ1730" s="6"/>
      <c r="BK1730" s="6"/>
      <c r="BL1730" s="6"/>
      <c r="BM1730" s="6"/>
      <c r="BN1730" s="6"/>
      <c r="BO1730" s="6"/>
      <c r="BP1730" s="6"/>
      <c r="BQ1730" s="6"/>
      <c r="BR1730" s="6"/>
      <c r="BS1730" s="6"/>
      <c r="BT1730" s="6"/>
      <c r="BU1730" s="6"/>
      <c r="BV1730" s="6"/>
      <c r="BW1730" s="6"/>
      <c r="BX1730" s="6"/>
      <c r="BY1730" s="6"/>
      <c r="BZ1730" s="6"/>
      <c r="CA1730" s="6"/>
      <c r="CB1730" s="6"/>
      <c r="CC1730" s="6"/>
    </row>
    <row r="1731" spans="2:81" x14ac:dyDescent="0.2">
      <c r="B1731" s="68"/>
      <c r="C1731" s="69"/>
      <c r="D1731" s="70"/>
      <c r="F1731" s="68"/>
      <c r="G1731" s="69"/>
      <c r="H1731" s="70"/>
      <c r="J1731" s="71"/>
      <c r="K1731" s="71"/>
      <c r="L1731" s="67"/>
      <c r="N1731" s="71"/>
      <c r="O1731" s="71"/>
      <c r="P1731" s="67"/>
      <c r="R1731" s="67"/>
      <c r="S1731" s="6"/>
      <c r="T1731" s="6"/>
      <c r="U1731" s="6"/>
      <c r="V1731" s="6"/>
      <c r="W1731" s="6"/>
      <c r="X1731" s="6"/>
      <c r="Y1731" s="6"/>
      <c r="Z1731" s="6"/>
      <c r="AA1731" s="6"/>
      <c r="AB1731" s="6"/>
      <c r="AC1731" s="6"/>
      <c r="AD1731" s="6"/>
      <c r="AE1731" s="6"/>
      <c r="AF1731" s="6"/>
      <c r="AG1731" s="6"/>
      <c r="AH1731" s="6"/>
      <c r="AI1731" s="6"/>
      <c r="AJ1731" s="6"/>
      <c r="AK1731" s="6"/>
      <c r="AL1731" s="6"/>
      <c r="AM1731" s="6"/>
      <c r="AN1731" s="6"/>
      <c r="AO1731" s="6"/>
      <c r="AP1731" s="6"/>
      <c r="AQ1731" s="6"/>
      <c r="AR1731" s="6"/>
      <c r="AS1731" s="6"/>
      <c r="AT1731" s="6"/>
      <c r="AU1731" s="6"/>
      <c r="AV1731" s="6"/>
      <c r="AW1731" s="6"/>
      <c r="AX1731" s="6"/>
      <c r="AY1731" s="6"/>
      <c r="AZ1731" s="6"/>
      <c r="BA1731" s="6"/>
      <c r="BB1731" s="6"/>
      <c r="BC1731" s="6"/>
      <c r="BD1731" s="6"/>
      <c r="BE1731" s="6"/>
      <c r="BF1731" s="6"/>
      <c r="BG1731" s="6"/>
      <c r="BH1731" s="6"/>
      <c r="BI1731" s="6"/>
      <c r="BJ1731" s="6"/>
      <c r="BK1731" s="6"/>
      <c r="BL1731" s="6"/>
      <c r="BM1731" s="6"/>
      <c r="BN1731" s="6"/>
      <c r="BO1731" s="6"/>
      <c r="BP1731" s="6"/>
      <c r="BQ1731" s="6"/>
      <c r="BR1731" s="6"/>
      <c r="BS1731" s="6"/>
      <c r="BT1731" s="6"/>
      <c r="BU1731" s="6"/>
      <c r="BV1731" s="6"/>
      <c r="BW1731" s="6"/>
      <c r="BX1731" s="6"/>
      <c r="BY1731" s="6"/>
      <c r="BZ1731" s="6"/>
      <c r="CA1731" s="6"/>
      <c r="CB1731" s="6"/>
      <c r="CC1731" s="6"/>
    </row>
    <row r="1732" spans="2:81" x14ac:dyDescent="0.2">
      <c r="B1732" s="68"/>
      <c r="C1732" s="69"/>
      <c r="D1732" s="70"/>
      <c r="F1732" s="68"/>
      <c r="G1732" s="69"/>
      <c r="H1732" s="70"/>
      <c r="J1732" s="71"/>
      <c r="K1732" s="71"/>
      <c r="L1732" s="67"/>
      <c r="N1732" s="71"/>
      <c r="O1732" s="71"/>
      <c r="P1732" s="67"/>
      <c r="R1732" s="67"/>
      <c r="S1732" s="6"/>
      <c r="T1732" s="6"/>
      <c r="U1732" s="6"/>
      <c r="V1732" s="6"/>
      <c r="W1732" s="6"/>
      <c r="X1732" s="6"/>
      <c r="Y1732" s="6"/>
      <c r="Z1732" s="6"/>
      <c r="AA1732" s="6"/>
      <c r="AB1732" s="6"/>
      <c r="AC1732" s="6"/>
      <c r="AD1732" s="6"/>
      <c r="AE1732" s="6"/>
      <c r="AF1732" s="6"/>
      <c r="AG1732" s="6"/>
      <c r="AH1732" s="6"/>
      <c r="AI1732" s="6"/>
      <c r="AJ1732" s="6"/>
      <c r="AK1732" s="6"/>
      <c r="AL1732" s="6"/>
      <c r="AM1732" s="6"/>
      <c r="AN1732" s="6"/>
      <c r="AO1732" s="6"/>
      <c r="AP1732" s="6"/>
      <c r="AQ1732" s="6"/>
      <c r="AR1732" s="6"/>
      <c r="AS1732" s="6"/>
      <c r="AT1732" s="6"/>
      <c r="AU1732" s="6"/>
      <c r="AV1732" s="6"/>
      <c r="AW1732" s="6"/>
      <c r="AX1732" s="6"/>
      <c r="AY1732" s="6"/>
      <c r="AZ1732" s="6"/>
      <c r="BA1732" s="6"/>
      <c r="BB1732" s="6"/>
      <c r="BC1732" s="6"/>
      <c r="BD1732" s="6"/>
      <c r="BE1732" s="6"/>
      <c r="BF1732" s="6"/>
      <c r="BG1732" s="6"/>
      <c r="BH1732" s="6"/>
      <c r="BI1732" s="6"/>
      <c r="BJ1732" s="6"/>
      <c r="BK1732" s="6"/>
      <c r="BL1732" s="6"/>
      <c r="BM1732" s="6"/>
      <c r="BN1732" s="6"/>
      <c r="BO1732" s="6"/>
      <c r="BP1732" s="6"/>
      <c r="BQ1732" s="6"/>
      <c r="BR1732" s="6"/>
      <c r="BS1732" s="6"/>
      <c r="BT1732" s="6"/>
      <c r="BU1732" s="6"/>
      <c r="BV1732" s="6"/>
      <c r="BW1732" s="6"/>
      <c r="BX1732" s="6"/>
      <c r="BY1732" s="6"/>
      <c r="BZ1732" s="6"/>
      <c r="CA1732" s="6"/>
      <c r="CB1732" s="6"/>
      <c r="CC1732" s="6"/>
    </row>
    <row r="1733" spans="2:81" x14ac:dyDescent="0.2">
      <c r="B1733" s="68"/>
      <c r="C1733" s="69"/>
      <c r="D1733" s="70"/>
      <c r="F1733" s="68"/>
      <c r="G1733" s="69"/>
      <c r="H1733" s="70"/>
      <c r="J1733" s="71"/>
      <c r="K1733" s="71"/>
      <c r="L1733" s="67"/>
      <c r="N1733" s="71"/>
      <c r="O1733" s="71"/>
      <c r="P1733" s="67"/>
      <c r="R1733" s="67"/>
      <c r="S1733" s="6"/>
      <c r="T1733" s="6"/>
      <c r="U1733" s="6"/>
      <c r="V1733" s="6"/>
      <c r="W1733" s="6"/>
      <c r="X1733" s="6"/>
      <c r="Y1733" s="6"/>
      <c r="Z1733" s="6"/>
      <c r="AA1733" s="6"/>
      <c r="AB1733" s="6"/>
      <c r="AC1733" s="6"/>
      <c r="AD1733" s="6"/>
      <c r="AE1733" s="6"/>
      <c r="AF1733" s="6"/>
      <c r="AG1733" s="6"/>
      <c r="AH1733" s="6"/>
      <c r="AI1733" s="6"/>
      <c r="AJ1733" s="6"/>
      <c r="AK1733" s="6"/>
      <c r="AL1733" s="6"/>
      <c r="AM1733" s="6"/>
      <c r="AN1733" s="6"/>
      <c r="AO1733" s="6"/>
      <c r="AP1733" s="6"/>
      <c r="AQ1733" s="6"/>
      <c r="AR1733" s="6"/>
      <c r="AS1733" s="6"/>
      <c r="AT1733" s="6"/>
      <c r="AU1733" s="6"/>
      <c r="AV1733" s="6"/>
      <c r="AW1733" s="6"/>
      <c r="AX1733" s="6"/>
      <c r="AY1733" s="6"/>
      <c r="AZ1733" s="6"/>
      <c r="BA1733" s="6"/>
      <c r="BB1733" s="6"/>
      <c r="BC1733" s="6"/>
      <c r="BD1733" s="6"/>
      <c r="BE1733" s="6"/>
      <c r="BF1733" s="6"/>
      <c r="BG1733" s="6"/>
      <c r="BH1733" s="6"/>
      <c r="BI1733" s="6"/>
      <c r="BJ1733" s="6"/>
      <c r="BK1733" s="6"/>
      <c r="BL1733" s="6"/>
      <c r="BM1733" s="6"/>
      <c r="BN1733" s="6"/>
      <c r="BO1733" s="6"/>
      <c r="BP1733" s="6"/>
      <c r="BQ1733" s="6"/>
      <c r="BR1733" s="6"/>
      <c r="BS1733" s="6"/>
      <c r="BT1733" s="6"/>
      <c r="BU1733" s="6"/>
      <c r="BV1733" s="6"/>
      <c r="BW1733" s="6"/>
      <c r="BX1733" s="6"/>
      <c r="BY1733" s="6"/>
      <c r="BZ1733" s="6"/>
      <c r="CA1733" s="6"/>
      <c r="CB1733" s="6"/>
      <c r="CC1733" s="6"/>
    </row>
    <row r="1734" spans="2:81" x14ac:dyDescent="0.2">
      <c r="B1734" s="68"/>
      <c r="C1734" s="69"/>
      <c r="D1734" s="70"/>
      <c r="F1734" s="68"/>
      <c r="G1734" s="69"/>
      <c r="H1734" s="70"/>
      <c r="J1734" s="71"/>
      <c r="K1734" s="71"/>
      <c r="L1734" s="67"/>
      <c r="N1734" s="71"/>
      <c r="O1734" s="71"/>
      <c r="P1734" s="67"/>
      <c r="R1734" s="67"/>
      <c r="S1734" s="6"/>
      <c r="T1734" s="6"/>
      <c r="U1734" s="6"/>
      <c r="V1734" s="6"/>
      <c r="W1734" s="6"/>
      <c r="X1734" s="6"/>
      <c r="Y1734" s="6"/>
      <c r="Z1734" s="6"/>
      <c r="AA1734" s="6"/>
      <c r="AB1734" s="6"/>
      <c r="AC1734" s="6"/>
      <c r="AD1734" s="6"/>
      <c r="AE1734" s="6"/>
      <c r="AF1734" s="6"/>
      <c r="AG1734" s="6"/>
      <c r="AH1734" s="6"/>
      <c r="AI1734" s="6"/>
      <c r="AJ1734" s="6"/>
      <c r="AK1734" s="6"/>
      <c r="AL1734" s="6"/>
      <c r="AM1734" s="6"/>
      <c r="AN1734" s="6"/>
      <c r="AO1734" s="6"/>
      <c r="AP1734" s="6"/>
      <c r="AQ1734" s="6"/>
      <c r="AR1734" s="6"/>
      <c r="AS1734" s="6"/>
      <c r="AT1734" s="6"/>
      <c r="AU1734" s="6"/>
      <c r="AV1734" s="6"/>
      <c r="AW1734" s="6"/>
      <c r="AX1734" s="6"/>
      <c r="AY1734" s="6"/>
      <c r="AZ1734" s="6"/>
      <c r="BA1734" s="6"/>
      <c r="BB1734" s="6"/>
      <c r="BC1734" s="6"/>
      <c r="BD1734" s="6"/>
      <c r="BE1734" s="6"/>
      <c r="BF1734" s="6"/>
      <c r="BG1734" s="6"/>
      <c r="BH1734" s="6"/>
      <c r="BI1734" s="6"/>
      <c r="BJ1734" s="6"/>
      <c r="BK1734" s="6"/>
      <c r="BL1734" s="6"/>
      <c r="BM1734" s="6"/>
      <c r="BN1734" s="6"/>
      <c r="BO1734" s="6"/>
      <c r="BP1734" s="6"/>
      <c r="BQ1734" s="6"/>
      <c r="BR1734" s="6"/>
      <c r="BS1734" s="6"/>
      <c r="BT1734" s="6"/>
      <c r="BU1734" s="6"/>
      <c r="BV1734" s="6"/>
      <c r="BW1734" s="6"/>
      <c r="BX1734" s="6"/>
      <c r="BY1734" s="6"/>
      <c r="BZ1734" s="6"/>
      <c r="CA1734" s="6"/>
      <c r="CB1734" s="6"/>
      <c r="CC1734" s="6"/>
    </row>
    <row r="1735" spans="2:81" x14ac:dyDescent="0.2">
      <c r="B1735" s="68"/>
      <c r="C1735" s="69"/>
      <c r="D1735" s="70"/>
      <c r="F1735" s="68"/>
      <c r="G1735" s="69"/>
      <c r="H1735" s="70"/>
      <c r="J1735" s="71"/>
      <c r="K1735" s="71"/>
      <c r="L1735" s="67"/>
      <c r="N1735" s="71"/>
      <c r="O1735" s="71"/>
      <c r="P1735" s="67"/>
      <c r="R1735" s="67"/>
      <c r="S1735" s="6"/>
      <c r="T1735" s="6"/>
      <c r="U1735" s="6"/>
      <c r="V1735" s="6"/>
      <c r="W1735" s="6"/>
      <c r="X1735" s="6"/>
      <c r="Y1735" s="6"/>
      <c r="Z1735" s="6"/>
      <c r="AA1735" s="6"/>
      <c r="AB1735" s="6"/>
      <c r="AC1735" s="6"/>
      <c r="AD1735" s="6"/>
      <c r="AE1735" s="6"/>
      <c r="AF1735" s="6"/>
      <c r="AG1735" s="6"/>
      <c r="AH1735" s="6"/>
      <c r="AI1735" s="6"/>
      <c r="AJ1735" s="6"/>
      <c r="AK1735" s="6"/>
      <c r="AL1735" s="6"/>
      <c r="AM1735" s="6"/>
      <c r="AN1735" s="6"/>
      <c r="AO1735" s="6"/>
      <c r="AP1735" s="6"/>
      <c r="AQ1735" s="6"/>
      <c r="AR1735" s="6"/>
      <c r="AS1735" s="6"/>
      <c r="AT1735" s="6"/>
      <c r="AU1735" s="6"/>
      <c r="AV1735" s="6"/>
      <c r="AW1735" s="6"/>
      <c r="AX1735" s="6"/>
      <c r="AY1735" s="6"/>
      <c r="AZ1735" s="6"/>
      <c r="BA1735" s="6"/>
      <c r="BB1735" s="6"/>
      <c r="BC1735" s="6"/>
      <c r="BD1735" s="6"/>
      <c r="BE1735" s="6"/>
      <c r="BF1735" s="6"/>
      <c r="BG1735" s="6"/>
      <c r="BH1735" s="6"/>
      <c r="BI1735" s="6"/>
      <c r="BJ1735" s="6"/>
      <c r="BK1735" s="6"/>
      <c r="BL1735" s="6"/>
      <c r="BM1735" s="6"/>
      <c r="BN1735" s="6"/>
      <c r="BO1735" s="6"/>
      <c r="BP1735" s="6"/>
      <c r="BQ1735" s="6"/>
      <c r="BR1735" s="6"/>
      <c r="BS1735" s="6"/>
      <c r="BT1735" s="6"/>
      <c r="BU1735" s="6"/>
      <c r="BV1735" s="6"/>
      <c r="BW1735" s="6"/>
      <c r="BX1735" s="6"/>
      <c r="BY1735" s="6"/>
      <c r="BZ1735" s="6"/>
      <c r="CA1735" s="6"/>
      <c r="CB1735" s="6"/>
      <c r="CC1735" s="6"/>
    </row>
    <row r="1736" spans="2:81" x14ac:dyDescent="0.2">
      <c r="B1736" s="68"/>
      <c r="C1736" s="69"/>
      <c r="D1736" s="70"/>
      <c r="F1736" s="68"/>
      <c r="G1736" s="69"/>
      <c r="H1736" s="70"/>
      <c r="J1736" s="71"/>
      <c r="K1736" s="71"/>
      <c r="L1736" s="67"/>
      <c r="N1736" s="71"/>
      <c r="O1736" s="71"/>
      <c r="P1736" s="67"/>
      <c r="R1736" s="67"/>
      <c r="S1736" s="6"/>
      <c r="T1736" s="6"/>
      <c r="U1736" s="6"/>
      <c r="V1736" s="6"/>
      <c r="W1736" s="6"/>
      <c r="X1736" s="6"/>
      <c r="Y1736" s="6"/>
      <c r="Z1736" s="6"/>
      <c r="AA1736" s="6"/>
      <c r="AB1736" s="6"/>
      <c r="AC1736" s="6"/>
      <c r="AD1736" s="6"/>
      <c r="AE1736" s="6"/>
      <c r="AF1736" s="6"/>
      <c r="AG1736" s="6"/>
      <c r="AH1736" s="6"/>
      <c r="AI1736" s="6"/>
      <c r="AJ1736" s="6"/>
      <c r="AK1736" s="6"/>
      <c r="AL1736" s="6"/>
      <c r="AM1736" s="6"/>
      <c r="AN1736" s="6"/>
      <c r="AO1736" s="6"/>
      <c r="AP1736" s="6"/>
      <c r="AQ1736" s="6"/>
      <c r="AR1736" s="6"/>
      <c r="AS1736" s="6"/>
      <c r="AT1736" s="6"/>
      <c r="AU1736" s="6"/>
      <c r="AV1736" s="6"/>
      <c r="AW1736" s="6"/>
      <c r="AX1736" s="6"/>
      <c r="AY1736" s="6"/>
      <c r="AZ1736" s="6"/>
      <c r="BA1736" s="6"/>
      <c r="BB1736" s="6"/>
      <c r="BC1736" s="6"/>
      <c r="BD1736" s="6"/>
      <c r="BE1736" s="6"/>
      <c r="BF1736" s="6"/>
      <c r="BG1736" s="6"/>
      <c r="BH1736" s="6"/>
      <c r="BI1736" s="6"/>
      <c r="BJ1736" s="6"/>
      <c r="BK1736" s="6"/>
      <c r="BL1736" s="6"/>
      <c r="BM1736" s="6"/>
      <c r="BN1736" s="6"/>
      <c r="BO1736" s="6"/>
      <c r="BP1736" s="6"/>
      <c r="BQ1736" s="6"/>
      <c r="BR1736" s="6"/>
      <c r="BS1736" s="6"/>
      <c r="BT1736" s="6"/>
      <c r="BU1736" s="6"/>
      <c r="BV1736" s="6"/>
      <c r="BW1736" s="6"/>
      <c r="BX1736" s="6"/>
      <c r="BY1736" s="6"/>
      <c r="BZ1736" s="6"/>
      <c r="CA1736" s="6"/>
      <c r="CB1736" s="6"/>
      <c r="CC1736" s="6"/>
    </row>
    <row r="1737" spans="2:81" x14ac:dyDescent="0.2">
      <c r="B1737" s="68"/>
      <c r="C1737" s="69"/>
      <c r="D1737" s="70"/>
      <c r="F1737" s="68"/>
      <c r="G1737" s="69"/>
      <c r="H1737" s="70"/>
      <c r="J1737" s="71"/>
      <c r="K1737" s="71"/>
      <c r="L1737" s="67"/>
      <c r="N1737" s="71"/>
      <c r="O1737" s="71"/>
      <c r="P1737" s="67"/>
      <c r="R1737" s="67"/>
      <c r="S1737" s="6"/>
      <c r="T1737" s="6"/>
      <c r="U1737" s="6"/>
      <c r="V1737" s="6"/>
      <c r="W1737" s="6"/>
      <c r="X1737" s="6"/>
      <c r="Y1737" s="6"/>
      <c r="Z1737" s="6"/>
      <c r="AA1737" s="6"/>
      <c r="AB1737" s="6"/>
      <c r="AC1737" s="6"/>
      <c r="AD1737" s="6"/>
      <c r="AE1737" s="6"/>
      <c r="AF1737" s="6"/>
      <c r="AG1737" s="6"/>
      <c r="AH1737" s="6"/>
      <c r="AI1737" s="6"/>
      <c r="AJ1737" s="6"/>
      <c r="AK1737" s="6"/>
      <c r="AL1737" s="6"/>
      <c r="AM1737" s="6"/>
      <c r="AN1737" s="6"/>
      <c r="AO1737" s="6"/>
      <c r="AP1737" s="6"/>
      <c r="AQ1737" s="6"/>
      <c r="AR1737" s="6"/>
      <c r="AS1737" s="6"/>
      <c r="AT1737" s="6"/>
      <c r="AU1737" s="6"/>
      <c r="AV1737" s="6"/>
      <c r="AW1737" s="6"/>
      <c r="AX1737" s="6"/>
      <c r="AY1737" s="6"/>
      <c r="AZ1737" s="6"/>
      <c r="BA1737" s="6"/>
      <c r="BB1737" s="6"/>
      <c r="BC1737" s="6"/>
      <c r="BD1737" s="6"/>
      <c r="BE1737" s="6"/>
      <c r="BF1737" s="6"/>
      <c r="BG1737" s="6"/>
      <c r="BH1737" s="6"/>
      <c r="BI1737" s="6"/>
      <c r="BJ1737" s="6"/>
      <c r="BK1737" s="6"/>
      <c r="BL1737" s="6"/>
      <c r="BM1737" s="6"/>
      <c r="BN1737" s="6"/>
      <c r="BO1737" s="6"/>
      <c r="BP1737" s="6"/>
      <c r="BQ1737" s="6"/>
      <c r="BR1737" s="6"/>
      <c r="BS1737" s="6"/>
      <c r="BT1737" s="6"/>
      <c r="BU1737" s="6"/>
      <c r="BV1737" s="6"/>
      <c r="BW1737" s="6"/>
      <c r="BX1737" s="6"/>
      <c r="BY1737" s="6"/>
      <c r="BZ1737" s="6"/>
      <c r="CA1737" s="6"/>
      <c r="CB1737" s="6"/>
      <c r="CC1737" s="6"/>
    </row>
    <row r="1738" spans="2:81" x14ac:dyDescent="0.2">
      <c r="B1738" s="68"/>
      <c r="C1738" s="69"/>
      <c r="D1738" s="70"/>
      <c r="F1738" s="68"/>
      <c r="G1738" s="69"/>
      <c r="H1738" s="70"/>
      <c r="J1738" s="71"/>
      <c r="K1738" s="71"/>
      <c r="L1738" s="67"/>
      <c r="N1738" s="71"/>
      <c r="O1738" s="71"/>
      <c r="P1738" s="67"/>
      <c r="R1738" s="67"/>
      <c r="S1738" s="6"/>
      <c r="T1738" s="6"/>
      <c r="U1738" s="6"/>
      <c r="V1738" s="6"/>
      <c r="W1738" s="6"/>
      <c r="X1738" s="6"/>
      <c r="Y1738" s="6"/>
      <c r="Z1738" s="6"/>
      <c r="AA1738" s="6"/>
      <c r="AB1738" s="6"/>
      <c r="AC1738" s="6"/>
      <c r="AD1738" s="6"/>
      <c r="AE1738" s="6"/>
      <c r="AF1738" s="6"/>
      <c r="AG1738" s="6"/>
      <c r="AH1738" s="6"/>
      <c r="AI1738" s="6"/>
      <c r="AJ1738" s="6"/>
      <c r="AK1738" s="6"/>
      <c r="AL1738" s="6"/>
      <c r="AM1738" s="6"/>
      <c r="AN1738" s="6"/>
      <c r="AO1738" s="6"/>
      <c r="AP1738" s="6"/>
      <c r="AQ1738" s="6"/>
      <c r="AR1738" s="6"/>
      <c r="AS1738" s="6"/>
      <c r="AT1738" s="6"/>
      <c r="AU1738" s="6"/>
      <c r="AV1738" s="6"/>
      <c r="AW1738" s="6"/>
      <c r="AX1738" s="6"/>
      <c r="AY1738" s="6"/>
      <c r="AZ1738" s="6"/>
      <c r="BA1738" s="6"/>
      <c r="BB1738" s="6"/>
      <c r="BC1738" s="6"/>
      <c r="BD1738" s="6"/>
      <c r="BE1738" s="6"/>
      <c r="BF1738" s="6"/>
      <c r="BG1738" s="6"/>
      <c r="BH1738" s="6"/>
      <c r="BI1738" s="6"/>
      <c r="BJ1738" s="6"/>
      <c r="BK1738" s="6"/>
      <c r="BL1738" s="6"/>
      <c r="BM1738" s="6"/>
      <c r="BN1738" s="6"/>
      <c r="BO1738" s="6"/>
      <c r="BP1738" s="6"/>
      <c r="BQ1738" s="6"/>
      <c r="BR1738" s="6"/>
      <c r="BS1738" s="6"/>
      <c r="BT1738" s="6"/>
      <c r="BU1738" s="6"/>
      <c r="BV1738" s="6"/>
      <c r="BW1738" s="6"/>
      <c r="BX1738" s="6"/>
      <c r="BY1738" s="6"/>
      <c r="BZ1738" s="6"/>
      <c r="CA1738" s="6"/>
      <c r="CB1738" s="6"/>
      <c r="CC1738" s="6"/>
    </row>
    <row r="1739" spans="2:81" x14ac:dyDescent="0.2">
      <c r="B1739" s="68"/>
      <c r="C1739" s="69"/>
      <c r="D1739" s="70"/>
      <c r="F1739" s="68"/>
      <c r="G1739" s="69"/>
      <c r="H1739" s="70"/>
      <c r="J1739" s="71"/>
      <c r="K1739" s="71"/>
      <c r="L1739" s="67"/>
      <c r="N1739" s="71"/>
      <c r="O1739" s="71"/>
      <c r="P1739" s="67"/>
      <c r="R1739" s="67"/>
      <c r="S1739" s="6"/>
      <c r="T1739" s="6"/>
      <c r="U1739" s="6"/>
      <c r="V1739" s="6"/>
      <c r="W1739" s="6"/>
      <c r="X1739" s="6"/>
      <c r="Y1739" s="6"/>
      <c r="Z1739" s="6"/>
      <c r="AA1739" s="6"/>
      <c r="AB1739" s="6"/>
      <c r="AC1739" s="6"/>
      <c r="AD1739" s="6"/>
      <c r="AE1739" s="6"/>
      <c r="AF1739" s="6"/>
      <c r="AG1739" s="6"/>
      <c r="AH1739" s="6"/>
      <c r="AI1739" s="6"/>
      <c r="AJ1739" s="6"/>
      <c r="AK1739" s="6"/>
      <c r="AL1739" s="6"/>
      <c r="AM1739" s="6"/>
      <c r="AN1739" s="6"/>
      <c r="AO1739" s="6"/>
      <c r="AP1739" s="6"/>
      <c r="AQ1739" s="6"/>
      <c r="AR1739" s="6"/>
      <c r="AS1739" s="6"/>
      <c r="AT1739" s="6"/>
      <c r="AU1739" s="6"/>
      <c r="AV1739" s="6"/>
      <c r="AW1739" s="6"/>
      <c r="AX1739" s="6"/>
      <c r="AY1739" s="6"/>
      <c r="AZ1739" s="6"/>
      <c r="BA1739" s="6"/>
      <c r="BB1739" s="6"/>
      <c r="BC1739" s="6"/>
      <c r="BD1739" s="6"/>
      <c r="BE1739" s="6"/>
      <c r="BF1739" s="6"/>
      <c r="BG1739" s="6"/>
      <c r="BH1739" s="6"/>
      <c r="BI1739" s="6"/>
      <c r="BJ1739" s="6"/>
      <c r="BK1739" s="6"/>
      <c r="BL1739" s="6"/>
      <c r="BM1739" s="6"/>
      <c r="BN1739" s="6"/>
      <c r="BO1739" s="6"/>
      <c r="BP1739" s="6"/>
      <c r="BQ1739" s="6"/>
      <c r="BR1739" s="6"/>
      <c r="BS1739" s="6"/>
      <c r="BT1739" s="6"/>
      <c r="BU1739" s="6"/>
      <c r="BV1739" s="6"/>
      <c r="BW1739" s="6"/>
      <c r="BX1739" s="6"/>
      <c r="BY1739" s="6"/>
      <c r="BZ1739" s="6"/>
      <c r="CA1739" s="6"/>
      <c r="CB1739" s="6"/>
      <c r="CC1739" s="6"/>
    </row>
    <row r="1740" spans="2:81" x14ac:dyDescent="0.2">
      <c r="B1740" s="68"/>
      <c r="C1740" s="69"/>
      <c r="D1740" s="70"/>
      <c r="F1740" s="68"/>
      <c r="G1740" s="69"/>
      <c r="H1740" s="70"/>
      <c r="J1740" s="71"/>
      <c r="K1740" s="71"/>
      <c r="L1740" s="67"/>
      <c r="N1740" s="71"/>
      <c r="O1740" s="71"/>
      <c r="P1740" s="67"/>
      <c r="R1740" s="67"/>
      <c r="S1740" s="6"/>
      <c r="T1740" s="6"/>
      <c r="U1740" s="6"/>
      <c r="V1740" s="6"/>
      <c r="W1740" s="6"/>
      <c r="X1740" s="6"/>
      <c r="Y1740" s="6"/>
      <c r="Z1740" s="6"/>
      <c r="AA1740" s="6"/>
      <c r="AB1740" s="6"/>
      <c r="AC1740" s="6"/>
      <c r="AD1740" s="6"/>
      <c r="AE1740" s="6"/>
      <c r="AF1740" s="6"/>
      <c r="AG1740" s="6"/>
      <c r="AH1740" s="6"/>
      <c r="AI1740" s="6"/>
      <c r="AJ1740" s="6"/>
      <c r="AK1740" s="6"/>
      <c r="AL1740" s="6"/>
      <c r="AM1740" s="6"/>
      <c r="AN1740" s="6"/>
      <c r="AO1740" s="6"/>
      <c r="AP1740" s="6"/>
      <c r="AQ1740" s="6"/>
      <c r="AR1740" s="6"/>
      <c r="AS1740" s="6"/>
      <c r="AT1740" s="6"/>
      <c r="AU1740" s="6"/>
      <c r="AV1740" s="6"/>
      <c r="AW1740" s="6"/>
      <c r="AX1740" s="6"/>
      <c r="AY1740" s="6"/>
      <c r="AZ1740" s="6"/>
      <c r="BA1740" s="6"/>
      <c r="BB1740" s="6"/>
      <c r="BC1740" s="6"/>
      <c r="BD1740" s="6"/>
      <c r="BE1740" s="6"/>
      <c r="BF1740" s="6"/>
      <c r="BG1740" s="6"/>
      <c r="BH1740" s="6"/>
      <c r="BI1740" s="6"/>
      <c r="BJ1740" s="6"/>
      <c r="BK1740" s="6"/>
      <c r="BL1740" s="6"/>
      <c r="BM1740" s="6"/>
      <c r="BN1740" s="6"/>
      <c r="BO1740" s="6"/>
      <c r="BP1740" s="6"/>
      <c r="BQ1740" s="6"/>
      <c r="BR1740" s="6"/>
      <c r="BS1740" s="6"/>
      <c r="BT1740" s="6"/>
      <c r="BU1740" s="6"/>
      <c r="BV1740" s="6"/>
      <c r="BW1740" s="6"/>
      <c r="BX1740" s="6"/>
      <c r="BY1740" s="6"/>
      <c r="BZ1740" s="6"/>
      <c r="CA1740" s="6"/>
      <c r="CB1740" s="6"/>
      <c r="CC1740" s="6"/>
    </row>
    <row r="1741" spans="2:81" x14ac:dyDescent="0.2">
      <c r="B1741" s="68"/>
      <c r="C1741" s="69"/>
      <c r="D1741" s="70"/>
      <c r="F1741" s="68"/>
      <c r="G1741" s="69"/>
      <c r="H1741" s="70"/>
      <c r="J1741" s="71"/>
      <c r="K1741" s="71"/>
      <c r="L1741" s="67"/>
      <c r="N1741" s="71"/>
      <c r="O1741" s="71"/>
      <c r="P1741" s="67"/>
      <c r="R1741" s="67"/>
      <c r="S1741" s="6"/>
      <c r="T1741" s="6"/>
      <c r="U1741" s="6"/>
      <c r="V1741" s="6"/>
      <c r="W1741" s="6"/>
      <c r="X1741" s="6"/>
      <c r="Y1741" s="6"/>
      <c r="Z1741" s="6"/>
      <c r="AA1741" s="6"/>
      <c r="AB1741" s="6"/>
      <c r="AC1741" s="6"/>
      <c r="AD1741" s="6"/>
      <c r="AE1741" s="6"/>
      <c r="AF1741" s="6"/>
      <c r="AG1741" s="6"/>
      <c r="AH1741" s="6"/>
      <c r="AI1741" s="6"/>
      <c r="AJ1741" s="6"/>
      <c r="AK1741" s="6"/>
      <c r="AL1741" s="6"/>
      <c r="AM1741" s="6"/>
      <c r="AN1741" s="6"/>
      <c r="AO1741" s="6"/>
      <c r="AP1741" s="6"/>
      <c r="AQ1741" s="6"/>
      <c r="AR1741" s="6"/>
      <c r="AS1741" s="6"/>
      <c r="AT1741" s="6"/>
      <c r="AU1741" s="6"/>
      <c r="AV1741" s="6"/>
      <c r="AW1741" s="6"/>
      <c r="AX1741" s="6"/>
      <c r="AY1741" s="6"/>
      <c r="AZ1741" s="6"/>
      <c r="BA1741" s="6"/>
      <c r="BB1741" s="6"/>
      <c r="BC1741" s="6"/>
      <c r="BD1741" s="6"/>
      <c r="BE1741" s="6"/>
      <c r="BF1741" s="6"/>
      <c r="BG1741" s="6"/>
      <c r="BH1741" s="6"/>
      <c r="BI1741" s="6"/>
      <c r="BJ1741" s="6"/>
      <c r="BK1741" s="6"/>
      <c r="BL1741" s="6"/>
      <c r="BM1741" s="6"/>
      <c r="BN1741" s="6"/>
      <c r="BO1741" s="6"/>
      <c r="BP1741" s="6"/>
      <c r="BQ1741" s="6"/>
      <c r="BR1741" s="6"/>
      <c r="BS1741" s="6"/>
      <c r="BT1741" s="6"/>
      <c r="BU1741" s="6"/>
      <c r="BV1741" s="6"/>
      <c r="BW1741" s="6"/>
      <c r="BX1741" s="6"/>
      <c r="BY1741" s="6"/>
      <c r="BZ1741" s="6"/>
      <c r="CA1741" s="6"/>
      <c r="CB1741" s="6"/>
      <c r="CC1741" s="6"/>
    </row>
    <row r="1742" spans="2:81" x14ac:dyDescent="0.2">
      <c r="B1742" s="68"/>
      <c r="C1742" s="69"/>
      <c r="D1742" s="70"/>
      <c r="F1742" s="68"/>
      <c r="G1742" s="69"/>
      <c r="H1742" s="70"/>
      <c r="J1742" s="71"/>
      <c r="K1742" s="71"/>
      <c r="L1742" s="67"/>
      <c r="N1742" s="71"/>
      <c r="O1742" s="71"/>
      <c r="P1742" s="67"/>
      <c r="R1742" s="67"/>
      <c r="S1742" s="6"/>
      <c r="T1742" s="6"/>
      <c r="U1742" s="6"/>
      <c r="V1742" s="6"/>
      <c r="W1742" s="6"/>
      <c r="X1742" s="6"/>
      <c r="Y1742" s="6"/>
      <c r="Z1742" s="6"/>
      <c r="AA1742" s="6"/>
      <c r="AB1742" s="6"/>
      <c r="AC1742" s="6"/>
      <c r="AD1742" s="6"/>
      <c r="AE1742" s="6"/>
      <c r="AF1742" s="6"/>
      <c r="AG1742" s="6"/>
      <c r="AH1742" s="6"/>
      <c r="AI1742" s="6"/>
      <c r="AJ1742" s="6"/>
      <c r="AK1742" s="6"/>
      <c r="AL1742" s="6"/>
      <c r="AM1742" s="6"/>
      <c r="AN1742" s="6"/>
      <c r="AO1742" s="6"/>
      <c r="AP1742" s="6"/>
      <c r="AQ1742" s="6"/>
      <c r="AR1742" s="6"/>
      <c r="AS1742" s="6"/>
      <c r="AT1742" s="6"/>
      <c r="AU1742" s="6"/>
      <c r="AV1742" s="6"/>
      <c r="AW1742" s="6"/>
      <c r="AX1742" s="6"/>
      <c r="AY1742" s="6"/>
      <c r="AZ1742" s="6"/>
      <c r="BA1742" s="6"/>
      <c r="BB1742" s="6"/>
      <c r="BC1742" s="6"/>
      <c r="BD1742" s="6"/>
      <c r="BE1742" s="6"/>
      <c r="BF1742" s="6"/>
      <c r="BG1742" s="6"/>
      <c r="BH1742" s="6"/>
      <c r="BI1742" s="6"/>
      <c r="BJ1742" s="6"/>
      <c r="BK1742" s="6"/>
      <c r="BL1742" s="6"/>
      <c r="BM1742" s="6"/>
      <c r="BN1742" s="6"/>
      <c r="BO1742" s="6"/>
      <c r="BP1742" s="6"/>
      <c r="BQ1742" s="6"/>
      <c r="BR1742" s="6"/>
      <c r="BS1742" s="6"/>
      <c r="BT1742" s="6"/>
      <c r="BU1742" s="6"/>
      <c r="BV1742" s="6"/>
      <c r="BW1742" s="6"/>
      <c r="BX1742" s="6"/>
      <c r="BY1742" s="6"/>
      <c r="BZ1742" s="6"/>
      <c r="CA1742" s="6"/>
      <c r="CB1742" s="6"/>
      <c r="CC1742" s="6"/>
    </row>
    <row r="1743" spans="2:81" x14ac:dyDescent="0.2">
      <c r="B1743" s="68"/>
      <c r="C1743" s="69"/>
      <c r="D1743" s="70"/>
      <c r="F1743" s="68"/>
      <c r="G1743" s="69"/>
      <c r="H1743" s="70"/>
      <c r="J1743" s="71"/>
      <c r="K1743" s="71"/>
      <c r="L1743" s="67"/>
      <c r="N1743" s="71"/>
      <c r="O1743" s="71"/>
      <c r="P1743" s="67"/>
      <c r="R1743" s="67"/>
      <c r="S1743" s="6"/>
      <c r="T1743" s="6"/>
      <c r="U1743" s="6"/>
      <c r="V1743" s="6"/>
      <c r="W1743" s="6"/>
      <c r="X1743" s="6"/>
      <c r="Y1743" s="6"/>
      <c r="Z1743" s="6"/>
      <c r="AA1743" s="6"/>
      <c r="AB1743" s="6"/>
      <c r="AC1743" s="6"/>
      <c r="AD1743" s="6"/>
      <c r="AE1743" s="6"/>
      <c r="AF1743" s="6"/>
      <c r="AG1743" s="6"/>
      <c r="AH1743" s="6"/>
      <c r="AI1743" s="6"/>
      <c r="AJ1743" s="6"/>
      <c r="AK1743" s="6"/>
      <c r="AL1743" s="6"/>
      <c r="AM1743" s="6"/>
      <c r="AN1743" s="6"/>
      <c r="AO1743" s="6"/>
      <c r="AP1743" s="6"/>
      <c r="AQ1743" s="6"/>
      <c r="AR1743" s="6"/>
      <c r="AS1743" s="6"/>
      <c r="AT1743" s="6"/>
      <c r="AU1743" s="6"/>
      <c r="AV1743" s="6"/>
      <c r="AW1743" s="6"/>
      <c r="AX1743" s="6"/>
      <c r="AY1743" s="6"/>
      <c r="AZ1743" s="6"/>
      <c r="BA1743" s="6"/>
      <c r="BB1743" s="6"/>
      <c r="BC1743" s="6"/>
      <c r="BD1743" s="6"/>
      <c r="BE1743" s="6"/>
      <c r="BF1743" s="6"/>
      <c r="BG1743" s="6"/>
      <c r="BH1743" s="6"/>
      <c r="BI1743" s="6"/>
      <c r="BJ1743" s="6"/>
      <c r="BK1743" s="6"/>
      <c r="BL1743" s="6"/>
      <c r="BM1743" s="6"/>
      <c r="BN1743" s="6"/>
      <c r="BO1743" s="6"/>
      <c r="BP1743" s="6"/>
      <c r="BQ1743" s="6"/>
      <c r="BR1743" s="6"/>
      <c r="BS1743" s="6"/>
      <c r="BT1743" s="6"/>
      <c r="BU1743" s="6"/>
      <c r="BV1743" s="6"/>
      <c r="BW1743" s="6"/>
      <c r="BX1743" s="6"/>
      <c r="BY1743" s="6"/>
      <c r="BZ1743" s="6"/>
      <c r="CA1743" s="6"/>
      <c r="CB1743" s="6"/>
      <c r="CC1743" s="6"/>
    </row>
    <row r="1744" spans="2:81" x14ac:dyDescent="0.2">
      <c r="B1744" s="68"/>
      <c r="C1744" s="69"/>
      <c r="D1744" s="70"/>
      <c r="F1744" s="68"/>
      <c r="G1744" s="69"/>
      <c r="H1744" s="70"/>
      <c r="J1744" s="71"/>
      <c r="K1744" s="71"/>
      <c r="L1744" s="67"/>
      <c r="N1744" s="71"/>
      <c r="O1744" s="71"/>
      <c r="P1744" s="67"/>
      <c r="R1744" s="67"/>
      <c r="S1744" s="6"/>
      <c r="T1744" s="6"/>
      <c r="U1744" s="6"/>
      <c r="V1744" s="6"/>
      <c r="W1744" s="6"/>
      <c r="X1744" s="6"/>
      <c r="Y1744" s="6"/>
      <c r="Z1744" s="6"/>
      <c r="AA1744" s="6"/>
      <c r="AB1744" s="6"/>
      <c r="AC1744" s="6"/>
      <c r="AD1744" s="6"/>
      <c r="AE1744" s="6"/>
      <c r="AF1744" s="6"/>
      <c r="AG1744" s="6"/>
      <c r="AH1744" s="6"/>
      <c r="AI1744" s="6"/>
      <c r="AJ1744" s="6"/>
      <c r="AK1744" s="6"/>
      <c r="AL1744" s="6"/>
      <c r="AM1744" s="6"/>
      <c r="AN1744" s="6"/>
      <c r="AO1744" s="6"/>
      <c r="AP1744" s="6"/>
      <c r="AQ1744" s="6"/>
      <c r="AR1744" s="6"/>
      <c r="AS1744" s="6"/>
      <c r="AT1744" s="6"/>
      <c r="AU1744" s="6"/>
      <c r="AV1744" s="6"/>
      <c r="AW1744" s="6"/>
      <c r="AX1744" s="6"/>
      <c r="AY1744" s="6"/>
      <c r="AZ1744" s="6"/>
      <c r="BA1744" s="6"/>
      <c r="BB1744" s="6"/>
      <c r="BC1744" s="6"/>
      <c r="BD1744" s="6"/>
      <c r="BE1744" s="6"/>
      <c r="BF1744" s="6"/>
      <c r="BG1744" s="6"/>
      <c r="BH1744" s="6"/>
      <c r="BI1744" s="6"/>
      <c r="BJ1744" s="6"/>
      <c r="BK1744" s="6"/>
      <c r="BL1744" s="6"/>
      <c r="BM1744" s="6"/>
      <c r="BN1744" s="6"/>
      <c r="BO1744" s="6"/>
      <c r="BP1744" s="6"/>
      <c r="BQ1744" s="6"/>
      <c r="BR1744" s="6"/>
      <c r="BS1744" s="6"/>
      <c r="BT1744" s="6"/>
      <c r="BU1744" s="6"/>
      <c r="BV1744" s="6"/>
      <c r="BW1744" s="6"/>
      <c r="BX1744" s="6"/>
      <c r="BY1744" s="6"/>
      <c r="BZ1744" s="6"/>
      <c r="CA1744" s="6"/>
      <c r="CB1744" s="6"/>
      <c r="CC1744" s="6"/>
    </row>
    <row r="1745" spans="2:81" x14ac:dyDescent="0.2">
      <c r="B1745" s="68"/>
      <c r="C1745" s="69"/>
      <c r="D1745" s="70"/>
      <c r="F1745" s="68"/>
      <c r="G1745" s="69"/>
      <c r="H1745" s="70"/>
      <c r="J1745" s="71"/>
      <c r="K1745" s="71"/>
      <c r="L1745" s="67"/>
      <c r="N1745" s="71"/>
      <c r="O1745" s="71"/>
      <c r="P1745" s="67"/>
      <c r="R1745" s="67"/>
      <c r="S1745" s="6"/>
      <c r="T1745" s="6"/>
      <c r="U1745" s="6"/>
      <c r="V1745" s="6"/>
      <c r="W1745" s="6"/>
      <c r="X1745" s="6"/>
      <c r="Y1745" s="6"/>
      <c r="Z1745" s="6"/>
      <c r="AA1745" s="6"/>
      <c r="AB1745" s="6"/>
      <c r="AC1745" s="6"/>
      <c r="AD1745" s="6"/>
      <c r="AE1745" s="6"/>
      <c r="AF1745" s="6"/>
      <c r="AG1745" s="6"/>
      <c r="AH1745" s="6"/>
      <c r="AI1745" s="6"/>
      <c r="AJ1745" s="6"/>
      <c r="AK1745" s="6"/>
      <c r="AL1745" s="6"/>
      <c r="AM1745" s="6"/>
      <c r="AN1745" s="6"/>
      <c r="AO1745" s="6"/>
      <c r="AP1745" s="6"/>
      <c r="AQ1745" s="6"/>
      <c r="AR1745" s="6"/>
      <c r="AS1745" s="6"/>
      <c r="AT1745" s="6"/>
      <c r="AU1745" s="6"/>
      <c r="AV1745" s="6"/>
      <c r="AW1745" s="6"/>
      <c r="AX1745" s="6"/>
      <c r="AY1745" s="6"/>
      <c r="AZ1745" s="6"/>
      <c r="BA1745" s="6"/>
      <c r="BB1745" s="6"/>
      <c r="BC1745" s="6"/>
      <c r="BD1745" s="6"/>
      <c r="BE1745" s="6"/>
      <c r="BF1745" s="6"/>
      <c r="BG1745" s="6"/>
      <c r="BH1745" s="6"/>
      <c r="BI1745" s="6"/>
      <c r="BJ1745" s="6"/>
      <c r="BK1745" s="6"/>
      <c r="BL1745" s="6"/>
      <c r="BM1745" s="6"/>
      <c r="BN1745" s="6"/>
      <c r="BO1745" s="6"/>
      <c r="BP1745" s="6"/>
      <c r="BQ1745" s="6"/>
      <c r="BR1745" s="6"/>
      <c r="BS1745" s="6"/>
      <c r="BT1745" s="6"/>
      <c r="BU1745" s="6"/>
      <c r="BV1745" s="6"/>
      <c r="BW1745" s="6"/>
      <c r="BX1745" s="6"/>
      <c r="BY1745" s="6"/>
      <c r="BZ1745" s="6"/>
      <c r="CA1745" s="6"/>
      <c r="CB1745" s="6"/>
      <c r="CC1745" s="6"/>
    </row>
    <row r="1746" spans="2:81" x14ac:dyDescent="0.2">
      <c r="B1746" s="68"/>
      <c r="C1746" s="69"/>
      <c r="D1746" s="70"/>
      <c r="F1746" s="68"/>
      <c r="G1746" s="69"/>
      <c r="H1746" s="70"/>
      <c r="J1746" s="71"/>
      <c r="K1746" s="71"/>
      <c r="L1746" s="67"/>
      <c r="N1746" s="71"/>
      <c r="O1746" s="71"/>
      <c r="P1746" s="67"/>
      <c r="R1746" s="67"/>
      <c r="S1746" s="6"/>
      <c r="T1746" s="6"/>
      <c r="U1746" s="6"/>
      <c r="V1746" s="6"/>
      <c r="W1746" s="6"/>
      <c r="X1746" s="6"/>
      <c r="Y1746" s="6"/>
      <c r="Z1746" s="6"/>
      <c r="AA1746" s="6"/>
      <c r="AB1746" s="6"/>
      <c r="AC1746" s="6"/>
      <c r="AD1746" s="6"/>
      <c r="AE1746" s="6"/>
      <c r="AF1746" s="6"/>
      <c r="AG1746" s="6"/>
      <c r="AH1746" s="6"/>
      <c r="AI1746" s="6"/>
      <c r="AJ1746" s="6"/>
      <c r="AK1746" s="6"/>
      <c r="AL1746" s="6"/>
      <c r="AM1746" s="6"/>
      <c r="AN1746" s="6"/>
      <c r="AO1746" s="6"/>
      <c r="AP1746" s="6"/>
      <c r="AQ1746" s="6"/>
      <c r="AR1746" s="6"/>
      <c r="AS1746" s="6"/>
      <c r="AT1746" s="6"/>
      <c r="AU1746" s="6"/>
      <c r="AV1746" s="6"/>
      <c r="AW1746" s="6"/>
      <c r="AX1746" s="6"/>
      <c r="AY1746" s="6"/>
      <c r="AZ1746" s="6"/>
      <c r="BA1746" s="6"/>
      <c r="BB1746" s="6"/>
      <c r="BC1746" s="6"/>
      <c r="BD1746" s="6"/>
      <c r="BE1746" s="6"/>
      <c r="BF1746" s="6"/>
      <c r="BG1746" s="6"/>
      <c r="BH1746" s="6"/>
      <c r="BI1746" s="6"/>
      <c r="BJ1746" s="6"/>
      <c r="BK1746" s="6"/>
      <c r="BL1746" s="6"/>
      <c r="BM1746" s="6"/>
      <c r="BN1746" s="6"/>
      <c r="BO1746" s="6"/>
      <c r="BP1746" s="6"/>
      <c r="BQ1746" s="6"/>
      <c r="BR1746" s="6"/>
      <c r="BS1746" s="6"/>
      <c r="BT1746" s="6"/>
      <c r="BU1746" s="6"/>
      <c r="BV1746" s="6"/>
      <c r="BW1746" s="6"/>
      <c r="BX1746" s="6"/>
      <c r="BY1746" s="6"/>
      <c r="BZ1746" s="6"/>
      <c r="CA1746" s="6"/>
      <c r="CB1746" s="6"/>
      <c r="CC1746" s="6"/>
    </row>
    <row r="1747" spans="2:81" x14ac:dyDescent="0.2">
      <c r="B1747" s="68"/>
      <c r="C1747" s="69"/>
      <c r="D1747" s="70"/>
      <c r="F1747" s="68"/>
      <c r="G1747" s="69"/>
      <c r="H1747" s="70"/>
      <c r="J1747" s="71"/>
      <c r="K1747" s="71"/>
      <c r="L1747" s="67"/>
      <c r="N1747" s="71"/>
      <c r="O1747" s="71"/>
      <c r="P1747" s="67"/>
      <c r="R1747" s="67"/>
      <c r="S1747" s="6"/>
      <c r="T1747" s="6"/>
      <c r="U1747" s="6"/>
      <c r="V1747" s="6"/>
      <c r="W1747" s="6"/>
      <c r="X1747" s="6"/>
      <c r="Y1747" s="6"/>
      <c r="Z1747" s="6"/>
      <c r="AA1747" s="6"/>
      <c r="AB1747" s="6"/>
      <c r="AC1747" s="6"/>
      <c r="AD1747" s="6"/>
      <c r="AE1747" s="6"/>
      <c r="AF1747" s="6"/>
      <c r="AG1747" s="6"/>
      <c r="AH1747" s="6"/>
      <c r="AI1747" s="6"/>
      <c r="AJ1747" s="6"/>
      <c r="AK1747" s="6"/>
      <c r="AL1747" s="6"/>
      <c r="AM1747" s="6"/>
      <c r="AN1747" s="6"/>
      <c r="AO1747" s="6"/>
      <c r="AP1747" s="6"/>
      <c r="AQ1747" s="6"/>
      <c r="AR1747" s="6"/>
      <c r="AS1747" s="6"/>
      <c r="AT1747" s="6"/>
      <c r="AU1747" s="6"/>
      <c r="AV1747" s="6"/>
      <c r="AW1747" s="6"/>
      <c r="AX1747" s="6"/>
      <c r="AY1747" s="6"/>
      <c r="AZ1747" s="6"/>
      <c r="BA1747" s="6"/>
      <c r="BB1747" s="6"/>
      <c r="BC1747" s="6"/>
      <c r="BD1747" s="6"/>
      <c r="BE1747" s="6"/>
      <c r="BF1747" s="6"/>
      <c r="BG1747" s="6"/>
      <c r="BH1747" s="6"/>
      <c r="BI1747" s="6"/>
      <c r="BJ1747" s="6"/>
      <c r="BK1747" s="6"/>
      <c r="BL1747" s="6"/>
      <c r="BM1747" s="6"/>
      <c r="BN1747" s="6"/>
      <c r="BO1747" s="6"/>
      <c r="BP1747" s="6"/>
      <c r="BQ1747" s="6"/>
      <c r="BR1747" s="6"/>
      <c r="BS1747" s="6"/>
      <c r="BT1747" s="6"/>
      <c r="BU1747" s="6"/>
      <c r="BV1747" s="6"/>
      <c r="BW1747" s="6"/>
      <c r="BX1747" s="6"/>
      <c r="BY1747" s="6"/>
      <c r="BZ1747" s="6"/>
      <c r="CA1747" s="6"/>
      <c r="CB1747" s="6"/>
      <c r="CC1747" s="6"/>
    </row>
    <row r="1748" spans="2:81" x14ac:dyDescent="0.2">
      <c r="B1748" s="68"/>
      <c r="C1748" s="69"/>
      <c r="D1748" s="70"/>
      <c r="F1748" s="68"/>
      <c r="G1748" s="69"/>
      <c r="H1748" s="70"/>
      <c r="J1748" s="71"/>
      <c r="K1748" s="71"/>
      <c r="L1748" s="67"/>
      <c r="N1748" s="71"/>
      <c r="O1748" s="71"/>
      <c r="P1748" s="67"/>
      <c r="R1748" s="67"/>
      <c r="S1748" s="6"/>
      <c r="T1748" s="6"/>
      <c r="U1748" s="6"/>
      <c r="V1748" s="6"/>
      <c r="W1748" s="6"/>
      <c r="X1748" s="6"/>
      <c r="Y1748" s="6"/>
      <c r="Z1748" s="6"/>
      <c r="AA1748" s="6"/>
      <c r="AB1748" s="6"/>
      <c r="AC1748" s="6"/>
      <c r="AD1748" s="6"/>
      <c r="AE1748" s="6"/>
      <c r="AF1748" s="6"/>
      <c r="AG1748" s="6"/>
      <c r="AH1748" s="6"/>
      <c r="AI1748" s="6"/>
      <c r="AJ1748" s="6"/>
      <c r="AK1748" s="6"/>
      <c r="AL1748" s="6"/>
      <c r="AM1748" s="6"/>
      <c r="AN1748" s="6"/>
      <c r="AO1748" s="6"/>
      <c r="AP1748" s="6"/>
      <c r="AQ1748" s="6"/>
      <c r="AR1748" s="6"/>
      <c r="AS1748" s="6"/>
      <c r="AT1748" s="6"/>
      <c r="AU1748" s="6"/>
      <c r="AV1748" s="6"/>
      <c r="AW1748" s="6"/>
      <c r="AX1748" s="6"/>
      <c r="AY1748" s="6"/>
      <c r="AZ1748" s="6"/>
      <c r="BA1748" s="6"/>
      <c r="BB1748" s="6"/>
      <c r="BC1748" s="6"/>
      <c r="BD1748" s="6"/>
      <c r="BE1748" s="6"/>
      <c r="BF1748" s="6"/>
      <c r="BG1748" s="6"/>
      <c r="BH1748" s="6"/>
      <c r="BI1748" s="6"/>
      <c r="BJ1748" s="6"/>
      <c r="BK1748" s="6"/>
      <c r="BL1748" s="6"/>
      <c r="BM1748" s="6"/>
      <c r="BN1748" s="6"/>
      <c r="BO1748" s="6"/>
      <c r="BP1748" s="6"/>
      <c r="BQ1748" s="6"/>
      <c r="BR1748" s="6"/>
      <c r="BS1748" s="6"/>
      <c r="BT1748" s="6"/>
      <c r="BU1748" s="6"/>
      <c r="BV1748" s="6"/>
      <c r="BW1748" s="6"/>
      <c r="BX1748" s="6"/>
      <c r="BY1748" s="6"/>
      <c r="BZ1748" s="6"/>
      <c r="CA1748" s="6"/>
      <c r="CB1748" s="6"/>
      <c r="CC1748" s="6"/>
    </row>
    <row r="1749" spans="2:81" x14ac:dyDescent="0.2">
      <c r="B1749" s="68"/>
      <c r="C1749" s="69"/>
      <c r="D1749" s="70"/>
      <c r="F1749" s="68"/>
      <c r="G1749" s="69"/>
      <c r="H1749" s="70"/>
      <c r="J1749" s="71"/>
      <c r="K1749" s="71"/>
      <c r="L1749" s="67"/>
      <c r="N1749" s="71"/>
      <c r="O1749" s="71"/>
      <c r="P1749" s="67"/>
      <c r="R1749" s="67"/>
      <c r="S1749" s="6"/>
      <c r="T1749" s="6"/>
      <c r="U1749" s="6"/>
      <c r="V1749" s="6"/>
      <c r="W1749" s="6"/>
      <c r="X1749" s="6"/>
      <c r="Y1749" s="6"/>
      <c r="Z1749" s="6"/>
      <c r="AA1749" s="6"/>
      <c r="AB1749" s="6"/>
      <c r="AC1749" s="6"/>
      <c r="AD1749" s="6"/>
      <c r="AE1749" s="6"/>
      <c r="AF1749" s="6"/>
      <c r="AG1749" s="6"/>
      <c r="AH1749" s="6"/>
      <c r="AI1749" s="6"/>
      <c r="AJ1749" s="6"/>
      <c r="AK1749" s="6"/>
      <c r="AL1749" s="6"/>
      <c r="AM1749" s="6"/>
      <c r="AN1749" s="6"/>
      <c r="AO1749" s="6"/>
      <c r="AP1749" s="6"/>
      <c r="AQ1749" s="6"/>
      <c r="AR1749" s="6"/>
      <c r="AS1749" s="6"/>
      <c r="AT1749" s="6"/>
      <c r="AU1749" s="6"/>
      <c r="AV1749" s="6"/>
      <c r="AW1749" s="6"/>
      <c r="AX1749" s="6"/>
      <c r="AY1749" s="6"/>
      <c r="AZ1749" s="6"/>
      <c r="BA1749" s="6"/>
      <c r="BB1749" s="6"/>
      <c r="BC1749" s="6"/>
      <c r="BD1749" s="6"/>
      <c r="BE1749" s="6"/>
      <c r="BF1749" s="6"/>
      <c r="BG1749" s="6"/>
      <c r="BH1749" s="6"/>
      <c r="BI1749" s="6"/>
      <c r="BJ1749" s="6"/>
      <c r="BK1749" s="6"/>
      <c r="BL1749" s="6"/>
      <c r="BM1749" s="6"/>
      <c r="BN1749" s="6"/>
      <c r="BO1749" s="6"/>
      <c r="BP1749" s="6"/>
      <c r="BQ1749" s="6"/>
      <c r="BR1749" s="6"/>
      <c r="BS1749" s="6"/>
      <c r="BT1749" s="6"/>
      <c r="BU1749" s="6"/>
      <c r="BV1749" s="6"/>
      <c r="BW1749" s="6"/>
      <c r="BX1749" s="6"/>
      <c r="BY1749" s="6"/>
      <c r="BZ1749" s="6"/>
      <c r="CA1749" s="6"/>
      <c r="CB1749" s="6"/>
      <c r="CC1749" s="6"/>
    </row>
    <row r="1750" spans="2:81" x14ac:dyDescent="0.2">
      <c r="B1750" s="68"/>
      <c r="C1750" s="69"/>
      <c r="D1750" s="70"/>
      <c r="F1750" s="68"/>
      <c r="G1750" s="69"/>
      <c r="H1750" s="70"/>
      <c r="J1750" s="71"/>
      <c r="K1750" s="71"/>
      <c r="L1750" s="67"/>
      <c r="N1750" s="71"/>
      <c r="O1750" s="71"/>
      <c r="P1750" s="67"/>
      <c r="R1750" s="67"/>
      <c r="S1750" s="6"/>
      <c r="T1750" s="6"/>
      <c r="U1750" s="6"/>
      <c r="V1750" s="6"/>
      <c r="W1750" s="6"/>
      <c r="X1750" s="6"/>
      <c r="Y1750" s="6"/>
      <c r="Z1750" s="6"/>
      <c r="AA1750" s="6"/>
      <c r="AB1750" s="6"/>
      <c r="AC1750" s="6"/>
      <c r="AD1750" s="6"/>
      <c r="AE1750" s="6"/>
      <c r="AF1750" s="6"/>
      <c r="AG1750" s="6"/>
      <c r="AH1750" s="6"/>
      <c r="AI1750" s="6"/>
      <c r="AJ1750" s="6"/>
      <c r="AK1750" s="6"/>
      <c r="AL1750" s="6"/>
      <c r="AM1750" s="6"/>
      <c r="AN1750" s="6"/>
      <c r="AO1750" s="6"/>
      <c r="AP1750" s="6"/>
      <c r="AQ1750" s="6"/>
      <c r="AR1750" s="6"/>
      <c r="AS1750" s="6"/>
      <c r="AT1750" s="6"/>
      <c r="AU1750" s="6"/>
      <c r="AV1750" s="6"/>
      <c r="AW1750" s="6"/>
      <c r="AX1750" s="6"/>
      <c r="AY1750" s="6"/>
      <c r="AZ1750" s="6"/>
      <c r="BA1750" s="6"/>
      <c r="BB1750" s="6"/>
      <c r="BC1750" s="6"/>
      <c r="BD1750" s="6"/>
      <c r="BE1750" s="6"/>
      <c r="BF1750" s="6"/>
      <c r="BG1750" s="6"/>
      <c r="BH1750" s="6"/>
      <c r="BI1750" s="6"/>
      <c r="BJ1750" s="6"/>
      <c r="BK1750" s="6"/>
      <c r="BL1750" s="6"/>
      <c r="BM1750" s="6"/>
      <c r="BN1750" s="6"/>
      <c r="BO1750" s="6"/>
      <c r="BP1750" s="6"/>
      <c r="BQ1750" s="6"/>
      <c r="BR1750" s="6"/>
      <c r="BS1750" s="6"/>
      <c r="BT1750" s="6"/>
      <c r="BU1750" s="6"/>
      <c r="BV1750" s="6"/>
      <c r="BW1750" s="6"/>
      <c r="BX1750" s="6"/>
      <c r="BY1750" s="6"/>
      <c r="BZ1750" s="6"/>
      <c r="CA1750" s="6"/>
      <c r="CB1750" s="6"/>
      <c r="CC1750" s="6"/>
    </row>
    <row r="1751" spans="2:81" x14ac:dyDescent="0.2">
      <c r="B1751" s="68"/>
      <c r="C1751" s="69"/>
      <c r="D1751" s="70"/>
      <c r="F1751" s="68"/>
      <c r="G1751" s="69"/>
      <c r="H1751" s="70"/>
      <c r="J1751" s="71"/>
      <c r="K1751" s="71"/>
      <c r="L1751" s="67"/>
      <c r="N1751" s="71"/>
      <c r="O1751" s="71"/>
      <c r="P1751" s="67"/>
      <c r="R1751" s="67"/>
      <c r="S1751" s="6"/>
      <c r="T1751" s="6"/>
      <c r="U1751" s="6"/>
      <c r="V1751" s="6"/>
      <c r="W1751" s="6"/>
      <c r="X1751" s="6"/>
      <c r="Y1751" s="6"/>
      <c r="Z1751" s="6"/>
      <c r="AA1751" s="6"/>
      <c r="AB1751" s="6"/>
      <c r="AC1751" s="6"/>
      <c r="AD1751" s="6"/>
      <c r="AE1751" s="6"/>
      <c r="AF1751" s="6"/>
      <c r="AG1751" s="6"/>
      <c r="AH1751" s="6"/>
      <c r="AI1751" s="6"/>
      <c r="AJ1751" s="6"/>
      <c r="AK1751" s="6"/>
      <c r="AL1751" s="6"/>
      <c r="AM1751" s="6"/>
      <c r="AN1751" s="6"/>
      <c r="AO1751" s="6"/>
      <c r="AP1751" s="6"/>
      <c r="AQ1751" s="6"/>
      <c r="AR1751" s="6"/>
      <c r="AS1751" s="6"/>
      <c r="AT1751" s="6"/>
      <c r="AU1751" s="6"/>
      <c r="AV1751" s="6"/>
      <c r="AW1751" s="6"/>
      <c r="AX1751" s="6"/>
      <c r="AY1751" s="6"/>
      <c r="AZ1751" s="6"/>
      <c r="BA1751" s="6"/>
      <c r="BB1751" s="6"/>
      <c r="BC1751" s="6"/>
      <c r="BD1751" s="6"/>
      <c r="BE1751" s="6"/>
      <c r="BF1751" s="6"/>
      <c r="BG1751" s="6"/>
      <c r="BH1751" s="6"/>
      <c r="BI1751" s="6"/>
      <c r="BJ1751" s="6"/>
      <c r="BK1751" s="6"/>
      <c r="BL1751" s="6"/>
      <c r="BM1751" s="6"/>
      <c r="BN1751" s="6"/>
      <c r="BO1751" s="6"/>
      <c r="BP1751" s="6"/>
      <c r="BQ1751" s="6"/>
      <c r="BR1751" s="6"/>
      <c r="BS1751" s="6"/>
      <c r="BT1751" s="6"/>
      <c r="BU1751" s="6"/>
      <c r="BV1751" s="6"/>
      <c r="BW1751" s="6"/>
      <c r="BX1751" s="6"/>
      <c r="BY1751" s="6"/>
      <c r="BZ1751" s="6"/>
      <c r="CA1751" s="6"/>
      <c r="CB1751" s="6"/>
      <c r="CC1751" s="6"/>
    </row>
    <row r="1752" spans="2:81" x14ac:dyDescent="0.2">
      <c r="B1752" s="68"/>
      <c r="C1752" s="69"/>
      <c r="D1752" s="70"/>
      <c r="F1752" s="68"/>
      <c r="G1752" s="69"/>
      <c r="H1752" s="70"/>
      <c r="J1752" s="71"/>
      <c r="K1752" s="71"/>
      <c r="L1752" s="67"/>
      <c r="N1752" s="71"/>
      <c r="O1752" s="71"/>
      <c r="P1752" s="67"/>
      <c r="R1752" s="67"/>
      <c r="S1752" s="6"/>
      <c r="T1752" s="6"/>
      <c r="U1752" s="6"/>
      <c r="V1752" s="6"/>
      <c r="W1752" s="6"/>
      <c r="X1752" s="6"/>
      <c r="Y1752" s="6"/>
      <c r="Z1752" s="6"/>
      <c r="AA1752" s="6"/>
      <c r="AB1752" s="6"/>
      <c r="AC1752" s="6"/>
      <c r="AD1752" s="6"/>
      <c r="AE1752" s="6"/>
      <c r="AF1752" s="6"/>
      <c r="AG1752" s="6"/>
      <c r="AH1752" s="6"/>
      <c r="AI1752" s="6"/>
      <c r="AJ1752" s="6"/>
      <c r="AK1752" s="6"/>
      <c r="AL1752" s="6"/>
      <c r="AM1752" s="6"/>
      <c r="AN1752" s="6"/>
      <c r="AO1752" s="6"/>
      <c r="AP1752" s="6"/>
      <c r="AQ1752" s="6"/>
      <c r="AR1752" s="6"/>
      <c r="AS1752" s="6"/>
      <c r="AT1752" s="6"/>
      <c r="AU1752" s="6"/>
      <c r="AV1752" s="6"/>
      <c r="AW1752" s="6"/>
      <c r="AX1752" s="6"/>
      <c r="AY1752" s="6"/>
      <c r="AZ1752" s="6"/>
      <c r="BA1752" s="6"/>
      <c r="BB1752" s="6"/>
      <c r="BC1752" s="6"/>
      <c r="BD1752" s="6"/>
      <c r="BE1752" s="6"/>
      <c r="BF1752" s="6"/>
      <c r="BG1752" s="6"/>
      <c r="BH1752" s="6"/>
      <c r="BI1752" s="6"/>
      <c r="BJ1752" s="6"/>
      <c r="BK1752" s="6"/>
      <c r="BL1752" s="6"/>
      <c r="BM1752" s="6"/>
      <c r="BN1752" s="6"/>
      <c r="BO1752" s="6"/>
      <c r="BP1752" s="6"/>
      <c r="BQ1752" s="6"/>
      <c r="BR1752" s="6"/>
      <c r="BS1752" s="6"/>
      <c r="BT1752" s="6"/>
      <c r="BU1752" s="6"/>
      <c r="BV1752" s="6"/>
      <c r="BW1752" s="6"/>
      <c r="BX1752" s="6"/>
      <c r="BY1752" s="6"/>
      <c r="BZ1752" s="6"/>
      <c r="CA1752" s="6"/>
      <c r="CB1752" s="6"/>
      <c r="CC1752" s="6"/>
    </row>
    <row r="1753" spans="2:81" x14ac:dyDescent="0.2">
      <c r="B1753" s="68"/>
      <c r="C1753" s="69"/>
      <c r="D1753" s="70"/>
      <c r="F1753" s="68"/>
      <c r="G1753" s="69"/>
      <c r="H1753" s="70"/>
      <c r="J1753" s="71"/>
      <c r="K1753" s="71"/>
      <c r="L1753" s="67"/>
      <c r="N1753" s="71"/>
      <c r="O1753" s="71"/>
      <c r="P1753" s="67"/>
      <c r="R1753" s="67"/>
      <c r="S1753" s="6"/>
      <c r="T1753" s="6"/>
      <c r="U1753" s="6"/>
      <c r="V1753" s="6"/>
      <c r="W1753" s="6"/>
      <c r="X1753" s="6"/>
      <c r="Y1753" s="6"/>
      <c r="Z1753" s="6"/>
      <c r="AA1753" s="6"/>
      <c r="AB1753" s="6"/>
      <c r="AC1753" s="6"/>
      <c r="AD1753" s="6"/>
      <c r="AE1753" s="6"/>
      <c r="AF1753" s="6"/>
      <c r="AG1753" s="6"/>
      <c r="AH1753" s="6"/>
      <c r="AI1753" s="6"/>
      <c r="AJ1753" s="6"/>
      <c r="AK1753" s="6"/>
      <c r="AL1753" s="6"/>
      <c r="AM1753" s="6"/>
      <c r="AN1753" s="6"/>
      <c r="AO1753" s="6"/>
      <c r="AP1753" s="6"/>
      <c r="AQ1753" s="6"/>
      <c r="AR1753" s="6"/>
      <c r="AS1753" s="6"/>
      <c r="AT1753" s="6"/>
      <c r="AU1753" s="6"/>
      <c r="AV1753" s="6"/>
      <c r="AW1753" s="6"/>
      <c r="AX1753" s="6"/>
      <c r="AY1753" s="6"/>
      <c r="AZ1753" s="6"/>
      <c r="BA1753" s="6"/>
      <c r="BB1753" s="6"/>
      <c r="BC1753" s="6"/>
      <c r="BD1753" s="6"/>
      <c r="BE1753" s="6"/>
      <c r="BF1753" s="6"/>
      <c r="BG1753" s="6"/>
      <c r="BH1753" s="6"/>
      <c r="BI1753" s="6"/>
      <c r="BJ1753" s="6"/>
      <c r="BK1753" s="6"/>
      <c r="BL1753" s="6"/>
      <c r="BM1753" s="6"/>
      <c r="BN1753" s="6"/>
      <c r="BO1753" s="6"/>
      <c r="BP1753" s="6"/>
      <c r="BQ1753" s="6"/>
      <c r="BR1753" s="6"/>
      <c r="BS1753" s="6"/>
      <c r="BT1753" s="6"/>
      <c r="BU1753" s="6"/>
      <c r="BV1753" s="6"/>
      <c r="BW1753" s="6"/>
      <c r="BX1753" s="6"/>
      <c r="BY1753" s="6"/>
      <c r="BZ1753" s="6"/>
      <c r="CA1753" s="6"/>
      <c r="CB1753" s="6"/>
      <c r="CC1753" s="6"/>
    </row>
    <row r="1754" spans="2:81" x14ac:dyDescent="0.2">
      <c r="B1754" s="68"/>
      <c r="C1754" s="69"/>
      <c r="D1754" s="70"/>
      <c r="F1754" s="68"/>
      <c r="G1754" s="69"/>
      <c r="H1754" s="70"/>
      <c r="J1754" s="71"/>
      <c r="K1754" s="71"/>
      <c r="L1754" s="67"/>
      <c r="N1754" s="71"/>
      <c r="O1754" s="71"/>
      <c r="P1754" s="67"/>
      <c r="R1754" s="67"/>
      <c r="S1754" s="6"/>
      <c r="T1754" s="6"/>
      <c r="U1754" s="6"/>
      <c r="V1754" s="6"/>
      <c r="W1754" s="6"/>
      <c r="X1754" s="6"/>
      <c r="Y1754" s="6"/>
      <c r="Z1754" s="6"/>
      <c r="AA1754" s="6"/>
      <c r="AB1754" s="6"/>
      <c r="AC1754" s="6"/>
      <c r="AD1754" s="6"/>
      <c r="AE1754" s="6"/>
      <c r="AF1754" s="6"/>
      <c r="AG1754" s="6"/>
      <c r="AH1754" s="6"/>
      <c r="AI1754" s="6"/>
      <c r="AJ1754" s="6"/>
      <c r="AK1754" s="6"/>
      <c r="AL1754" s="6"/>
      <c r="AM1754" s="6"/>
      <c r="AN1754" s="6"/>
      <c r="AO1754" s="6"/>
      <c r="AP1754" s="6"/>
      <c r="AQ1754" s="6"/>
      <c r="AR1754" s="6"/>
      <c r="AS1754" s="6"/>
      <c r="AT1754" s="6"/>
      <c r="AU1754" s="6"/>
      <c r="AV1754" s="6"/>
      <c r="AW1754" s="6"/>
      <c r="AX1754" s="6"/>
      <c r="AY1754" s="6"/>
      <c r="AZ1754" s="6"/>
      <c r="BA1754" s="6"/>
      <c r="BB1754" s="6"/>
      <c r="BC1754" s="6"/>
      <c r="BD1754" s="6"/>
      <c r="BE1754" s="6"/>
      <c r="BF1754" s="6"/>
      <c r="BG1754" s="6"/>
      <c r="BH1754" s="6"/>
      <c r="BI1754" s="6"/>
      <c r="BJ1754" s="6"/>
      <c r="BK1754" s="6"/>
      <c r="BL1754" s="6"/>
      <c r="BM1754" s="6"/>
      <c r="BN1754" s="6"/>
      <c r="BO1754" s="6"/>
      <c r="BP1754" s="6"/>
      <c r="BQ1754" s="6"/>
      <c r="BR1754" s="6"/>
      <c r="BS1754" s="6"/>
      <c r="BT1754" s="6"/>
      <c r="BU1754" s="6"/>
      <c r="BV1754" s="6"/>
      <c r="BW1754" s="6"/>
      <c r="BX1754" s="6"/>
      <c r="BY1754" s="6"/>
      <c r="BZ1754" s="6"/>
      <c r="CA1754" s="6"/>
      <c r="CB1754" s="6"/>
      <c r="CC1754" s="6"/>
    </row>
    <row r="1755" spans="2:81" x14ac:dyDescent="0.2">
      <c r="B1755" s="68"/>
      <c r="C1755" s="69"/>
      <c r="D1755" s="70"/>
      <c r="F1755" s="68"/>
      <c r="G1755" s="69"/>
      <c r="H1755" s="70"/>
      <c r="J1755" s="71"/>
      <c r="K1755" s="71"/>
      <c r="L1755" s="67"/>
      <c r="N1755" s="71"/>
      <c r="O1755" s="71"/>
      <c r="P1755" s="67"/>
      <c r="R1755" s="67"/>
      <c r="S1755" s="6"/>
      <c r="T1755" s="6"/>
      <c r="U1755" s="6"/>
      <c r="V1755" s="6"/>
      <c r="W1755" s="6"/>
      <c r="X1755" s="6"/>
      <c r="Y1755" s="6"/>
      <c r="Z1755" s="6"/>
      <c r="AA1755" s="6"/>
      <c r="AB1755" s="6"/>
      <c r="AC1755" s="6"/>
      <c r="AD1755" s="6"/>
      <c r="AE1755" s="6"/>
      <c r="AF1755" s="6"/>
      <c r="AG1755" s="6"/>
      <c r="AH1755" s="6"/>
      <c r="AI1755" s="6"/>
      <c r="AJ1755" s="6"/>
      <c r="AK1755" s="6"/>
      <c r="AL1755" s="6"/>
      <c r="AM1755" s="6"/>
      <c r="AN1755" s="6"/>
      <c r="AO1755" s="6"/>
      <c r="AP1755" s="6"/>
      <c r="AQ1755" s="6"/>
      <c r="AR1755" s="6"/>
      <c r="AS1755" s="6"/>
      <c r="AT1755" s="6"/>
      <c r="AU1755" s="6"/>
      <c r="AV1755" s="6"/>
      <c r="AW1755" s="6"/>
      <c r="AX1755" s="6"/>
      <c r="AY1755" s="6"/>
      <c r="AZ1755" s="6"/>
      <c r="BA1755" s="6"/>
      <c r="BB1755" s="6"/>
      <c r="BC1755" s="6"/>
      <c r="BD1755" s="6"/>
      <c r="BE1755" s="6"/>
      <c r="BF1755" s="6"/>
      <c r="BG1755" s="6"/>
      <c r="BH1755" s="6"/>
      <c r="BI1755" s="6"/>
      <c r="BJ1755" s="6"/>
      <c r="BK1755" s="6"/>
      <c r="BL1755" s="6"/>
      <c r="BM1755" s="6"/>
      <c r="BN1755" s="6"/>
      <c r="BO1755" s="6"/>
      <c r="BP1755" s="6"/>
      <c r="BQ1755" s="6"/>
      <c r="BR1755" s="6"/>
      <c r="BS1755" s="6"/>
      <c r="BT1755" s="6"/>
      <c r="BU1755" s="6"/>
      <c r="BV1755" s="6"/>
      <c r="BW1755" s="6"/>
      <c r="BX1755" s="6"/>
      <c r="BY1755" s="6"/>
      <c r="BZ1755" s="6"/>
      <c r="CA1755" s="6"/>
      <c r="CB1755" s="6"/>
      <c r="CC1755" s="6"/>
    </row>
    <row r="1756" spans="2:81" x14ac:dyDescent="0.2">
      <c r="B1756" s="68"/>
      <c r="C1756" s="69"/>
      <c r="D1756" s="70"/>
      <c r="F1756" s="68"/>
      <c r="G1756" s="69"/>
      <c r="H1756" s="70"/>
      <c r="J1756" s="71"/>
      <c r="K1756" s="71"/>
      <c r="L1756" s="67"/>
      <c r="N1756" s="71"/>
      <c r="O1756" s="71"/>
      <c r="P1756" s="67"/>
      <c r="R1756" s="67"/>
      <c r="S1756" s="6"/>
      <c r="T1756" s="6"/>
      <c r="U1756" s="6"/>
      <c r="V1756" s="6"/>
      <c r="W1756" s="6"/>
      <c r="X1756" s="6"/>
      <c r="Y1756" s="6"/>
      <c r="Z1756" s="6"/>
      <c r="AA1756" s="6"/>
      <c r="AB1756" s="6"/>
      <c r="AC1756" s="6"/>
      <c r="AD1756" s="6"/>
      <c r="AE1756" s="6"/>
      <c r="AF1756" s="6"/>
      <c r="AG1756" s="6"/>
      <c r="AH1756" s="6"/>
      <c r="AI1756" s="6"/>
      <c r="AJ1756" s="6"/>
      <c r="AK1756" s="6"/>
      <c r="AL1756" s="6"/>
      <c r="AM1756" s="6"/>
      <c r="AN1756" s="6"/>
      <c r="AO1756" s="6"/>
      <c r="AP1756" s="6"/>
      <c r="AQ1756" s="6"/>
      <c r="AR1756" s="6"/>
      <c r="AS1756" s="6"/>
      <c r="AT1756" s="6"/>
      <c r="AU1756" s="6"/>
      <c r="AV1756" s="6"/>
      <c r="AW1756" s="6"/>
      <c r="AX1756" s="6"/>
      <c r="AY1756" s="6"/>
      <c r="AZ1756" s="6"/>
      <c r="BA1756" s="6"/>
      <c r="BB1756" s="6"/>
      <c r="BC1756" s="6"/>
      <c r="BD1756" s="6"/>
      <c r="BE1756" s="6"/>
      <c r="BF1756" s="6"/>
      <c r="BG1756" s="6"/>
      <c r="BH1756" s="6"/>
      <c r="BI1756" s="6"/>
      <c r="BJ1756" s="6"/>
      <c r="BK1756" s="6"/>
      <c r="BL1756" s="6"/>
      <c r="BM1756" s="6"/>
      <c r="BN1756" s="6"/>
      <c r="BO1756" s="6"/>
      <c r="BP1756" s="6"/>
      <c r="BQ1756" s="6"/>
      <c r="BR1756" s="6"/>
      <c r="BS1756" s="6"/>
      <c r="BT1756" s="6"/>
      <c r="BU1756" s="6"/>
      <c r="BV1756" s="6"/>
      <c r="BW1756" s="6"/>
      <c r="BX1756" s="6"/>
      <c r="BY1756" s="6"/>
      <c r="BZ1756" s="6"/>
      <c r="CA1756" s="6"/>
      <c r="CB1756" s="6"/>
      <c r="CC1756" s="6"/>
    </row>
    <row r="1757" spans="2:81" x14ac:dyDescent="0.2">
      <c r="B1757" s="68"/>
      <c r="C1757" s="69"/>
      <c r="D1757" s="70"/>
      <c r="F1757" s="68"/>
      <c r="G1757" s="69"/>
      <c r="H1757" s="70"/>
      <c r="J1757" s="71"/>
      <c r="K1757" s="71"/>
      <c r="L1757" s="67"/>
      <c r="N1757" s="71"/>
      <c r="O1757" s="71"/>
      <c r="P1757" s="67"/>
      <c r="R1757" s="67"/>
      <c r="S1757" s="6"/>
      <c r="T1757" s="6"/>
      <c r="U1757" s="6"/>
      <c r="V1757" s="6"/>
      <c r="W1757" s="6"/>
      <c r="X1757" s="6"/>
      <c r="Y1757" s="6"/>
      <c r="Z1757" s="6"/>
      <c r="AA1757" s="6"/>
      <c r="AB1757" s="6"/>
      <c r="AC1757" s="6"/>
      <c r="AD1757" s="6"/>
      <c r="AE1757" s="6"/>
      <c r="AF1757" s="6"/>
      <c r="AG1757" s="6"/>
      <c r="AH1757" s="6"/>
      <c r="AI1757" s="6"/>
      <c r="AJ1757" s="6"/>
      <c r="AK1757" s="6"/>
      <c r="AL1757" s="6"/>
      <c r="AM1757" s="6"/>
      <c r="AN1757" s="6"/>
      <c r="AO1757" s="6"/>
      <c r="AP1757" s="6"/>
      <c r="AQ1757" s="6"/>
      <c r="AR1757" s="6"/>
      <c r="AS1757" s="6"/>
      <c r="AT1757" s="6"/>
      <c r="AU1757" s="6"/>
      <c r="AV1757" s="6"/>
      <c r="AW1757" s="6"/>
      <c r="AX1757" s="6"/>
      <c r="AY1757" s="6"/>
      <c r="AZ1757" s="6"/>
      <c r="BA1757" s="6"/>
      <c r="BB1757" s="6"/>
      <c r="BC1757" s="6"/>
      <c r="BD1757" s="6"/>
      <c r="BE1757" s="6"/>
      <c r="BF1757" s="6"/>
      <c r="BG1757" s="6"/>
      <c r="BH1757" s="6"/>
      <c r="BI1757" s="6"/>
      <c r="BJ1757" s="6"/>
      <c r="BK1757" s="6"/>
      <c r="BL1757" s="6"/>
      <c r="BM1757" s="6"/>
      <c r="BN1757" s="6"/>
      <c r="BO1757" s="6"/>
      <c r="BP1757" s="6"/>
      <c r="BQ1757" s="6"/>
      <c r="BR1757" s="6"/>
      <c r="BS1757" s="6"/>
      <c r="BT1757" s="6"/>
      <c r="BU1757" s="6"/>
      <c r="BV1757" s="6"/>
      <c r="BW1757" s="6"/>
      <c r="BX1757" s="6"/>
      <c r="BY1757" s="6"/>
      <c r="BZ1757" s="6"/>
      <c r="CA1757" s="6"/>
      <c r="CB1757" s="6"/>
      <c r="CC1757" s="6"/>
    </row>
    <row r="1758" spans="2:81" x14ac:dyDescent="0.2">
      <c r="B1758" s="68"/>
      <c r="C1758" s="69"/>
      <c r="D1758" s="70"/>
      <c r="F1758" s="68"/>
      <c r="G1758" s="69"/>
      <c r="H1758" s="70"/>
      <c r="J1758" s="71"/>
      <c r="K1758" s="71"/>
      <c r="L1758" s="67"/>
      <c r="N1758" s="71"/>
      <c r="O1758" s="71"/>
      <c r="P1758" s="67"/>
      <c r="R1758" s="67"/>
      <c r="S1758" s="6"/>
      <c r="T1758" s="6"/>
      <c r="U1758" s="6"/>
      <c r="V1758" s="6"/>
      <c r="W1758" s="6"/>
      <c r="X1758" s="6"/>
      <c r="Y1758" s="6"/>
      <c r="Z1758" s="6"/>
      <c r="AA1758" s="6"/>
      <c r="AB1758" s="6"/>
      <c r="AC1758" s="6"/>
      <c r="AD1758" s="6"/>
      <c r="AE1758" s="6"/>
      <c r="AF1758" s="6"/>
      <c r="AG1758" s="6"/>
      <c r="AH1758" s="6"/>
      <c r="AI1758" s="6"/>
      <c r="AJ1758" s="6"/>
      <c r="AK1758" s="6"/>
      <c r="AL1758" s="6"/>
      <c r="AM1758" s="6"/>
      <c r="AN1758" s="6"/>
      <c r="AO1758" s="6"/>
      <c r="AP1758" s="6"/>
      <c r="AQ1758" s="6"/>
      <c r="AR1758" s="6"/>
      <c r="AS1758" s="6"/>
      <c r="AT1758" s="6"/>
      <c r="AU1758" s="6"/>
      <c r="AV1758" s="6"/>
      <c r="AW1758" s="6"/>
      <c r="AX1758" s="6"/>
      <c r="AY1758" s="6"/>
      <c r="AZ1758" s="6"/>
      <c r="BA1758" s="6"/>
      <c r="BB1758" s="6"/>
      <c r="BC1758" s="6"/>
      <c r="BD1758" s="6"/>
      <c r="BE1758" s="6"/>
      <c r="BF1758" s="6"/>
      <c r="BG1758" s="6"/>
      <c r="BH1758" s="6"/>
      <c r="BI1758" s="6"/>
      <c r="BJ1758" s="6"/>
      <c r="BK1758" s="6"/>
      <c r="BL1758" s="6"/>
      <c r="BM1758" s="6"/>
      <c r="BN1758" s="6"/>
      <c r="BO1758" s="6"/>
      <c r="BP1758" s="6"/>
      <c r="BQ1758" s="6"/>
      <c r="BR1758" s="6"/>
      <c r="BS1758" s="6"/>
      <c r="BT1758" s="6"/>
      <c r="BU1758" s="6"/>
      <c r="BV1758" s="6"/>
      <c r="BW1758" s="6"/>
      <c r="BX1758" s="6"/>
      <c r="BY1758" s="6"/>
      <c r="BZ1758" s="6"/>
      <c r="CA1758" s="6"/>
      <c r="CB1758" s="6"/>
      <c r="CC1758" s="6"/>
    </row>
    <row r="1759" spans="2:81" x14ac:dyDescent="0.2">
      <c r="B1759" s="68"/>
      <c r="C1759" s="69"/>
      <c r="D1759" s="70"/>
      <c r="F1759" s="68"/>
      <c r="G1759" s="69"/>
      <c r="H1759" s="70"/>
      <c r="J1759" s="71"/>
      <c r="K1759" s="71"/>
      <c r="L1759" s="67"/>
      <c r="N1759" s="71"/>
      <c r="O1759" s="71"/>
      <c r="P1759" s="67"/>
      <c r="R1759" s="67"/>
      <c r="S1759" s="6"/>
      <c r="T1759" s="6"/>
      <c r="U1759" s="6"/>
      <c r="V1759" s="6"/>
      <c r="W1759" s="6"/>
      <c r="X1759" s="6"/>
      <c r="Y1759" s="6"/>
      <c r="Z1759" s="6"/>
      <c r="AA1759" s="6"/>
      <c r="AB1759" s="6"/>
      <c r="AC1759" s="6"/>
      <c r="AD1759" s="6"/>
      <c r="AE1759" s="6"/>
      <c r="AF1759" s="6"/>
      <c r="AG1759" s="6"/>
      <c r="AH1759" s="6"/>
      <c r="AI1759" s="6"/>
      <c r="AJ1759" s="6"/>
      <c r="AK1759" s="6"/>
      <c r="AL1759" s="6"/>
      <c r="AM1759" s="6"/>
      <c r="AN1759" s="6"/>
      <c r="AO1759" s="6"/>
      <c r="AP1759" s="6"/>
      <c r="AQ1759" s="6"/>
      <c r="AR1759" s="6"/>
      <c r="AS1759" s="6"/>
      <c r="AT1759" s="6"/>
      <c r="AU1759" s="6"/>
      <c r="AV1759" s="6"/>
      <c r="AW1759" s="6"/>
      <c r="AX1759" s="6"/>
      <c r="AY1759" s="6"/>
      <c r="AZ1759" s="6"/>
      <c r="BA1759" s="6"/>
      <c r="BB1759" s="6"/>
      <c r="BC1759" s="6"/>
      <c r="BD1759" s="6"/>
      <c r="BE1759" s="6"/>
      <c r="BF1759" s="6"/>
      <c r="BG1759" s="6"/>
      <c r="BH1759" s="6"/>
      <c r="BI1759" s="6"/>
      <c r="BJ1759" s="6"/>
      <c r="BK1759" s="6"/>
      <c r="BL1759" s="6"/>
      <c r="BM1759" s="6"/>
      <c r="BN1759" s="6"/>
      <c r="BO1759" s="6"/>
      <c r="BP1759" s="6"/>
      <c r="BQ1759" s="6"/>
      <c r="BR1759" s="6"/>
      <c r="BS1759" s="6"/>
      <c r="BT1759" s="6"/>
      <c r="BU1759" s="6"/>
      <c r="BV1759" s="6"/>
      <c r="BW1759" s="6"/>
      <c r="BX1759" s="6"/>
      <c r="BY1759" s="6"/>
      <c r="BZ1759" s="6"/>
      <c r="CA1759" s="6"/>
      <c r="CB1759" s="6"/>
      <c r="CC1759" s="6"/>
    </row>
    <row r="1760" spans="2:81" x14ac:dyDescent="0.2">
      <c r="B1760" s="68"/>
      <c r="C1760" s="69"/>
      <c r="D1760" s="70"/>
      <c r="F1760" s="68"/>
      <c r="G1760" s="69"/>
      <c r="H1760" s="70"/>
      <c r="J1760" s="71"/>
      <c r="K1760" s="71"/>
      <c r="L1760" s="67"/>
      <c r="N1760" s="71"/>
      <c r="O1760" s="71"/>
      <c r="P1760" s="67"/>
      <c r="R1760" s="67"/>
      <c r="S1760" s="6"/>
      <c r="T1760" s="6"/>
      <c r="U1760" s="6"/>
      <c r="V1760" s="6"/>
      <c r="W1760" s="6"/>
      <c r="X1760" s="6"/>
      <c r="Y1760" s="6"/>
      <c r="Z1760" s="6"/>
      <c r="AA1760" s="6"/>
      <c r="AB1760" s="6"/>
      <c r="AC1760" s="6"/>
      <c r="AD1760" s="6"/>
      <c r="AE1760" s="6"/>
      <c r="AF1760" s="6"/>
      <c r="AG1760" s="6"/>
      <c r="AH1760" s="6"/>
      <c r="AI1760" s="6"/>
      <c r="AJ1760" s="6"/>
      <c r="AK1760" s="6"/>
      <c r="AL1760" s="6"/>
      <c r="AM1760" s="6"/>
      <c r="AN1760" s="6"/>
      <c r="AO1760" s="6"/>
      <c r="AP1760" s="6"/>
      <c r="AQ1760" s="6"/>
      <c r="AR1760" s="6"/>
      <c r="AS1760" s="6"/>
      <c r="AT1760" s="6"/>
      <c r="AU1760" s="6"/>
      <c r="AV1760" s="6"/>
      <c r="AW1760" s="6"/>
      <c r="AX1760" s="6"/>
      <c r="AY1760" s="6"/>
      <c r="AZ1760" s="6"/>
      <c r="BA1760" s="6"/>
      <c r="BB1760" s="6"/>
      <c r="BC1760" s="6"/>
      <c r="BD1760" s="6"/>
      <c r="BE1760" s="6"/>
      <c r="BF1760" s="6"/>
      <c r="BG1760" s="6"/>
      <c r="BH1760" s="6"/>
      <c r="BI1760" s="6"/>
      <c r="BJ1760" s="6"/>
      <c r="BK1760" s="6"/>
      <c r="BL1760" s="6"/>
      <c r="BM1760" s="6"/>
      <c r="BN1760" s="6"/>
      <c r="BO1760" s="6"/>
      <c r="BP1760" s="6"/>
      <c r="BQ1760" s="6"/>
      <c r="BR1760" s="6"/>
      <c r="BS1760" s="6"/>
      <c r="BT1760" s="6"/>
      <c r="BU1760" s="6"/>
      <c r="BV1760" s="6"/>
      <c r="BW1760" s="6"/>
      <c r="BX1760" s="6"/>
      <c r="BY1760" s="6"/>
      <c r="BZ1760" s="6"/>
      <c r="CA1760" s="6"/>
      <c r="CB1760" s="6"/>
      <c r="CC1760" s="6"/>
    </row>
    <row r="1761" spans="2:81" x14ac:dyDescent="0.2">
      <c r="B1761" s="68"/>
      <c r="C1761" s="69"/>
      <c r="D1761" s="70"/>
      <c r="F1761" s="68"/>
      <c r="G1761" s="69"/>
      <c r="H1761" s="70"/>
      <c r="J1761" s="71"/>
      <c r="K1761" s="71"/>
      <c r="L1761" s="67"/>
      <c r="N1761" s="71"/>
      <c r="O1761" s="71"/>
      <c r="P1761" s="67"/>
      <c r="R1761" s="67"/>
      <c r="S1761" s="6"/>
      <c r="T1761" s="6"/>
      <c r="U1761" s="6"/>
      <c r="V1761" s="6"/>
      <c r="W1761" s="6"/>
      <c r="X1761" s="6"/>
      <c r="Y1761" s="6"/>
      <c r="Z1761" s="6"/>
      <c r="AA1761" s="6"/>
      <c r="AB1761" s="6"/>
      <c r="AC1761" s="6"/>
      <c r="AD1761" s="6"/>
      <c r="AE1761" s="6"/>
      <c r="AF1761" s="6"/>
      <c r="AG1761" s="6"/>
      <c r="AH1761" s="6"/>
      <c r="AI1761" s="6"/>
      <c r="AJ1761" s="6"/>
      <c r="AK1761" s="6"/>
      <c r="AL1761" s="6"/>
      <c r="AM1761" s="6"/>
      <c r="AN1761" s="6"/>
      <c r="AO1761" s="6"/>
      <c r="AP1761" s="6"/>
      <c r="AQ1761" s="6"/>
      <c r="AR1761" s="6"/>
      <c r="AS1761" s="6"/>
      <c r="AT1761" s="6"/>
      <c r="AU1761" s="6"/>
      <c r="AV1761" s="6"/>
      <c r="AW1761" s="6"/>
      <c r="AX1761" s="6"/>
      <c r="AY1761" s="6"/>
      <c r="AZ1761" s="6"/>
      <c r="BA1761" s="6"/>
      <c r="BB1761" s="6"/>
      <c r="BC1761" s="6"/>
      <c r="BD1761" s="6"/>
      <c r="BE1761" s="6"/>
      <c r="BF1761" s="6"/>
      <c r="BG1761" s="6"/>
      <c r="BH1761" s="6"/>
      <c r="BI1761" s="6"/>
      <c r="BJ1761" s="6"/>
      <c r="BK1761" s="6"/>
      <c r="BL1761" s="6"/>
      <c r="BM1761" s="6"/>
      <c r="BN1761" s="6"/>
      <c r="BO1761" s="6"/>
      <c r="BP1761" s="6"/>
      <c r="BQ1761" s="6"/>
      <c r="BR1761" s="6"/>
      <c r="BS1761" s="6"/>
      <c r="BT1761" s="6"/>
      <c r="BU1761" s="6"/>
      <c r="BV1761" s="6"/>
      <c r="BW1761" s="6"/>
      <c r="BX1761" s="6"/>
      <c r="BY1761" s="6"/>
      <c r="BZ1761" s="6"/>
      <c r="CA1761" s="6"/>
      <c r="CB1761" s="6"/>
      <c r="CC1761" s="6"/>
    </row>
    <row r="1762" spans="2:81" x14ac:dyDescent="0.2">
      <c r="B1762" s="68"/>
      <c r="C1762" s="69"/>
      <c r="D1762" s="70"/>
      <c r="F1762" s="68"/>
      <c r="G1762" s="69"/>
      <c r="H1762" s="70"/>
      <c r="J1762" s="71"/>
      <c r="K1762" s="71"/>
      <c r="L1762" s="67"/>
      <c r="N1762" s="71"/>
      <c r="O1762" s="71"/>
      <c r="P1762" s="67"/>
      <c r="R1762" s="67"/>
      <c r="S1762" s="6"/>
      <c r="T1762" s="6"/>
      <c r="U1762" s="6"/>
      <c r="V1762" s="6"/>
      <c r="W1762" s="6"/>
      <c r="X1762" s="6"/>
      <c r="Y1762" s="6"/>
      <c r="Z1762" s="6"/>
      <c r="AA1762" s="6"/>
      <c r="AB1762" s="6"/>
      <c r="AC1762" s="6"/>
      <c r="AD1762" s="6"/>
      <c r="AE1762" s="6"/>
      <c r="AF1762" s="6"/>
      <c r="AG1762" s="6"/>
      <c r="AH1762" s="6"/>
      <c r="AI1762" s="6"/>
      <c r="AJ1762" s="6"/>
      <c r="AK1762" s="6"/>
      <c r="AL1762" s="6"/>
      <c r="AM1762" s="6"/>
      <c r="AN1762" s="6"/>
      <c r="AO1762" s="6"/>
      <c r="AP1762" s="6"/>
      <c r="AQ1762" s="6"/>
      <c r="AR1762" s="6"/>
      <c r="AS1762" s="6"/>
      <c r="AT1762" s="6"/>
      <c r="AU1762" s="6"/>
      <c r="AV1762" s="6"/>
      <c r="AW1762" s="6"/>
      <c r="AX1762" s="6"/>
      <c r="AY1762" s="6"/>
      <c r="AZ1762" s="6"/>
      <c r="BA1762" s="6"/>
      <c r="BB1762" s="6"/>
      <c r="BC1762" s="6"/>
      <c r="BD1762" s="6"/>
      <c r="BE1762" s="6"/>
      <c r="BF1762" s="6"/>
      <c r="BG1762" s="6"/>
      <c r="BH1762" s="6"/>
      <c r="BI1762" s="6"/>
      <c r="BJ1762" s="6"/>
      <c r="BK1762" s="6"/>
      <c r="BL1762" s="6"/>
      <c r="BM1762" s="6"/>
      <c r="BN1762" s="6"/>
      <c r="BO1762" s="6"/>
      <c r="BP1762" s="6"/>
      <c r="BQ1762" s="6"/>
      <c r="BR1762" s="6"/>
      <c r="BS1762" s="6"/>
      <c r="BT1762" s="6"/>
      <c r="BU1762" s="6"/>
      <c r="BV1762" s="6"/>
      <c r="BW1762" s="6"/>
      <c r="BX1762" s="6"/>
      <c r="BY1762" s="6"/>
      <c r="BZ1762" s="6"/>
      <c r="CA1762" s="6"/>
      <c r="CB1762" s="6"/>
      <c r="CC1762" s="6"/>
    </row>
    <row r="1763" spans="2:81" x14ac:dyDescent="0.2">
      <c r="B1763" s="68"/>
      <c r="C1763" s="69"/>
      <c r="D1763" s="70"/>
      <c r="F1763" s="68"/>
      <c r="G1763" s="69"/>
      <c r="H1763" s="70"/>
      <c r="J1763" s="71"/>
      <c r="K1763" s="71"/>
      <c r="L1763" s="67"/>
      <c r="N1763" s="71"/>
      <c r="O1763" s="71"/>
      <c r="P1763" s="67"/>
      <c r="R1763" s="67"/>
      <c r="S1763" s="6"/>
      <c r="T1763" s="6"/>
      <c r="U1763" s="6"/>
      <c r="V1763" s="6"/>
      <c r="W1763" s="6"/>
      <c r="X1763" s="6"/>
      <c r="Y1763" s="6"/>
      <c r="Z1763" s="6"/>
      <c r="AA1763" s="6"/>
      <c r="AB1763" s="6"/>
      <c r="AC1763" s="6"/>
      <c r="AD1763" s="6"/>
      <c r="AE1763" s="6"/>
      <c r="AF1763" s="6"/>
      <c r="AG1763" s="6"/>
      <c r="AH1763" s="6"/>
      <c r="AI1763" s="6"/>
      <c r="AJ1763" s="6"/>
      <c r="AK1763" s="6"/>
      <c r="AL1763" s="6"/>
      <c r="AM1763" s="6"/>
      <c r="AN1763" s="6"/>
      <c r="AO1763" s="6"/>
      <c r="AP1763" s="6"/>
      <c r="AQ1763" s="6"/>
      <c r="AR1763" s="6"/>
      <c r="AS1763" s="6"/>
      <c r="AT1763" s="6"/>
      <c r="AU1763" s="6"/>
      <c r="AV1763" s="6"/>
      <c r="AW1763" s="6"/>
      <c r="AX1763" s="6"/>
      <c r="AY1763" s="6"/>
      <c r="AZ1763" s="6"/>
      <c r="BA1763" s="6"/>
      <c r="BB1763" s="6"/>
      <c r="BC1763" s="6"/>
      <c r="BD1763" s="6"/>
      <c r="BE1763" s="6"/>
      <c r="BF1763" s="6"/>
      <c r="BG1763" s="6"/>
      <c r="BH1763" s="6"/>
      <c r="BI1763" s="6"/>
      <c r="BJ1763" s="6"/>
      <c r="BK1763" s="6"/>
      <c r="BL1763" s="6"/>
      <c r="BM1763" s="6"/>
      <c r="BN1763" s="6"/>
      <c r="BO1763" s="6"/>
      <c r="BP1763" s="6"/>
      <c r="BQ1763" s="6"/>
      <c r="BR1763" s="6"/>
      <c r="BS1763" s="6"/>
      <c r="BT1763" s="6"/>
      <c r="BU1763" s="6"/>
      <c r="BV1763" s="6"/>
      <c r="BW1763" s="6"/>
      <c r="BX1763" s="6"/>
      <c r="BY1763" s="6"/>
      <c r="BZ1763" s="6"/>
      <c r="CA1763" s="6"/>
      <c r="CB1763" s="6"/>
      <c r="CC1763" s="6"/>
    </row>
    <row r="1764" spans="2:81" x14ac:dyDescent="0.2">
      <c r="B1764" s="68"/>
      <c r="C1764" s="69"/>
      <c r="D1764" s="70"/>
      <c r="F1764" s="68"/>
      <c r="G1764" s="69"/>
      <c r="H1764" s="70"/>
      <c r="J1764" s="71"/>
      <c r="K1764" s="71"/>
      <c r="L1764" s="67"/>
      <c r="N1764" s="71"/>
      <c r="O1764" s="71"/>
      <c r="P1764" s="67"/>
      <c r="R1764" s="67"/>
      <c r="S1764" s="6"/>
      <c r="T1764" s="6"/>
      <c r="U1764" s="6"/>
      <c r="V1764" s="6"/>
      <c r="W1764" s="6"/>
      <c r="X1764" s="6"/>
      <c r="Y1764" s="6"/>
      <c r="Z1764" s="6"/>
      <c r="AA1764" s="6"/>
      <c r="AB1764" s="6"/>
      <c r="AC1764" s="6"/>
      <c r="AD1764" s="6"/>
      <c r="AE1764" s="6"/>
      <c r="AF1764" s="6"/>
      <c r="AG1764" s="6"/>
      <c r="AH1764" s="6"/>
      <c r="AI1764" s="6"/>
      <c r="AJ1764" s="6"/>
      <c r="AK1764" s="6"/>
      <c r="AL1764" s="6"/>
      <c r="AM1764" s="6"/>
      <c r="AN1764" s="6"/>
      <c r="AO1764" s="6"/>
      <c r="AP1764" s="6"/>
      <c r="AQ1764" s="6"/>
      <c r="AR1764" s="6"/>
      <c r="AS1764" s="6"/>
      <c r="AT1764" s="6"/>
      <c r="AU1764" s="6"/>
      <c r="AV1764" s="6"/>
      <c r="AW1764" s="6"/>
      <c r="AX1764" s="6"/>
      <c r="AY1764" s="6"/>
      <c r="AZ1764" s="6"/>
      <c r="BA1764" s="6"/>
      <c r="BB1764" s="6"/>
      <c r="BC1764" s="6"/>
      <c r="BD1764" s="6"/>
      <c r="BE1764" s="6"/>
      <c r="BF1764" s="6"/>
      <c r="BG1764" s="6"/>
      <c r="BH1764" s="6"/>
      <c r="BI1764" s="6"/>
      <c r="BJ1764" s="6"/>
      <c r="BK1764" s="6"/>
      <c r="BL1764" s="6"/>
      <c r="BM1764" s="6"/>
      <c r="BN1764" s="6"/>
      <c r="BO1764" s="6"/>
      <c r="BP1764" s="6"/>
      <c r="BQ1764" s="6"/>
      <c r="BR1764" s="6"/>
      <c r="BS1764" s="6"/>
      <c r="BT1764" s="6"/>
      <c r="BU1764" s="6"/>
      <c r="BV1764" s="6"/>
      <c r="BW1764" s="6"/>
      <c r="BX1764" s="6"/>
      <c r="BY1764" s="6"/>
      <c r="BZ1764" s="6"/>
      <c r="CA1764" s="6"/>
      <c r="CB1764" s="6"/>
      <c r="CC1764" s="6"/>
    </row>
    <row r="1765" spans="2:81" x14ac:dyDescent="0.2">
      <c r="B1765" s="68"/>
      <c r="C1765" s="69"/>
      <c r="D1765" s="70"/>
      <c r="F1765" s="68"/>
      <c r="G1765" s="69"/>
      <c r="H1765" s="70"/>
      <c r="J1765" s="71"/>
      <c r="K1765" s="71"/>
      <c r="L1765" s="67"/>
      <c r="N1765" s="71"/>
      <c r="O1765" s="71"/>
      <c r="P1765" s="67"/>
      <c r="R1765" s="67"/>
      <c r="S1765" s="6"/>
      <c r="T1765" s="6"/>
      <c r="U1765" s="6"/>
      <c r="V1765" s="6"/>
      <c r="W1765" s="6"/>
      <c r="X1765" s="6"/>
      <c r="Y1765" s="6"/>
      <c r="Z1765" s="6"/>
      <c r="AA1765" s="6"/>
      <c r="AB1765" s="6"/>
      <c r="AC1765" s="6"/>
      <c r="AD1765" s="6"/>
      <c r="AE1765" s="6"/>
      <c r="AF1765" s="6"/>
      <c r="AG1765" s="6"/>
      <c r="AH1765" s="6"/>
      <c r="AI1765" s="6"/>
      <c r="AJ1765" s="6"/>
      <c r="AK1765" s="6"/>
      <c r="AL1765" s="6"/>
      <c r="AM1765" s="6"/>
      <c r="AN1765" s="6"/>
      <c r="AO1765" s="6"/>
      <c r="AP1765" s="6"/>
      <c r="AQ1765" s="6"/>
      <c r="AR1765" s="6"/>
      <c r="AS1765" s="6"/>
      <c r="AT1765" s="6"/>
      <c r="AU1765" s="6"/>
      <c r="AV1765" s="6"/>
      <c r="AW1765" s="6"/>
      <c r="AX1765" s="6"/>
      <c r="AY1765" s="6"/>
      <c r="AZ1765" s="6"/>
      <c r="BA1765" s="6"/>
      <c r="BB1765" s="6"/>
      <c r="BC1765" s="6"/>
      <c r="BD1765" s="6"/>
      <c r="BE1765" s="6"/>
      <c r="BF1765" s="6"/>
      <c r="BG1765" s="6"/>
      <c r="BH1765" s="6"/>
      <c r="BI1765" s="6"/>
      <c r="BJ1765" s="6"/>
      <c r="BK1765" s="6"/>
      <c r="BL1765" s="6"/>
      <c r="BM1765" s="6"/>
      <c r="BN1765" s="6"/>
      <c r="BO1765" s="6"/>
      <c r="BP1765" s="6"/>
      <c r="BQ1765" s="6"/>
      <c r="BR1765" s="6"/>
      <c r="BS1765" s="6"/>
      <c r="BT1765" s="6"/>
      <c r="BU1765" s="6"/>
      <c r="BV1765" s="6"/>
      <c r="BW1765" s="6"/>
      <c r="BX1765" s="6"/>
      <c r="BY1765" s="6"/>
      <c r="BZ1765" s="6"/>
      <c r="CA1765" s="6"/>
      <c r="CB1765" s="6"/>
      <c r="CC1765" s="6"/>
    </row>
    <row r="1766" spans="2:81" x14ac:dyDescent="0.2">
      <c r="B1766" s="68"/>
      <c r="C1766" s="69"/>
      <c r="D1766" s="70"/>
      <c r="F1766" s="68"/>
      <c r="G1766" s="69"/>
      <c r="H1766" s="70"/>
      <c r="J1766" s="71"/>
      <c r="K1766" s="71"/>
      <c r="L1766" s="67"/>
      <c r="N1766" s="71"/>
      <c r="O1766" s="71"/>
      <c r="P1766" s="67"/>
      <c r="R1766" s="67"/>
      <c r="S1766" s="6"/>
      <c r="T1766" s="6"/>
      <c r="U1766" s="6"/>
      <c r="V1766" s="6"/>
      <c r="W1766" s="6"/>
      <c r="X1766" s="6"/>
      <c r="Y1766" s="6"/>
      <c r="Z1766" s="6"/>
      <c r="AA1766" s="6"/>
      <c r="AB1766" s="6"/>
      <c r="AC1766" s="6"/>
      <c r="AD1766" s="6"/>
      <c r="AE1766" s="6"/>
      <c r="AF1766" s="6"/>
      <c r="AG1766" s="6"/>
      <c r="AH1766" s="6"/>
      <c r="AI1766" s="6"/>
      <c r="AJ1766" s="6"/>
      <c r="AK1766" s="6"/>
      <c r="AL1766" s="6"/>
      <c r="AM1766" s="6"/>
      <c r="AN1766" s="6"/>
      <c r="AO1766" s="6"/>
      <c r="AP1766" s="6"/>
      <c r="AQ1766" s="6"/>
      <c r="AR1766" s="6"/>
      <c r="AS1766" s="6"/>
      <c r="AT1766" s="6"/>
      <c r="AU1766" s="6"/>
      <c r="AV1766" s="6"/>
      <c r="AW1766" s="6"/>
      <c r="AX1766" s="6"/>
      <c r="AY1766" s="6"/>
      <c r="AZ1766" s="6"/>
      <c r="BA1766" s="6"/>
      <c r="BB1766" s="6"/>
      <c r="BC1766" s="6"/>
      <c r="BD1766" s="6"/>
      <c r="BE1766" s="6"/>
      <c r="BF1766" s="6"/>
      <c r="BG1766" s="6"/>
      <c r="BH1766" s="6"/>
      <c r="BI1766" s="6"/>
      <c r="BJ1766" s="6"/>
      <c r="BK1766" s="6"/>
      <c r="BL1766" s="6"/>
      <c r="BM1766" s="6"/>
      <c r="BN1766" s="6"/>
      <c r="BO1766" s="6"/>
      <c r="BP1766" s="6"/>
      <c r="BQ1766" s="6"/>
      <c r="BR1766" s="6"/>
      <c r="BS1766" s="6"/>
      <c r="BT1766" s="6"/>
      <c r="BU1766" s="6"/>
      <c r="BV1766" s="6"/>
      <c r="BW1766" s="6"/>
      <c r="BX1766" s="6"/>
      <c r="BY1766" s="6"/>
      <c r="BZ1766" s="6"/>
      <c r="CA1766" s="6"/>
      <c r="CB1766" s="6"/>
      <c r="CC1766" s="6"/>
    </row>
    <row r="1767" spans="2:81" x14ac:dyDescent="0.2">
      <c r="B1767" s="68"/>
      <c r="C1767" s="69"/>
      <c r="D1767" s="70"/>
      <c r="F1767" s="68"/>
      <c r="G1767" s="69"/>
      <c r="H1767" s="70"/>
      <c r="J1767" s="71"/>
      <c r="K1767" s="71"/>
      <c r="L1767" s="67"/>
      <c r="N1767" s="71"/>
      <c r="O1767" s="71"/>
      <c r="P1767" s="67"/>
      <c r="R1767" s="67"/>
      <c r="S1767" s="6"/>
      <c r="T1767" s="6"/>
      <c r="U1767" s="6"/>
      <c r="V1767" s="6"/>
      <c r="W1767" s="6"/>
      <c r="X1767" s="6"/>
      <c r="Y1767" s="6"/>
      <c r="Z1767" s="6"/>
      <c r="AA1767" s="6"/>
      <c r="AB1767" s="6"/>
      <c r="AC1767" s="6"/>
      <c r="AD1767" s="6"/>
      <c r="AE1767" s="6"/>
      <c r="AF1767" s="6"/>
      <c r="AG1767" s="6"/>
      <c r="AH1767" s="6"/>
      <c r="AI1767" s="6"/>
      <c r="AJ1767" s="6"/>
      <c r="AK1767" s="6"/>
      <c r="AL1767" s="6"/>
      <c r="AM1767" s="6"/>
      <c r="AN1767" s="6"/>
      <c r="AO1767" s="6"/>
      <c r="AP1767" s="6"/>
      <c r="AQ1767" s="6"/>
      <c r="AR1767" s="6"/>
      <c r="AS1767" s="6"/>
      <c r="AT1767" s="6"/>
      <c r="AU1767" s="6"/>
      <c r="AV1767" s="6"/>
      <c r="AW1767" s="6"/>
      <c r="AX1767" s="6"/>
      <c r="AY1767" s="6"/>
      <c r="AZ1767" s="6"/>
      <c r="BA1767" s="6"/>
      <c r="BB1767" s="6"/>
      <c r="BC1767" s="6"/>
      <c r="BD1767" s="6"/>
      <c r="BE1767" s="6"/>
      <c r="BF1767" s="6"/>
      <c r="BG1767" s="6"/>
      <c r="BH1767" s="6"/>
      <c r="BI1767" s="6"/>
      <c r="BJ1767" s="6"/>
      <c r="BK1767" s="6"/>
      <c r="BL1767" s="6"/>
      <c r="BM1767" s="6"/>
      <c r="BN1767" s="6"/>
      <c r="BO1767" s="6"/>
      <c r="BP1767" s="6"/>
      <c r="BQ1767" s="6"/>
      <c r="BR1767" s="6"/>
      <c r="BS1767" s="6"/>
      <c r="BT1767" s="6"/>
      <c r="BU1767" s="6"/>
      <c r="BV1767" s="6"/>
      <c r="BW1767" s="6"/>
      <c r="BX1767" s="6"/>
      <c r="BY1767" s="6"/>
      <c r="BZ1767" s="6"/>
      <c r="CA1767" s="6"/>
      <c r="CB1767" s="6"/>
      <c r="CC1767" s="6"/>
    </row>
    <row r="1768" spans="2:81" x14ac:dyDescent="0.2">
      <c r="B1768" s="68"/>
      <c r="C1768" s="69"/>
      <c r="D1768" s="70"/>
      <c r="F1768" s="68"/>
      <c r="G1768" s="69"/>
      <c r="H1768" s="70"/>
      <c r="J1768" s="71"/>
      <c r="K1768" s="71"/>
      <c r="L1768" s="67"/>
      <c r="N1768" s="71"/>
      <c r="O1768" s="71"/>
      <c r="P1768" s="67"/>
      <c r="R1768" s="67"/>
      <c r="S1768" s="6"/>
      <c r="T1768" s="6"/>
      <c r="U1768" s="6"/>
      <c r="V1768" s="6"/>
      <c r="W1768" s="6"/>
      <c r="X1768" s="6"/>
      <c r="Y1768" s="6"/>
      <c r="Z1768" s="6"/>
      <c r="AA1768" s="6"/>
      <c r="AB1768" s="6"/>
      <c r="AC1768" s="6"/>
      <c r="AD1768" s="6"/>
      <c r="AE1768" s="6"/>
      <c r="AF1768" s="6"/>
      <c r="AG1768" s="6"/>
      <c r="AH1768" s="6"/>
      <c r="AI1768" s="6"/>
      <c r="AJ1768" s="6"/>
      <c r="AK1768" s="6"/>
      <c r="AL1768" s="6"/>
      <c r="AM1768" s="6"/>
      <c r="AN1768" s="6"/>
      <c r="AO1768" s="6"/>
      <c r="AP1768" s="6"/>
      <c r="AQ1768" s="6"/>
      <c r="AR1768" s="6"/>
      <c r="AS1768" s="6"/>
      <c r="AT1768" s="6"/>
      <c r="AU1768" s="6"/>
      <c r="AV1768" s="6"/>
      <c r="AW1768" s="6"/>
      <c r="AX1768" s="6"/>
      <c r="AY1768" s="6"/>
      <c r="AZ1768" s="6"/>
      <c r="BA1768" s="6"/>
      <c r="BB1768" s="6"/>
      <c r="BC1768" s="6"/>
      <c r="BD1768" s="6"/>
      <c r="BE1768" s="6"/>
      <c r="BF1768" s="6"/>
      <c r="BG1768" s="6"/>
      <c r="BH1768" s="6"/>
      <c r="BI1768" s="6"/>
      <c r="BJ1768" s="6"/>
      <c r="BK1768" s="6"/>
      <c r="BL1768" s="6"/>
      <c r="BM1768" s="6"/>
      <c r="BN1768" s="6"/>
      <c r="BO1768" s="6"/>
      <c r="BP1768" s="6"/>
      <c r="BQ1768" s="6"/>
      <c r="BR1768" s="6"/>
      <c r="BS1768" s="6"/>
      <c r="BT1768" s="6"/>
      <c r="BU1768" s="6"/>
      <c r="BV1768" s="6"/>
      <c r="BW1768" s="6"/>
      <c r="BX1768" s="6"/>
      <c r="BY1768" s="6"/>
      <c r="BZ1768" s="6"/>
      <c r="CA1768" s="6"/>
      <c r="CB1768" s="6"/>
      <c r="CC1768" s="6"/>
    </row>
    <row r="1769" spans="2:81" x14ac:dyDescent="0.2">
      <c r="B1769" s="68"/>
      <c r="C1769" s="69"/>
      <c r="D1769" s="70"/>
      <c r="F1769" s="68"/>
      <c r="G1769" s="69"/>
      <c r="H1769" s="70"/>
      <c r="J1769" s="71"/>
      <c r="K1769" s="71"/>
      <c r="L1769" s="67"/>
      <c r="N1769" s="71"/>
      <c r="O1769" s="71"/>
      <c r="P1769" s="67"/>
      <c r="R1769" s="67"/>
      <c r="S1769" s="6"/>
      <c r="T1769" s="6"/>
      <c r="U1769" s="6"/>
      <c r="V1769" s="6"/>
      <c r="W1769" s="6"/>
      <c r="X1769" s="6"/>
      <c r="Y1769" s="6"/>
      <c r="Z1769" s="6"/>
      <c r="AA1769" s="6"/>
      <c r="AB1769" s="6"/>
      <c r="AC1769" s="6"/>
      <c r="AD1769" s="6"/>
      <c r="AE1769" s="6"/>
      <c r="AF1769" s="6"/>
      <c r="AG1769" s="6"/>
      <c r="AH1769" s="6"/>
      <c r="AI1769" s="6"/>
      <c r="AJ1769" s="6"/>
      <c r="AK1769" s="6"/>
      <c r="AL1769" s="6"/>
      <c r="AM1769" s="6"/>
      <c r="AN1769" s="6"/>
      <c r="AO1769" s="6"/>
      <c r="AP1769" s="6"/>
      <c r="AQ1769" s="6"/>
      <c r="AR1769" s="6"/>
      <c r="AS1769" s="6"/>
      <c r="AT1769" s="6"/>
      <c r="AU1769" s="6"/>
      <c r="AV1769" s="6"/>
      <c r="AW1769" s="6"/>
      <c r="AX1769" s="6"/>
      <c r="AY1769" s="6"/>
      <c r="AZ1769" s="6"/>
      <c r="BA1769" s="6"/>
      <c r="BB1769" s="6"/>
      <c r="BC1769" s="6"/>
      <c r="BD1769" s="6"/>
      <c r="BE1769" s="6"/>
      <c r="BF1769" s="6"/>
      <c r="BG1769" s="6"/>
      <c r="BH1769" s="6"/>
      <c r="BI1769" s="6"/>
      <c r="BJ1769" s="6"/>
      <c r="BK1769" s="6"/>
      <c r="BL1769" s="6"/>
      <c r="BM1769" s="6"/>
      <c r="BN1769" s="6"/>
      <c r="BO1769" s="6"/>
      <c r="BP1769" s="6"/>
      <c r="BQ1769" s="6"/>
      <c r="BR1769" s="6"/>
      <c r="BS1769" s="6"/>
      <c r="BT1769" s="6"/>
      <c r="BU1769" s="6"/>
      <c r="BV1769" s="6"/>
      <c r="BW1769" s="6"/>
      <c r="BX1769" s="6"/>
      <c r="BY1769" s="6"/>
      <c r="BZ1769" s="6"/>
      <c r="CA1769" s="6"/>
      <c r="CB1769" s="6"/>
      <c r="CC1769" s="6"/>
    </row>
    <row r="1770" spans="2:81" x14ac:dyDescent="0.2">
      <c r="B1770" s="68"/>
      <c r="C1770" s="69"/>
      <c r="D1770" s="70"/>
      <c r="F1770" s="68"/>
      <c r="G1770" s="69"/>
      <c r="H1770" s="70"/>
      <c r="J1770" s="71"/>
      <c r="K1770" s="71"/>
      <c r="L1770" s="67"/>
      <c r="N1770" s="71"/>
      <c r="O1770" s="71"/>
      <c r="P1770" s="67"/>
      <c r="R1770" s="67"/>
      <c r="S1770" s="6"/>
      <c r="T1770" s="6"/>
      <c r="U1770" s="6"/>
      <c r="V1770" s="6"/>
      <c r="W1770" s="6"/>
      <c r="X1770" s="6"/>
      <c r="Y1770" s="6"/>
      <c r="Z1770" s="6"/>
      <c r="AA1770" s="6"/>
      <c r="AB1770" s="6"/>
      <c r="AC1770" s="6"/>
      <c r="AD1770" s="6"/>
      <c r="AE1770" s="6"/>
      <c r="AF1770" s="6"/>
      <c r="AG1770" s="6"/>
      <c r="AH1770" s="6"/>
      <c r="AI1770" s="6"/>
      <c r="AJ1770" s="6"/>
      <c r="AK1770" s="6"/>
      <c r="AL1770" s="6"/>
      <c r="AM1770" s="6"/>
      <c r="AN1770" s="6"/>
      <c r="AO1770" s="6"/>
      <c r="AP1770" s="6"/>
      <c r="AQ1770" s="6"/>
      <c r="AR1770" s="6"/>
      <c r="AS1770" s="6"/>
      <c r="AT1770" s="6"/>
      <c r="AU1770" s="6"/>
      <c r="AV1770" s="6"/>
      <c r="AW1770" s="6"/>
      <c r="AX1770" s="6"/>
      <c r="AY1770" s="6"/>
      <c r="AZ1770" s="6"/>
      <c r="BA1770" s="6"/>
      <c r="BB1770" s="6"/>
      <c r="BC1770" s="6"/>
      <c r="BD1770" s="6"/>
      <c r="BE1770" s="6"/>
      <c r="BF1770" s="6"/>
      <c r="BG1770" s="6"/>
      <c r="BH1770" s="6"/>
      <c r="BI1770" s="6"/>
      <c r="BJ1770" s="6"/>
      <c r="BK1770" s="6"/>
      <c r="BL1770" s="6"/>
      <c r="BM1770" s="6"/>
      <c r="BN1770" s="6"/>
      <c r="BO1770" s="6"/>
      <c r="BP1770" s="6"/>
      <c r="BQ1770" s="6"/>
      <c r="BR1770" s="6"/>
      <c r="BS1770" s="6"/>
      <c r="BT1770" s="6"/>
      <c r="BU1770" s="6"/>
      <c r="BV1770" s="6"/>
      <c r="BW1770" s="6"/>
      <c r="BX1770" s="6"/>
      <c r="BY1770" s="6"/>
      <c r="BZ1770" s="6"/>
      <c r="CA1770" s="6"/>
      <c r="CB1770" s="6"/>
      <c r="CC1770" s="6"/>
    </row>
    <row r="1771" spans="2:81" x14ac:dyDescent="0.2">
      <c r="B1771" s="68"/>
      <c r="C1771" s="69"/>
      <c r="D1771" s="70"/>
      <c r="F1771" s="68"/>
      <c r="G1771" s="69"/>
      <c r="H1771" s="70"/>
      <c r="J1771" s="71"/>
      <c r="K1771" s="71"/>
      <c r="L1771" s="67"/>
      <c r="N1771" s="71"/>
      <c r="O1771" s="71"/>
      <c r="P1771" s="67"/>
      <c r="R1771" s="67"/>
      <c r="S1771" s="6"/>
      <c r="T1771" s="6"/>
      <c r="U1771" s="6"/>
      <c r="V1771" s="6"/>
      <c r="W1771" s="6"/>
      <c r="X1771" s="6"/>
      <c r="Y1771" s="6"/>
      <c r="Z1771" s="6"/>
      <c r="AA1771" s="6"/>
      <c r="AB1771" s="6"/>
      <c r="AC1771" s="6"/>
      <c r="AD1771" s="6"/>
      <c r="AE1771" s="6"/>
      <c r="AF1771" s="6"/>
      <c r="AG1771" s="6"/>
      <c r="AH1771" s="6"/>
      <c r="AI1771" s="6"/>
      <c r="AJ1771" s="6"/>
      <c r="AK1771" s="6"/>
      <c r="AL1771" s="6"/>
      <c r="AM1771" s="6"/>
      <c r="AN1771" s="6"/>
      <c r="AO1771" s="6"/>
      <c r="AP1771" s="6"/>
      <c r="AQ1771" s="6"/>
      <c r="AR1771" s="6"/>
      <c r="AS1771" s="6"/>
      <c r="AT1771" s="6"/>
      <c r="AU1771" s="6"/>
      <c r="AV1771" s="6"/>
      <c r="AW1771" s="6"/>
      <c r="AX1771" s="6"/>
      <c r="AY1771" s="6"/>
      <c r="AZ1771" s="6"/>
      <c r="BA1771" s="6"/>
      <c r="BB1771" s="6"/>
      <c r="BC1771" s="6"/>
      <c r="BD1771" s="6"/>
      <c r="BE1771" s="6"/>
      <c r="BF1771" s="6"/>
      <c r="BG1771" s="6"/>
      <c r="BH1771" s="6"/>
      <c r="BI1771" s="6"/>
      <c r="BJ1771" s="6"/>
      <c r="BK1771" s="6"/>
      <c r="BL1771" s="6"/>
      <c r="BM1771" s="6"/>
      <c r="BN1771" s="6"/>
      <c r="BO1771" s="6"/>
      <c r="BP1771" s="6"/>
      <c r="BQ1771" s="6"/>
      <c r="BR1771" s="6"/>
      <c r="BS1771" s="6"/>
      <c r="BT1771" s="6"/>
      <c r="BU1771" s="6"/>
      <c r="BV1771" s="6"/>
      <c r="BW1771" s="6"/>
      <c r="BX1771" s="6"/>
      <c r="BY1771" s="6"/>
      <c r="BZ1771" s="6"/>
      <c r="CA1771" s="6"/>
      <c r="CB1771" s="6"/>
      <c r="CC1771" s="6"/>
    </row>
    <row r="1772" spans="2:81" x14ac:dyDescent="0.2">
      <c r="B1772" s="68"/>
      <c r="C1772" s="69"/>
      <c r="D1772" s="70"/>
      <c r="F1772" s="68"/>
      <c r="G1772" s="69"/>
      <c r="H1772" s="70"/>
      <c r="J1772" s="71"/>
      <c r="K1772" s="71"/>
      <c r="L1772" s="67"/>
      <c r="N1772" s="71"/>
      <c r="O1772" s="71"/>
      <c r="P1772" s="67"/>
      <c r="R1772" s="67"/>
      <c r="S1772" s="6"/>
      <c r="T1772" s="6"/>
      <c r="U1772" s="6"/>
      <c r="V1772" s="6"/>
      <c r="W1772" s="6"/>
      <c r="X1772" s="6"/>
      <c r="Y1772" s="6"/>
      <c r="Z1772" s="6"/>
      <c r="AA1772" s="6"/>
      <c r="AB1772" s="6"/>
      <c r="AC1772" s="6"/>
      <c r="AD1772" s="6"/>
      <c r="AE1772" s="6"/>
      <c r="AF1772" s="6"/>
      <c r="AG1772" s="6"/>
      <c r="AH1772" s="6"/>
      <c r="AI1772" s="6"/>
      <c r="AJ1772" s="6"/>
      <c r="AK1772" s="6"/>
      <c r="AL1772" s="6"/>
      <c r="AM1772" s="6"/>
      <c r="AN1772" s="6"/>
      <c r="AO1772" s="6"/>
      <c r="AP1772" s="6"/>
      <c r="AQ1772" s="6"/>
      <c r="AR1772" s="6"/>
      <c r="AS1772" s="6"/>
      <c r="AT1772" s="6"/>
      <c r="AU1772" s="6"/>
      <c r="AV1772" s="6"/>
      <c r="AW1772" s="6"/>
      <c r="AX1772" s="6"/>
      <c r="AY1772" s="6"/>
      <c r="AZ1772" s="6"/>
      <c r="BA1772" s="6"/>
      <c r="BB1772" s="6"/>
      <c r="BC1772" s="6"/>
      <c r="BD1772" s="6"/>
      <c r="BE1772" s="6"/>
      <c r="BF1772" s="6"/>
      <c r="BG1772" s="6"/>
      <c r="BH1772" s="6"/>
      <c r="BI1772" s="6"/>
      <c r="BJ1772" s="6"/>
      <c r="BK1772" s="6"/>
      <c r="BL1772" s="6"/>
      <c r="BM1772" s="6"/>
      <c r="BN1772" s="6"/>
      <c r="BO1772" s="6"/>
      <c r="BP1772" s="6"/>
      <c r="BQ1772" s="6"/>
      <c r="BR1772" s="6"/>
      <c r="BS1772" s="6"/>
      <c r="BT1772" s="6"/>
      <c r="BU1772" s="6"/>
      <c r="BV1772" s="6"/>
      <c r="BW1772" s="6"/>
      <c r="BX1772" s="6"/>
      <c r="BY1772" s="6"/>
      <c r="BZ1772" s="6"/>
      <c r="CA1772" s="6"/>
      <c r="CB1772" s="6"/>
      <c r="CC1772" s="6"/>
    </row>
    <row r="1773" spans="2:81" x14ac:dyDescent="0.2">
      <c r="B1773" s="68"/>
      <c r="C1773" s="69"/>
      <c r="D1773" s="70"/>
      <c r="F1773" s="68"/>
      <c r="G1773" s="69"/>
      <c r="H1773" s="70"/>
      <c r="J1773" s="71"/>
      <c r="K1773" s="71"/>
      <c r="L1773" s="67"/>
      <c r="N1773" s="71"/>
      <c r="O1773" s="71"/>
      <c r="P1773" s="67"/>
      <c r="R1773" s="67"/>
      <c r="S1773" s="6"/>
      <c r="T1773" s="6"/>
      <c r="U1773" s="6"/>
      <c r="V1773" s="6"/>
      <c r="W1773" s="6"/>
      <c r="X1773" s="6"/>
      <c r="Y1773" s="6"/>
      <c r="Z1773" s="6"/>
      <c r="AA1773" s="6"/>
      <c r="AB1773" s="6"/>
      <c r="AC1773" s="6"/>
      <c r="AD1773" s="6"/>
      <c r="AE1773" s="6"/>
      <c r="AF1773" s="6"/>
      <c r="AG1773" s="6"/>
      <c r="AH1773" s="6"/>
      <c r="AI1773" s="6"/>
      <c r="AJ1773" s="6"/>
      <c r="AK1773" s="6"/>
      <c r="AL1773" s="6"/>
      <c r="AM1773" s="6"/>
      <c r="AN1773" s="6"/>
      <c r="AO1773" s="6"/>
      <c r="AP1773" s="6"/>
      <c r="AQ1773" s="6"/>
      <c r="AR1773" s="6"/>
      <c r="AS1773" s="6"/>
      <c r="AT1773" s="6"/>
      <c r="AU1773" s="6"/>
      <c r="AV1773" s="6"/>
      <c r="AW1773" s="6"/>
      <c r="AX1773" s="6"/>
      <c r="AY1773" s="6"/>
      <c r="AZ1773" s="6"/>
      <c r="BA1773" s="6"/>
      <c r="BB1773" s="6"/>
      <c r="BC1773" s="6"/>
      <c r="BD1773" s="6"/>
      <c r="BE1773" s="6"/>
      <c r="BF1773" s="6"/>
      <c r="BG1773" s="6"/>
      <c r="BH1773" s="6"/>
      <c r="BI1773" s="6"/>
      <c r="BJ1773" s="6"/>
      <c r="BK1773" s="6"/>
      <c r="BL1773" s="6"/>
      <c r="BM1773" s="6"/>
      <c r="BN1773" s="6"/>
      <c r="BO1773" s="6"/>
      <c r="BP1773" s="6"/>
      <c r="BQ1773" s="6"/>
      <c r="BR1773" s="6"/>
      <c r="BS1773" s="6"/>
      <c r="BT1773" s="6"/>
      <c r="BU1773" s="6"/>
      <c r="BV1773" s="6"/>
      <c r="BW1773" s="6"/>
      <c r="BX1773" s="6"/>
      <c r="BY1773" s="6"/>
      <c r="BZ1773" s="6"/>
      <c r="CA1773" s="6"/>
      <c r="CB1773" s="6"/>
      <c r="CC1773" s="6"/>
    </row>
    <row r="1774" spans="2:81" x14ac:dyDescent="0.2">
      <c r="B1774" s="68"/>
      <c r="C1774" s="69"/>
      <c r="D1774" s="70"/>
      <c r="F1774" s="68"/>
      <c r="G1774" s="69"/>
      <c r="H1774" s="70"/>
      <c r="J1774" s="71"/>
      <c r="K1774" s="71"/>
      <c r="L1774" s="67"/>
      <c r="N1774" s="71"/>
      <c r="O1774" s="71"/>
      <c r="P1774" s="67"/>
      <c r="R1774" s="67"/>
      <c r="S1774" s="6"/>
      <c r="T1774" s="6"/>
      <c r="U1774" s="6"/>
      <c r="V1774" s="6"/>
      <c r="W1774" s="6"/>
      <c r="X1774" s="6"/>
      <c r="Y1774" s="6"/>
      <c r="Z1774" s="6"/>
      <c r="AA1774" s="6"/>
      <c r="AB1774" s="6"/>
      <c r="AC1774" s="6"/>
      <c r="AD1774" s="6"/>
      <c r="AE1774" s="6"/>
      <c r="AF1774" s="6"/>
      <c r="AG1774" s="6"/>
      <c r="AH1774" s="6"/>
      <c r="AI1774" s="6"/>
      <c r="AJ1774" s="6"/>
      <c r="AK1774" s="6"/>
      <c r="AL1774" s="6"/>
      <c r="AM1774" s="6"/>
      <c r="AN1774" s="6"/>
      <c r="AO1774" s="6"/>
      <c r="AP1774" s="6"/>
      <c r="AQ1774" s="6"/>
      <c r="AR1774" s="6"/>
      <c r="AS1774" s="6"/>
      <c r="AT1774" s="6"/>
      <c r="AU1774" s="6"/>
      <c r="AV1774" s="6"/>
      <c r="AW1774" s="6"/>
      <c r="AX1774" s="6"/>
      <c r="AY1774" s="6"/>
      <c r="AZ1774" s="6"/>
      <c r="BA1774" s="6"/>
      <c r="BB1774" s="6"/>
      <c r="BC1774" s="6"/>
      <c r="BD1774" s="6"/>
      <c r="BE1774" s="6"/>
      <c r="BF1774" s="6"/>
      <c r="BG1774" s="6"/>
      <c r="BH1774" s="6"/>
      <c r="BI1774" s="6"/>
      <c r="BJ1774" s="6"/>
      <c r="BK1774" s="6"/>
      <c r="BL1774" s="6"/>
      <c r="BM1774" s="6"/>
      <c r="BN1774" s="6"/>
      <c r="BO1774" s="6"/>
      <c r="BP1774" s="6"/>
      <c r="BQ1774" s="6"/>
      <c r="BR1774" s="6"/>
      <c r="BS1774" s="6"/>
      <c r="BT1774" s="6"/>
      <c r="BU1774" s="6"/>
      <c r="BV1774" s="6"/>
      <c r="BW1774" s="6"/>
      <c r="BX1774" s="6"/>
      <c r="BY1774" s="6"/>
      <c r="BZ1774" s="6"/>
      <c r="CA1774" s="6"/>
      <c r="CB1774" s="6"/>
      <c r="CC1774" s="6"/>
    </row>
    <row r="1775" spans="2:81" x14ac:dyDescent="0.2">
      <c r="B1775" s="68"/>
      <c r="C1775" s="69"/>
      <c r="D1775" s="70"/>
      <c r="F1775" s="68"/>
      <c r="G1775" s="69"/>
      <c r="H1775" s="70"/>
      <c r="J1775" s="71"/>
      <c r="K1775" s="71"/>
      <c r="L1775" s="67"/>
      <c r="N1775" s="71"/>
      <c r="O1775" s="71"/>
      <c r="P1775" s="67"/>
      <c r="R1775" s="67"/>
      <c r="S1775" s="6"/>
      <c r="T1775" s="6"/>
      <c r="U1775" s="6"/>
      <c r="V1775" s="6"/>
      <c r="W1775" s="6"/>
      <c r="X1775" s="6"/>
      <c r="Y1775" s="6"/>
      <c r="Z1775" s="6"/>
      <c r="AA1775" s="6"/>
      <c r="AB1775" s="6"/>
      <c r="AC1775" s="6"/>
      <c r="AD1775" s="6"/>
      <c r="AE1775" s="6"/>
      <c r="AF1775" s="6"/>
      <c r="AG1775" s="6"/>
      <c r="AH1775" s="6"/>
      <c r="AI1775" s="6"/>
      <c r="AJ1775" s="6"/>
      <c r="AK1775" s="6"/>
      <c r="AL1775" s="6"/>
      <c r="AM1775" s="6"/>
      <c r="AN1775" s="6"/>
      <c r="AO1775" s="6"/>
      <c r="AP1775" s="6"/>
      <c r="AQ1775" s="6"/>
      <c r="AR1775" s="6"/>
      <c r="AS1775" s="6"/>
      <c r="AT1775" s="6"/>
      <c r="AU1775" s="6"/>
      <c r="AV1775" s="6"/>
      <c r="AW1775" s="6"/>
      <c r="AX1775" s="6"/>
      <c r="AY1775" s="6"/>
      <c r="AZ1775" s="6"/>
      <c r="BA1775" s="6"/>
      <c r="BB1775" s="6"/>
      <c r="BC1775" s="6"/>
      <c r="BD1775" s="6"/>
      <c r="BE1775" s="6"/>
      <c r="BF1775" s="6"/>
      <c r="BG1775" s="6"/>
      <c r="BH1775" s="6"/>
      <c r="BI1775" s="6"/>
      <c r="BJ1775" s="6"/>
      <c r="BK1775" s="6"/>
      <c r="BL1775" s="6"/>
      <c r="BM1775" s="6"/>
      <c r="BN1775" s="6"/>
      <c r="BO1775" s="6"/>
      <c r="BP1775" s="6"/>
      <c r="BQ1775" s="6"/>
      <c r="BR1775" s="6"/>
      <c r="BS1775" s="6"/>
      <c r="BT1775" s="6"/>
      <c r="BU1775" s="6"/>
      <c r="BV1775" s="6"/>
      <c r="BW1775" s="6"/>
      <c r="BX1775" s="6"/>
      <c r="BY1775" s="6"/>
      <c r="BZ1775" s="6"/>
      <c r="CA1775" s="6"/>
      <c r="CB1775" s="6"/>
      <c r="CC1775" s="6"/>
    </row>
    <row r="1776" spans="2:81" x14ac:dyDescent="0.2">
      <c r="B1776" s="68"/>
      <c r="C1776" s="69"/>
      <c r="D1776" s="70"/>
      <c r="F1776" s="68"/>
      <c r="G1776" s="69"/>
      <c r="H1776" s="70"/>
      <c r="J1776" s="71"/>
      <c r="K1776" s="71"/>
      <c r="L1776" s="67"/>
      <c r="N1776" s="71"/>
      <c r="O1776" s="71"/>
      <c r="P1776" s="67"/>
      <c r="R1776" s="67"/>
      <c r="S1776" s="6"/>
      <c r="T1776" s="6"/>
      <c r="U1776" s="6"/>
      <c r="V1776" s="6"/>
      <c r="W1776" s="6"/>
      <c r="X1776" s="6"/>
      <c r="Y1776" s="6"/>
      <c r="Z1776" s="6"/>
      <c r="AA1776" s="6"/>
      <c r="AB1776" s="6"/>
      <c r="AC1776" s="6"/>
      <c r="AD1776" s="6"/>
      <c r="AE1776" s="6"/>
      <c r="AF1776" s="6"/>
      <c r="AG1776" s="6"/>
      <c r="AH1776" s="6"/>
      <c r="AI1776" s="6"/>
      <c r="AJ1776" s="6"/>
      <c r="AK1776" s="6"/>
      <c r="AL1776" s="6"/>
      <c r="AM1776" s="6"/>
      <c r="AN1776" s="6"/>
      <c r="AO1776" s="6"/>
      <c r="AP1776" s="6"/>
      <c r="AQ1776" s="6"/>
      <c r="AR1776" s="6"/>
      <c r="AS1776" s="6"/>
      <c r="AT1776" s="6"/>
      <c r="AU1776" s="6"/>
      <c r="AV1776" s="6"/>
      <c r="AW1776" s="6"/>
      <c r="AX1776" s="6"/>
      <c r="AY1776" s="6"/>
      <c r="AZ1776" s="6"/>
      <c r="BA1776" s="6"/>
      <c r="BB1776" s="6"/>
      <c r="BC1776" s="6"/>
      <c r="BD1776" s="6"/>
      <c r="BE1776" s="6"/>
      <c r="BF1776" s="6"/>
      <c r="BG1776" s="6"/>
      <c r="BH1776" s="6"/>
      <c r="BI1776" s="6"/>
      <c r="BJ1776" s="6"/>
      <c r="BK1776" s="6"/>
      <c r="BL1776" s="6"/>
      <c r="BM1776" s="6"/>
      <c r="BN1776" s="6"/>
      <c r="BO1776" s="6"/>
      <c r="BP1776" s="6"/>
      <c r="BQ1776" s="6"/>
      <c r="BR1776" s="6"/>
      <c r="BS1776" s="6"/>
      <c r="BT1776" s="6"/>
      <c r="BU1776" s="6"/>
      <c r="BV1776" s="6"/>
      <c r="BW1776" s="6"/>
      <c r="BX1776" s="6"/>
      <c r="BY1776" s="6"/>
      <c r="BZ1776" s="6"/>
      <c r="CA1776" s="6"/>
      <c r="CB1776" s="6"/>
      <c r="CC1776" s="6"/>
    </row>
    <row r="1777" spans="2:81" x14ac:dyDescent="0.2">
      <c r="B1777" s="68"/>
      <c r="C1777" s="69"/>
      <c r="D1777" s="70"/>
      <c r="F1777" s="68"/>
      <c r="G1777" s="69"/>
      <c r="H1777" s="70"/>
      <c r="J1777" s="71"/>
      <c r="K1777" s="71"/>
      <c r="L1777" s="67"/>
      <c r="N1777" s="71"/>
      <c r="O1777" s="71"/>
      <c r="P1777" s="67"/>
      <c r="R1777" s="67"/>
      <c r="S1777" s="6"/>
      <c r="T1777" s="6"/>
      <c r="U1777" s="6"/>
      <c r="V1777" s="6"/>
      <c r="W1777" s="6"/>
      <c r="X1777" s="6"/>
      <c r="Y1777" s="6"/>
      <c r="Z1777" s="6"/>
      <c r="AA1777" s="6"/>
      <c r="AB1777" s="6"/>
      <c r="AC1777" s="6"/>
      <c r="AD1777" s="6"/>
      <c r="AE1777" s="6"/>
      <c r="AF1777" s="6"/>
      <c r="AG1777" s="6"/>
      <c r="AH1777" s="6"/>
      <c r="AI1777" s="6"/>
      <c r="AJ1777" s="6"/>
      <c r="AK1777" s="6"/>
      <c r="AL1777" s="6"/>
      <c r="AM1777" s="6"/>
      <c r="AN1777" s="6"/>
      <c r="AO1777" s="6"/>
      <c r="AP1777" s="6"/>
      <c r="AQ1777" s="6"/>
      <c r="AR1777" s="6"/>
      <c r="AS1777" s="6"/>
      <c r="AT1777" s="6"/>
      <c r="AU1777" s="6"/>
      <c r="AV1777" s="6"/>
      <c r="AW1777" s="6"/>
      <c r="AX1777" s="6"/>
      <c r="AY1777" s="6"/>
      <c r="AZ1777" s="6"/>
      <c r="BA1777" s="6"/>
      <c r="BB1777" s="6"/>
      <c r="BC1777" s="6"/>
      <c r="BD1777" s="6"/>
      <c r="BE1777" s="6"/>
      <c r="BF1777" s="6"/>
      <c r="BG1777" s="6"/>
      <c r="BH1777" s="6"/>
      <c r="BI1777" s="6"/>
      <c r="BJ1777" s="6"/>
      <c r="BK1777" s="6"/>
      <c r="BL1777" s="6"/>
      <c r="BM1777" s="6"/>
      <c r="BN1777" s="6"/>
      <c r="BO1777" s="6"/>
      <c r="BP1777" s="6"/>
      <c r="BQ1777" s="6"/>
      <c r="BR1777" s="6"/>
      <c r="BS1777" s="6"/>
      <c r="BT1777" s="6"/>
      <c r="BU1777" s="6"/>
      <c r="BV1777" s="6"/>
      <c r="BW1777" s="6"/>
      <c r="BX1777" s="6"/>
      <c r="BY1777" s="6"/>
      <c r="BZ1777" s="6"/>
      <c r="CA1777" s="6"/>
      <c r="CB1777" s="6"/>
      <c r="CC1777" s="6"/>
    </row>
    <row r="1778" spans="2:81" x14ac:dyDescent="0.2">
      <c r="B1778" s="68"/>
      <c r="C1778" s="69"/>
      <c r="D1778" s="70"/>
      <c r="F1778" s="68"/>
      <c r="G1778" s="69"/>
      <c r="H1778" s="70"/>
      <c r="J1778" s="71"/>
      <c r="K1778" s="71"/>
      <c r="L1778" s="67"/>
      <c r="N1778" s="71"/>
      <c r="O1778" s="71"/>
      <c r="P1778" s="67"/>
      <c r="R1778" s="67"/>
      <c r="S1778" s="6"/>
      <c r="T1778" s="6"/>
      <c r="U1778" s="6"/>
      <c r="V1778" s="6"/>
      <c r="W1778" s="6"/>
      <c r="X1778" s="6"/>
      <c r="Y1778" s="6"/>
      <c r="Z1778" s="6"/>
      <c r="AA1778" s="6"/>
      <c r="AB1778" s="6"/>
      <c r="AC1778" s="6"/>
      <c r="AD1778" s="6"/>
      <c r="AE1778" s="6"/>
      <c r="AF1778" s="6"/>
      <c r="AG1778" s="6"/>
      <c r="AH1778" s="6"/>
      <c r="AI1778" s="6"/>
      <c r="AJ1778" s="6"/>
      <c r="AK1778" s="6"/>
      <c r="AL1778" s="6"/>
      <c r="AM1778" s="6"/>
      <c r="AN1778" s="6"/>
      <c r="AO1778" s="6"/>
      <c r="AP1778" s="6"/>
      <c r="AQ1778" s="6"/>
      <c r="AR1778" s="6"/>
      <c r="AS1778" s="6"/>
      <c r="AT1778" s="6"/>
      <c r="AU1778" s="6"/>
      <c r="AV1778" s="6"/>
      <c r="AW1778" s="6"/>
      <c r="AX1778" s="6"/>
      <c r="AY1778" s="6"/>
      <c r="AZ1778" s="6"/>
      <c r="BA1778" s="6"/>
      <c r="BB1778" s="6"/>
      <c r="BC1778" s="6"/>
      <c r="BD1778" s="6"/>
      <c r="BE1778" s="6"/>
      <c r="BF1778" s="6"/>
      <c r="BG1778" s="6"/>
      <c r="BH1778" s="6"/>
      <c r="BI1778" s="6"/>
      <c r="BJ1778" s="6"/>
      <c r="BK1778" s="6"/>
      <c r="BL1778" s="6"/>
      <c r="BM1778" s="6"/>
      <c r="BN1778" s="6"/>
      <c r="BO1778" s="6"/>
      <c r="BP1778" s="6"/>
      <c r="BQ1778" s="6"/>
      <c r="BR1778" s="6"/>
      <c r="BS1778" s="6"/>
      <c r="BT1778" s="6"/>
      <c r="BU1778" s="6"/>
      <c r="BV1778" s="6"/>
      <c r="BW1778" s="6"/>
      <c r="BX1778" s="6"/>
      <c r="BY1778" s="6"/>
      <c r="BZ1778" s="6"/>
      <c r="CA1778" s="6"/>
      <c r="CB1778" s="6"/>
      <c r="CC1778" s="6"/>
    </row>
    <row r="1779" spans="2:81" x14ac:dyDescent="0.2">
      <c r="B1779" s="68"/>
      <c r="C1779" s="69"/>
      <c r="D1779" s="70"/>
      <c r="F1779" s="68"/>
      <c r="G1779" s="69"/>
      <c r="H1779" s="70"/>
      <c r="J1779" s="71"/>
      <c r="K1779" s="71"/>
      <c r="L1779" s="67"/>
      <c r="N1779" s="71"/>
      <c r="O1779" s="71"/>
      <c r="P1779" s="67"/>
      <c r="R1779" s="67"/>
      <c r="S1779" s="6"/>
      <c r="T1779" s="6"/>
      <c r="U1779" s="6"/>
      <c r="V1779" s="6"/>
      <c r="W1779" s="6"/>
      <c r="X1779" s="6"/>
      <c r="Y1779" s="6"/>
      <c r="Z1779" s="6"/>
      <c r="AA1779" s="6"/>
      <c r="AB1779" s="6"/>
      <c r="AC1779" s="6"/>
      <c r="AD1779" s="6"/>
      <c r="AE1779" s="6"/>
      <c r="AF1779" s="6"/>
      <c r="AG1779" s="6"/>
      <c r="AH1779" s="6"/>
      <c r="AI1779" s="6"/>
      <c r="AJ1779" s="6"/>
      <c r="AK1779" s="6"/>
      <c r="AL1779" s="6"/>
      <c r="AM1779" s="6"/>
      <c r="AN1779" s="6"/>
      <c r="AO1779" s="6"/>
      <c r="AP1779" s="6"/>
      <c r="AQ1779" s="6"/>
      <c r="AR1779" s="6"/>
      <c r="AS1779" s="6"/>
      <c r="AT1779" s="6"/>
      <c r="AU1779" s="6"/>
      <c r="AV1779" s="6"/>
      <c r="AW1779" s="6"/>
      <c r="AX1779" s="6"/>
      <c r="AY1779" s="6"/>
      <c r="AZ1779" s="6"/>
      <c r="BA1779" s="6"/>
      <c r="BB1779" s="6"/>
      <c r="BC1779" s="6"/>
      <c r="BD1779" s="6"/>
      <c r="BE1779" s="6"/>
      <c r="BF1779" s="6"/>
      <c r="BG1779" s="6"/>
      <c r="BH1779" s="6"/>
      <c r="BI1779" s="6"/>
      <c r="BJ1779" s="6"/>
      <c r="BK1779" s="6"/>
      <c r="BL1779" s="6"/>
      <c r="BM1779" s="6"/>
      <c r="BN1779" s="6"/>
      <c r="BO1779" s="6"/>
      <c r="BP1779" s="6"/>
      <c r="BQ1779" s="6"/>
      <c r="BR1779" s="6"/>
      <c r="BS1779" s="6"/>
      <c r="BT1779" s="6"/>
      <c r="BU1779" s="6"/>
      <c r="BV1779" s="6"/>
      <c r="BW1779" s="6"/>
      <c r="BX1779" s="6"/>
      <c r="BY1779" s="6"/>
      <c r="BZ1779" s="6"/>
      <c r="CA1779" s="6"/>
      <c r="CB1779" s="6"/>
      <c r="CC1779" s="6"/>
    </row>
    <row r="1780" spans="2:81" x14ac:dyDescent="0.2">
      <c r="B1780" s="68"/>
      <c r="C1780" s="69"/>
      <c r="D1780" s="70"/>
      <c r="F1780" s="68"/>
      <c r="G1780" s="69"/>
      <c r="H1780" s="70"/>
      <c r="J1780" s="71"/>
      <c r="K1780" s="71"/>
      <c r="L1780" s="67"/>
      <c r="N1780" s="71"/>
      <c r="O1780" s="71"/>
      <c r="P1780" s="67"/>
      <c r="R1780" s="67"/>
      <c r="S1780" s="6"/>
      <c r="T1780" s="6"/>
      <c r="U1780" s="6"/>
      <c r="V1780" s="6"/>
      <c r="W1780" s="6"/>
      <c r="X1780" s="6"/>
      <c r="Y1780" s="6"/>
      <c r="Z1780" s="6"/>
      <c r="AA1780" s="6"/>
      <c r="AB1780" s="6"/>
      <c r="AC1780" s="6"/>
      <c r="AD1780" s="6"/>
      <c r="AE1780" s="6"/>
      <c r="AF1780" s="6"/>
      <c r="AG1780" s="6"/>
      <c r="AH1780" s="6"/>
      <c r="AI1780" s="6"/>
      <c r="AJ1780" s="6"/>
      <c r="AK1780" s="6"/>
      <c r="AL1780" s="6"/>
      <c r="AM1780" s="6"/>
      <c r="AN1780" s="6"/>
      <c r="AO1780" s="6"/>
      <c r="AP1780" s="6"/>
      <c r="AQ1780" s="6"/>
      <c r="AR1780" s="6"/>
      <c r="AS1780" s="6"/>
      <c r="AT1780" s="6"/>
      <c r="AU1780" s="6"/>
      <c r="AV1780" s="6"/>
      <c r="AW1780" s="6"/>
      <c r="AX1780" s="6"/>
      <c r="AY1780" s="6"/>
      <c r="AZ1780" s="6"/>
      <c r="BA1780" s="6"/>
      <c r="BB1780" s="6"/>
      <c r="BC1780" s="6"/>
      <c r="BD1780" s="6"/>
      <c r="BE1780" s="6"/>
      <c r="BF1780" s="6"/>
      <c r="BG1780" s="6"/>
      <c r="BH1780" s="6"/>
      <c r="BI1780" s="6"/>
      <c r="BJ1780" s="6"/>
      <c r="BK1780" s="6"/>
      <c r="BL1780" s="6"/>
      <c r="BM1780" s="6"/>
      <c r="BN1780" s="6"/>
      <c r="BO1780" s="6"/>
      <c r="BP1780" s="6"/>
      <c r="BQ1780" s="6"/>
      <c r="BR1780" s="6"/>
      <c r="BS1780" s="6"/>
      <c r="BT1780" s="6"/>
      <c r="BU1780" s="6"/>
      <c r="BV1780" s="6"/>
      <c r="BW1780" s="6"/>
      <c r="BX1780" s="6"/>
      <c r="BY1780" s="6"/>
      <c r="BZ1780" s="6"/>
      <c r="CA1780" s="6"/>
      <c r="CB1780" s="6"/>
      <c r="CC1780" s="6"/>
    </row>
    <row r="1781" spans="2:81" x14ac:dyDescent="0.2">
      <c r="B1781" s="68"/>
      <c r="C1781" s="69"/>
      <c r="D1781" s="70"/>
      <c r="F1781" s="68"/>
      <c r="G1781" s="69"/>
      <c r="H1781" s="70"/>
      <c r="J1781" s="71"/>
      <c r="K1781" s="71"/>
      <c r="L1781" s="67"/>
      <c r="N1781" s="71"/>
      <c r="O1781" s="71"/>
      <c r="P1781" s="67"/>
      <c r="R1781" s="67"/>
      <c r="S1781" s="6"/>
      <c r="T1781" s="6"/>
      <c r="U1781" s="6"/>
      <c r="V1781" s="6"/>
      <c r="W1781" s="6"/>
      <c r="X1781" s="6"/>
      <c r="Y1781" s="6"/>
      <c r="Z1781" s="6"/>
      <c r="AA1781" s="6"/>
      <c r="AB1781" s="6"/>
      <c r="AC1781" s="6"/>
      <c r="AD1781" s="6"/>
      <c r="AE1781" s="6"/>
      <c r="AF1781" s="6"/>
      <c r="AG1781" s="6"/>
      <c r="AH1781" s="6"/>
      <c r="AI1781" s="6"/>
      <c r="AJ1781" s="6"/>
      <c r="AK1781" s="6"/>
      <c r="AL1781" s="6"/>
      <c r="AM1781" s="6"/>
      <c r="AN1781" s="6"/>
      <c r="AO1781" s="6"/>
      <c r="AP1781" s="6"/>
      <c r="AQ1781" s="6"/>
      <c r="AR1781" s="6"/>
      <c r="AS1781" s="6"/>
      <c r="AT1781" s="6"/>
      <c r="AU1781" s="6"/>
      <c r="AV1781" s="6"/>
      <c r="AW1781" s="6"/>
      <c r="AX1781" s="6"/>
      <c r="AY1781" s="6"/>
      <c r="AZ1781" s="6"/>
      <c r="BA1781" s="6"/>
      <c r="BB1781" s="6"/>
      <c r="BC1781" s="6"/>
      <c r="BD1781" s="6"/>
      <c r="BE1781" s="6"/>
      <c r="BF1781" s="6"/>
      <c r="BG1781" s="6"/>
      <c r="BH1781" s="6"/>
      <c r="BI1781" s="6"/>
      <c r="BJ1781" s="6"/>
      <c r="BK1781" s="6"/>
      <c r="BL1781" s="6"/>
      <c r="BM1781" s="6"/>
      <c r="BN1781" s="6"/>
      <c r="BO1781" s="6"/>
      <c r="BP1781" s="6"/>
      <c r="BQ1781" s="6"/>
      <c r="BR1781" s="6"/>
      <c r="BS1781" s="6"/>
      <c r="BT1781" s="6"/>
      <c r="BU1781" s="6"/>
      <c r="BV1781" s="6"/>
      <c r="BW1781" s="6"/>
      <c r="BX1781" s="6"/>
      <c r="BY1781" s="6"/>
      <c r="BZ1781" s="6"/>
      <c r="CA1781" s="6"/>
      <c r="CB1781" s="6"/>
      <c r="CC1781" s="6"/>
    </row>
    <row r="1782" spans="2:81" x14ac:dyDescent="0.2">
      <c r="B1782" s="68"/>
      <c r="C1782" s="69"/>
      <c r="D1782" s="70"/>
      <c r="F1782" s="68"/>
      <c r="G1782" s="69"/>
      <c r="H1782" s="70"/>
      <c r="J1782" s="71"/>
      <c r="K1782" s="71"/>
      <c r="L1782" s="67"/>
      <c r="N1782" s="71"/>
      <c r="O1782" s="71"/>
      <c r="P1782" s="67"/>
      <c r="R1782" s="67"/>
      <c r="S1782" s="6"/>
      <c r="T1782" s="6"/>
      <c r="U1782" s="6"/>
      <c r="V1782" s="6"/>
      <c r="W1782" s="6"/>
      <c r="X1782" s="6"/>
      <c r="Y1782" s="6"/>
      <c r="Z1782" s="6"/>
      <c r="AA1782" s="6"/>
      <c r="AB1782" s="6"/>
      <c r="AC1782" s="6"/>
      <c r="AD1782" s="6"/>
      <c r="AE1782" s="6"/>
      <c r="AF1782" s="6"/>
      <c r="AG1782" s="6"/>
      <c r="AH1782" s="6"/>
      <c r="AI1782" s="6"/>
      <c r="AJ1782" s="6"/>
      <c r="AK1782" s="6"/>
      <c r="AL1782" s="6"/>
      <c r="AM1782" s="6"/>
      <c r="AN1782" s="6"/>
      <c r="AO1782" s="6"/>
      <c r="AP1782" s="6"/>
      <c r="AQ1782" s="6"/>
      <c r="AR1782" s="6"/>
      <c r="AS1782" s="6"/>
      <c r="AT1782" s="6"/>
      <c r="AU1782" s="6"/>
      <c r="AV1782" s="6"/>
      <c r="AW1782" s="6"/>
      <c r="AX1782" s="6"/>
      <c r="AY1782" s="6"/>
      <c r="AZ1782" s="6"/>
      <c r="BA1782" s="6"/>
      <c r="BB1782" s="6"/>
      <c r="BC1782" s="6"/>
      <c r="BD1782" s="6"/>
      <c r="BE1782" s="6"/>
      <c r="BF1782" s="6"/>
      <c r="BG1782" s="6"/>
      <c r="BH1782" s="6"/>
      <c r="BI1782" s="6"/>
      <c r="BJ1782" s="6"/>
      <c r="BK1782" s="6"/>
      <c r="BL1782" s="6"/>
      <c r="BM1782" s="6"/>
      <c r="BN1782" s="6"/>
      <c r="BO1782" s="6"/>
      <c r="BP1782" s="6"/>
      <c r="BQ1782" s="6"/>
      <c r="BR1782" s="6"/>
      <c r="BS1782" s="6"/>
      <c r="BT1782" s="6"/>
      <c r="BU1782" s="6"/>
      <c r="BV1782" s="6"/>
      <c r="BW1782" s="6"/>
      <c r="BX1782" s="6"/>
      <c r="BY1782" s="6"/>
      <c r="BZ1782" s="6"/>
      <c r="CA1782" s="6"/>
      <c r="CB1782" s="6"/>
      <c r="CC1782" s="6"/>
    </row>
    <row r="1783" spans="2:81" x14ac:dyDescent="0.2">
      <c r="B1783" s="68"/>
      <c r="C1783" s="69"/>
      <c r="D1783" s="70"/>
      <c r="F1783" s="68"/>
      <c r="G1783" s="69"/>
      <c r="H1783" s="70"/>
      <c r="J1783" s="71"/>
      <c r="K1783" s="71"/>
      <c r="L1783" s="67"/>
      <c r="N1783" s="71"/>
      <c r="O1783" s="71"/>
      <c r="P1783" s="67"/>
      <c r="R1783" s="67"/>
      <c r="S1783" s="6"/>
      <c r="T1783" s="6"/>
      <c r="U1783" s="6"/>
      <c r="V1783" s="6"/>
      <c r="W1783" s="6"/>
      <c r="X1783" s="6"/>
      <c r="Y1783" s="6"/>
      <c r="Z1783" s="6"/>
      <c r="AA1783" s="6"/>
      <c r="AB1783" s="6"/>
      <c r="AC1783" s="6"/>
      <c r="AD1783" s="6"/>
      <c r="AE1783" s="6"/>
      <c r="AF1783" s="6"/>
      <c r="AG1783" s="6"/>
      <c r="AH1783" s="6"/>
      <c r="AI1783" s="6"/>
      <c r="AJ1783" s="6"/>
      <c r="AK1783" s="6"/>
      <c r="AL1783" s="6"/>
      <c r="AM1783" s="6"/>
      <c r="AN1783" s="6"/>
      <c r="AO1783" s="6"/>
      <c r="AP1783" s="6"/>
      <c r="AQ1783" s="6"/>
      <c r="AR1783" s="6"/>
      <c r="AS1783" s="6"/>
      <c r="AT1783" s="6"/>
      <c r="AU1783" s="6"/>
      <c r="AV1783" s="6"/>
      <c r="AW1783" s="6"/>
      <c r="AX1783" s="6"/>
      <c r="AY1783" s="6"/>
      <c r="AZ1783" s="6"/>
      <c r="BA1783" s="6"/>
      <c r="BB1783" s="6"/>
      <c r="BC1783" s="6"/>
      <c r="BD1783" s="6"/>
      <c r="BE1783" s="6"/>
      <c r="BF1783" s="6"/>
      <c r="BG1783" s="6"/>
      <c r="BH1783" s="6"/>
      <c r="BI1783" s="6"/>
      <c r="BJ1783" s="6"/>
      <c r="BK1783" s="6"/>
      <c r="BL1783" s="6"/>
      <c r="BM1783" s="6"/>
      <c r="BN1783" s="6"/>
      <c r="BO1783" s="6"/>
      <c r="BP1783" s="6"/>
      <c r="BQ1783" s="6"/>
      <c r="BR1783" s="6"/>
      <c r="BS1783" s="6"/>
      <c r="BT1783" s="6"/>
      <c r="BU1783" s="6"/>
      <c r="BV1783" s="6"/>
      <c r="BW1783" s="6"/>
      <c r="BX1783" s="6"/>
      <c r="BY1783" s="6"/>
      <c r="BZ1783" s="6"/>
      <c r="CA1783" s="6"/>
      <c r="CB1783" s="6"/>
      <c r="CC1783" s="6"/>
    </row>
    <row r="1784" spans="2:81" x14ac:dyDescent="0.2">
      <c r="B1784" s="68"/>
      <c r="C1784" s="69"/>
      <c r="D1784" s="70"/>
      <c r="F1784" s="68"/>
      <c r="G1784" s="69"/>
      <c r="H1784" s="70"/>
      <c r="J1784" s="71"/>
      <c r="K1784" s="71"/>
      <c r="L1784" s="67"/>
      <c r="N1784" s="71"/>
      <c r="O1784" s="71"/>
      <c r="P1784" s="67"/>
      <c r="R1784" s="67"/>
      <c r="S1784" s="6"/>
      <c r="T1784" s="6"/>
      <c r="U1784" s="6"/>
      <c r="V1784" s="6"/>
      <c r="W1784" s="6"/>
      <c r="X1784" s="6"/>
      <c r="Y1784" s="6"/>
      <c r="Z1784" s="6"/>
      <c r="AA1784" s="6"/>
      <c r="AB1784" s="6"/>
      <c r="AC1784" s="6"/>
      <c r="AD1784" s="6"/>
      <c r="AE1784" s="6"/>
      <c r="AF1784" s="6"/>
      <c r="AG1784" s="6"/>
      <c r="AH1784" s="6"/>
      <c r="AI1784" s="6"/>
      <c r="AJ1784" s="6"/>
      <c r="AK1784" s="6"/>
      <c r="AL1784" s="6"/>
      <c r="AM1784" s="6"/>
      <c r="AN1784" s="6"/>
      <c r="AO1784" s="6"/>
      <c r="AP1784" s="6"/>
      <c r="AQ1784" s="6"/>
      <c r="AR1784" s="6"/>
      <c r="AS1784" s="6"/>
      <c r="AT1784" s="6"/>
      <c r="AU1784" s="6"/>
      <c r="AV1784" s="6"/>
      <c r="AW1784" s="6"/>
      <c r="AX1784" s="6"/>
      <c r="AY1784" s="6"/>
      <c r="AZ1784" s="6"/>
      <c r="BA1784" s="6"/>
      <c r="BB1784" s="6"/>
      <c r="BC1784" s="6"/>
      <c r="BD1784" s="6"/>
      <c r="BE1784" s="6"/>
      <c r="BF1784" s="6"/>
      <c r="BG1784" s="6"/>
      <c r="BH1784" s="6"/>
      <c r="BI1784" s="6"/>
      <c r="BJ1784" s="6"/>
      <c r="BK1784" s="6"/>
      <c r="BL1784" s="6"/>
      <c r="BM1784" s="6"/>
      <c r="BN1784" s="6"/>
      <c r="BO1784" s="6"/>
      <c r="BP1784" s="6"/>
      <c r="BQ1784" s="6"/>
      <c r="BR1784" s="6"/>
      <c r="BS1784" s="6"/>
      <c r="BT1784" s="6"/>
      <c r="BU1784" s="6"/>
      <c r="BV1784" s="6"/>
      <c r="BW1784" s="6"/>
      <c r="BX1784" s="6"/>
      <c r="BY1784" s="6"/>
      <c r="BZ1784" s="6"/>
      <c r="CA1784" s="6"/>
      <c r="CB1784" s="6"/>
      <c r="CC1784" s="6"/>
    </row>
    <row r="1785" spans="2:81" x14ac:dyDescent="0.2">
      <c r="B1785" s="68"/>
      <c r="C1785" s="69"/>
      <c r="D1785" s="70"/>
      <c r="F1785" s="68"/>
      <c r="G1785" s="69"/>
      <c r="H1785" s="70"/>
      <c r="J1785" s="71"/>
      <c r="K1785" s="71"/>
      <c r="L1785" s="67"/>
      <c r="N1785" s="71"/>
      <c r="O1785" s="71"/>
      <c r="P1785" s="67"/>
      <c r="R1785" s="67"/>
      <c r="S1785" s="6"/>
      <c r="T1785" s="6"/>
      <c r="U1785" s="6"/>
      <c r="V1785" s="6"/>
      <c r="W1785" s="6"/>
      <c r="X1785" s="6"/>
      <c r="Y1785" s="6"/>
      <c r="Z1785" s="6"/>
      <c r="AA1785" s="6"/>
      <c r="AB1785" s="6"/>
      <c r="AC1785" s="6"/>
      <c r="AD1785" s="6"/>
      <c r="AE1785" s="6"/>
      <c r="AF1785" s="6"/>
      <c r="AG1785" s="6"/>
      <c r="AH1785" s="6"/>
      <c r="AI1785" s="6"/>
      <c r="AJ1785" s="6"/>
      <c r="AK1785" s="6"/>
      <c r="AL1785" s="6"/>
      <c r="AM1785" s="6"/>
      <c r="AN1785" s="6"/>
      <c r="AO1785" s="6"/>
      <c r="AP1785" s="6"/>
      <c r="AQ1785" s="6"/>
      <c r="AR1785" s="6"/>
      <c r="AS1785" s="6"/>
      <c r="AT1785" s="6"/>
      <c r="AU1785" s="6"/>
      <c r="AV1785" s="6"/>
      <c r="AW1785" s="6"/>
      <c r="AX1785" s="6"/>
      <c r="AY1785" s="6"/>
      <c r="AZ1785" s="6"/>
      <c r="BA1785" s="6"/>
      <c r="BB1785" s="6"/>
      <c r="BC1785" s="6"/>
      <c r="BD1785" s="6"/>
      <c r="BE1785" s="6"/>
      <c r="BF1785" s="6"/>
      <c r="BG1785" s="6"/>
      <c r="BH1785" s="6"/>
      <c r="BI1785" s="6"/>
      <c r="BJ1785" s="6"/>
      <c r="BK1785" s="6"/>
      <c r="BL1785" s="6"/>
      <c r="BM1785" s="6"/>
      <c r="BN1785" s="6"/>
      <c r="BO1785" s="6"/>
      <c r="BP1785" s="6"/>
      <c r="BQ1785" s="6"/>
      <c r="BR1785" s="6"/>
      <c r="BS1785" s="6"/>
      <c r="BT1785" s="6"/>
      <c r="BU1785" s="6"/>
      <c r="BV1785" s="6"/>
      <c r="BW1785" s="6"/>
      <c r="BX1785" s="6"/>
      <c r="BY1785" s="6"/>
      <c r="BZ1785" s="6"/>
      <c r="CA1785" s="6"/>
      <c r="CB1785" s="6"/>
      <c r="CC1785" s="6"/>
    </row>
    <row r="1786" spans="2:81" x14ac:dyDescent="0.2">
      <c r="B1786" s="68"/>
      <c r="C1786" s="69"/>
      <c r="D1786" s="70"/>
      <c r="F1786" s="68"/>
      <c r="G1786" s="69"/>
      <c r="H1786" s="70"/>
      <c r="J1786" s="71"/>
      <c r="K1786" s="71"/>
      <c r="L1786" s="67"/>
      <c r="N1786" s="71"/>
      <c r="O1786" s="71"/>
      <c r="P1786" s="67"/>
      <c r="R1786" s="67"/>
      <c r="S1786" s="6"/>
      <c r="T1786" s="6"/>
      <c r="U1786" s="6"/>
      <c r="V1786" s="6"/>
      <c r="W1786" s="6"/>
      <c r="X1786" s="6"/>
      <c r="Y1786" s="6"/>
      <c r="Z1786" s="6"/>
      <c r="AA1786" s="6"/>
      <c r="AB1786" s="6"/>
      <c r="AC1786" s="6"/>
      <c r="AD1786" s="6"/>
      <c r="AE1786" s="6"/>
      <c r="AF1786" s="6"/>
      <c r="AG1786" s="6"/>
      <c r="AH1786" s="6"/>
      <c r="AI1786" s="6"/>
      <c r="AJ1786" s="6"/>
      <c r="AK1786" s="6"/>
      <c r="AL1786" s="6"/>
      <c r="AM1786" s="6"/>
      <c r="AN1786" s="6"/>
      <c r="AO1786" s="6"/>
      <c r="AP1786" s="6"/>
      <c r="AQ1786" s="6"/>
      <c r="AR1786" s="6"/>
      <c r="AS1786" s="6"/>
      <c r="AT1786" s="6"/>
      <c r="AU1786" s="6"/>
      <c r="AV1786" s="6"/>
      <c r="AW1786" s="6"/>
      <c r="AX1786" s="6"/>
      <c r="AY1786" s="6"/>
      <c r="AZ1786" s="6"/>
      <c r="BA1786" s="6"/>
      <c r="BB1786" s="6"/>
      <c r="BC1786" s="6"/>
      <c r="BD1786" s="6"/>
      <c r="BE1786" s="6"/>
      <c r="BF1786" s="6"/>
      <c r="BG1786" s="6"/>
      <c r="BH1786" s="6"/>
      <c r="BI1786" s="6"/>
      <c r="BJ1786" s="6"/>
      <c r="BK1786" s="6"/>
      <c r="BL1786" s="6"/>
      <c r="BM1786" s="6"/>
      <c r="BN1786" s="6"/>
      <c r="BO1786" s="6"/>
      <c r="BP1786" s="6"/>
      <c r="BQ1786" s="6"/>
      <c r="BR1786" s="6"/>
      <c r="BS1786" s="6"/>
      <c r="BT1786" s="6"/>
      <c r="BU1786" s="6"/>
      <c r="BV1786" s="6"/>
      <c r="BW1786" s="6"/>
      <c r="BX1786" s="6"/>
      <c r="BY1786" s="6"/>
      <c r="BZ1786" s="6"/>
      <c r="CA1786" s="6"/>
      <c r="CB1786" s="6"/>
      <c r="CC1786" s="6"/>
    </row>
    <row r="1787" spans="2:81" x14ac:dyDescent="0.2">
      <c r="B1787" s="68"/>
      <c r="C1787" s="69"/>
      <c r="D1787" s="70"/>
      <c r="F1787" s="68"/>
      <c r="G1787" s="69"/>
      <c r="H1787" s="70"/>
      <c r="J1787" s="71"/>
      <c r="K1787" s="71"/>
      <c r="L1787" s="67"/>
      <c r="N1787" s="71"/>
      <c r="O1787" s="71"/>
      <c r="P1787" s="67"/>
      <c r="R1787" s="67"/>
      <c r="S1787" s="6"/>
      <c r="T1787" s="6"/>
      <c r="U1787" s="6"/>
      <c r="V1787" s="6"/>
      <c r="W1787" s="6"/>
      <c r="X1787" s="6"/>
      <c r="Y1787" s="6"/>
      <c r="Z1787" s="6"/>
      <c r="AA1787" s="6"/>
      <c r="AB1787" s="6"/>
      <c r="AC1787" s="6"/>
      <c r="AD1787" s="6"/>
      <c r="AE1787" s="6"/>
      <c r="AF1787" s="6"/>
      <c r="AG1787" s="6"/>
      <c r="AH1787" s="6"/>
      <c r="AI1787" s="6"/>
      <c r="AJ1787" s="6"/>
      <c r="AK1787" s="6"/>
      <c r="AL1787" s="6"/>
      <c r="AM1787" s="6"/>
      <c r="AN1787" s="6"/>
      <c r="AO1787" s="6"/>
      <c r="AP1787" s="6"/>
      <c r="AQ1787" s="6"/>
      <c r="AR1787" s="6"/>
      <c r="AS1787" s="6"/>
      <c r="AT1787" s="6"/>
      <c r="AU1787" s="6"/>
      <c r="AV1787" s="6"/>
      <c r="AW1787" s="6"/>
      <c r="AX1787" s="6"/>
      <c r="AY1787" s="6"/>
      <c r="AZ1787" s="6"/>
      <c r="BA1787" s="6"/>
      <c r="BB1787" s="6"/>
      <c r="BC1787" s="6"/>
      <c r="BD1787" s="6"/>
      <c r="BE1787" s="6"/>
      <c r="BF1787" s="6"/>
      <c r="BG1787" s="6"/>
      <c r="BH1787" s="6"/>
      <c r="BI1787" s="6"/>
      <c r="BJ1787" s="6"/>
      <c r="BK1787" s="6"/>
      <c r="BL1787" s="6"/>
      <c r="BM1787" s="6"/>
      <c r="BN1787" s="6"/>
      <c r="BO1787" s="6"/>
      <c r="BP1787" s="6"/>
      <c r="BQ1787" s="6"/>
      <c r="BR1787" s="6"/>
      <c r="BS1787" s="6"/>
      <c r="BT1787" s="6"/>
      <c r="BU1787" s="6"/>
      <c r="BV1787" s="6"/>
      <c r="BW1787" s="6"/>
      <c r="BX1787" s="6"/>
      <c r="BY1787" s="6"/>
      <c r="BZ1787" s="6"/>
      <c r="CA1787" s="6"/>
      <c r="CB1787" s="6"/>
      <c r="CC1787" s="6"/>
    </row>
    <row r="1788" spans="2:81" x14ac:dyDescent="0.2">
      <c r="B1788" s="68"/>
      <c r="C1788" s="69"/>
      <c r="D1788" s="70"/>
      <c r="F1788" s="68"/>
      <c r="G1788" s="69"/>
      <c r="H1788" s="70"/>
      <c r="J1788" s="71"/>
      <c r="K1788" s="71"/>
      <c r="L1788" s="67"/>
      <c r="N1788" s="71"/>
      <c r="O1788" s="71"/>
      <c r="P1788" s="67"/>
      <c r="R1788" s="67"/>
      <c r="S1788" s="6"/>
      <c r="T1788" s="6"/>
      <c r="U1788" s="6"/>
      <c r="V1788" s="6"/>
      <c r="W1788" s="6"/>
      <c r="X1788" s="6"/>
      <c r="Y1788" s="6"/>
      <c r="Z1788" s="6"/>
      <c r="AA1788" s="6"/>
      <c r="AB1788" s="6"/>
      <c r="AC1788" s="6"/>
      <c r="AD1788" s="6"/>
      <c r="AE1788" s="6"/>
      <c r="AF1788" s="6"/>
      <c r="AG1788" s="6"/>
      <c r="AH1788" s="6"/>
      <c r="AI1788" s="6"/>
      <c r="AJ1788" s="6"/>
      <c r="AK1788" s="6"/>
      <c r="AL1788" s="6"/>
      <c r="AM1788" s="6"/>
      <c r="AN1788" s="6"/>
      <c r="AO1788" s="6"/>
      <c r="AP1788" s="6"/>
      <c r="AQ1788" s="6"/>
      <c r="AR1788" s="6"/>
      <c r="AS1788" s="6"/>
      <c r="AT1788" s="6"/>
      <c r="AU1788" s="6"/>
      <c r="AV1788" s="6"/>
      <c r="AW1788" s="6"/>
      <c r="AX1788" s="6"/>
      <c r="AY1788" s="6"/>
      <c r="AZ1788" s="6"/>
      <c r="BA1788" s="6"/>
      <c r="BB1788" s="6"/>
      <c r="BC1788" s="6"/>
      <c r="BD1788" s="6"/>
      <c r="BE1788" s="6"/>
      <c r="BF1788" s="6"/>
      <c r="BG1788" s="6"/>
      <c r="BH1788" s="6"/>
      <c r="BI1788" s="6"/>
      <c r="BJ1788" s="6"/>
      <c r="BK1788" s="6"/>
      <c r="BL1788" s="6"/>
      <c r="BM1788" s="6"/>
      <c r="BN1788" s="6"/>
      <c r="BO1788" s="6"/>
      <c r="BP1788" s="6"/>
      <c r="BQ1788" s="6"/>
      <c r="BR1788" s="6"/>
      <c r="BS1788" s="6"/>
      <c r="BT1788" s="6"/>
      <c r="BU1788" s="6"/>
      <c r="BV1788" s="6"/>
      <c r="BW1788" s="6"/>
      <c r="BX1788" s="6"/>
      <c r="BY1788" s="6"/>
      <c r="BZ1788" s="6"/>
      <c r="CA1788" s="6"/>
      <c r="CB1788" s="6"/>
      <c r="CC1788" s="6"/>
    </row>
    <row r="1789" spans="2:81" x14ac:dyDescent="0.2">
      <c r="B1789" s="68"/>
      <c r="C1789" s="69"/>
      <c r="D1789" s="70"/>
      <c r="F1789" s="68"/>
      <c r="G1789" s="69"/>
      <c r="H1789" s="70"/>
      <c r="J1789" s="71"/>
      <c r="K1789" s="71"/>
      <c r="L1789" s="67"/>
      <c r="N1789" s="71"/>
      <c r="O1789" s="71"/>
      <c r="P1789" s="67"/>
      <c r="R1789" s="67"/>
      <c r="S1789" s="6"/>
      <c r="T1789" s="6"/>
      <c r="U1789" s="6"/>
      <c r="V1789" s="6"/>
      <c r="W1789" s="6"/>
      <c r="X1789" s="6"/>
      <c r="Y1789" s="6"/>
      <c r="Z1789" s="6"/>
      <c r="AA1789" s="6"/>
      <c r="AB1789" s="6"/>
      <c r="AC1789" s="6"/>
      <c r="AD1789" s="6"/>
      <c r="AE1789" s="6"/>
      <c r="AF1789" s="6"/>
      <c r="AG1789" s="6"/>
      <c r="AH1789" s="6"/>
      <c r="AI1789" s="6"/>
      <c r="AJ1789" s="6"/>
      <c r="AK1789" s="6"/>
      <c r="AL1789" s="6"/>
      <c r="AM1789" s="6"/>
      <c r="AN1789" s="6"/>
      <c r="AO1789" s="6"/>
      <c r="AP1789" s="6"/>
      <c r="AQ1789" s="6"/>
      <c r="AR1789" s="6"/>
      <c r="AS1789" s="6"/>
      <c r="AT1789" s="6"/>
      <c r="AU1789" s="6"/>
      <c r="AV1789" s="6"/>
      <c r="AW1789" s="6"/>
      <c r="AX1789" s="6"/>
      <c r="AY1789" s="6"/>
      <c r="AZ1789" s="6"/>
      <c r="BA1789" s="6"/>
      <c r="BB1789" s="6"/>
      <c r="BC1789" s="6"/>
      <c r="BD1789" s="6"/>
      <c r="BE1789" s="6"/>
      <c r="BF1789" s="6"/>
      <c r="BG1789" s="6"/>
      <c r="BH1789" s="6"/>
      <c r="BI1789" s="6"/>
      <c r="BJ1789" s="6"/>
      <c r="BK1789" s="6"/>
      <c r="BL1789" s="6"/>
      <c r="BM1789" s="6"/>
      <c r="BN1789" s="6"/>
      <c r="BO1789" s="6"/>
      <c r="BP1789" s="6"/>
      <c r="BQ1789" s="6"/>
      <c r="BR1789" s="6"/>
      <c r="BS1789" s="6"/>
      <c r="BT1789" s="6"/>
      <c r="BU1789" s="6"/>
      <c r="BV1789" s="6"/>
      <c r="BW1789" s="6"/>
      <c r="BX1789" s="6"/>
      <c r="BY1789" s="6"/>
      <c r="BZ1789" s="6"/>
      <c r="CA1789" s="6"/>
      <c r="CB1789" s="6"/>
      <c r="CC1789" s="6"/>
    </row>
    <row r="1790" spans="2:81" x14ac:dyDescent="0.2">
      <c r="B1790" s="68"/>
      <c r="C1790" s="69"/>
      <c r="D1790" s="70"/>
      <c r="F1790" s="68"/>
      <c r="G1790" s="69"/>
      <c r="H1790" s="70"/>
      <c r="J1790" s="71"/>
      <c r="K1790" s="71"/>
      <c r="L1790" s="67"/>
      <c r="N1790" s="71"/>
      <c r="O1790" s="71"/>
      <c r="P1790" s="67"/>
      <c r="R1790" s="67"/>
      <c r="S1790" s="6"/>
      <c r="T1790" s="6"/>
      <c r="U1790" s="6"/>
      <c r="V1790" s="6"/>
      <c r="W1790" s="6"/>
      <c r="X1790" s="6"/>
      <c r="Y1790" s="6"/>
      <c r="Z1790" s="6"/>
      <c r="AA1790" s="6"/>
      <c r="AB1790" s="6"/>
      <c r="AC1790" s="6"/>
      <c r="AD1790" s="6"/>
      <c r="AE1790" s="6"/>
      <c r="AF1790" s="6"/>
      <c r="AG1790" s="6"/>
      <c r="AH1790" s="6"/>
      <c r="AI1790" s="6"/>
      <c r="AJ1790" s="6"/>
      <c r="AK1790" s="6"/>
      <c r="AL1790" s="6"/>
      <c r="AM1790" s="6"/>
      <c r="AN1790" s="6"/>
      <c r="AO1790" s="6"/>
      <c r="AP1790" s="6"/>
      <c r="AQ1790" s="6"/>
      <c r="AR1790" s="6"/>
      <c r="AS1790" s="6"/>
      <c r="AT1790" s="6"/>
      <c r="AU1790" s="6"/>
      <c r="AV1790" s="6"/>
      <c r="AW1790" s="6"/>
      <c r="AX1790" s="6"/>
      <c r="AY1790" s="6"/>
      <c r="AZ1790" s="6"/>
      <c r="BA1790" s="6"/>
      <c r="BB1790" s="6"/>
      <c r="BC1790" s="6"/>
      <c r="BD1790" s="6"/>
      <c r="BE1790" s="6"/>
      <c r="BF1790" s="6"/>
      <c r="BG1790" s="6"/>
      <c r="BH1790" s="6"/>
      <c r="BI1790" s="6"/>
      <c r="BJ1790" s="6"/>
      <c r="BK1790" s="6"/>
      <c r="BL1790" s="6"/>
      <c r="BM1790" s="6"/>
      <c r="BN1790" s="6"/>
      <c r="BO1790" s="6"/>
      <c r="BP1790" s="6"/>
      <c r="BQ1790" s="6"/>
      <c r="BR1790" s="6"/>
      <c r="BS1790" s="6"/>
      <c r="BT1790" s="6"/>
      <c r="BU1790" s="6"/>
      <c r="BV1790" s="6"/>
      <c r="BW1790" s="6"/>
      <c r="BX1790" s="6"/>
      <c r="BY1790" s="6"/>
      <c r="BZ1790" s="6"/>
      <c r="CA1790" s="6"/>
      <c r="CB1790" s="6"/>
      <c r="CC1790" s="6"/>
    </row>
    <row r="1791" spans="2:81" x14ac:dyDescent="0.2">
      <c r="B1791" s="68"/>
      <c r="C1791" s="69"/>
      <c r="D1791" s="70"/>
      <c r="F1791" s="68"/>
      <c r="G1791" s="69"/>
      <c r="H1791" s="70"/>
      <c r="J1791" s="71"/>
      <c r="K1791" s="71"/>
      <c r="L1791" s="67"/>
      <c r="N1791" s="71"/>
      <c r="O1791" s="71"/>
      <c r="P1791" s="67"/>
      <c r="R1791" s="67"/>
      <c r="S1791" s="6"/>
      <c r="T1791" s="6"/>
      <c r="U1791" s="6"/>
      <c r="V1791" s="6"/>
      <c r="W1791" s="6"/>
      <c r="X1791" s="6"/>
      <c r="Y1791" s="6"/>
      <c r="Z1791" s="6"/>
      <c r="AA1791" s="6"/>
      <c r="AB1791" s="6"/>
      <c r="AC1791" s="6"/>
      <c r="AD1791" s="6"/>
      <c r="AE1791" s="6"/>
      <c r="AF1791" s="6"/>
      <c r="AG1791" s="6"/>
      <c r="AH1791" s="6"/>
      <c r="AI1791" s="6"/>
      <c r="AJ1791" s="6"/>
      <c r="AK1791" s="6"/>
      <c r="AL1791" s="6"/>
      <c r="AM1791" s="6"/>
      <c r="AN1791" s="6"/>
      <c r="AO1791" s="6"/>
      <c r="AP1791" s="6"/>
      <c r="AQ1791" s="6"/>
      <c r="AR1791" s="6"/>
      <c r="AS1791" s="6"/>
      <c r="AT1791" s="6"/>
      <c r="AU1791" s="6"/>
      <c r="AV1791" s="6"/>
      <c r="AW1791" s="6"/>
      <c r="AX1791" s="6"/>
      <c r="AY1791" s="6"/>
      <c r="AZ1791" s="6"/>
      <c r="BA1791" s="6"/>
      <c r="BB1791" s="6"/>
      <c r="BC1791" s="6"/>
      <c r="BD1791" s="6"/>
      <c r="BE1791" s="6"/>
      <c r="BF1791" s="6"/>
      <c r="BG1791" s="6"/>
      <c r="BH1791" s="6"/>
      <c r="BI1791" s="6"/>
      <c r="BJ1791" s="6"/>
      <c r="BK1791" s="6"/>
      <c r="BL1791" s="6"/>
      <c r="BM1791" s="6"/>
      <c r="BN1791" s="6"/>
      <c r="BO1791" s="6"/>
      <c r="BP1791" s="6"/>
      <c r="BQ1791" s="6"/>
      <c r="BR1791" s="6"/>
      <c r="BS1791" s="6"/>
      <c r="BT1791" s="6"/>
      <c r="BU1791" s="6"/>
      <c r="BV1791" s="6"/>
      <c r="BW1791" s="6"/>
      <c r="BX1791" s="6"/>
      <c r="BY1791" s="6"/>
      <c r="BZ1791" s="6"/>
      <c r="CA1791" s="6"/>
      <c r="CB1791" s="6"/>
      <c r="CC1791" s="6"/>
    </row>
    <row r="1792" spans="2:81" x14ac:dyDescent="0.2">
      <c r="B1792" s="68"/>
      <c r="C1792" s="69"/>
      <c r="D1792" s="70"/>
      <c r="F1792" s="68"/>
      <c r="G1792" s="69"/>
      <c r="H1792" s="70"/>
      <c r="J1792" s="71"/>
      <c r="K1792" s="71"/>
      <c r="L1792" s="67"/>
      <c r="N1792" s="71"/>
      <c r="O1792" s="71"/>
      <c r="P1792" s="67"/>
      <c r="R1792" s="67"/>
      <c r="S1792" s="6"/>
      <c r="T1792" s="6"/>
      <c r="U1792" s="6"/>
      <c r="V1792" s="6"/>
      <c r="W1792" s="6"/>
      <c r="X1792" s="6"/>
      <c r="Y1792" s="6"/>
      <c r="Z1792" s="6"/>
      <c r="AA1792" s="6"/>
      <c r="AB1792" s="6"/>
      <c r="AC1792" s="6"/>
      <c r="AD1792" s="6"/>
      <c r="AE1792" s="6"/>
      <c r="AF1792" s="6"/>
      <c r="AG1792" s="6"/>
      <c r="AH1792" s="6"/>
      <c r="AI1792" s="6"/>
      <c r="AJ1792" s="6"/>
      <c r="AK1792" s="6"/>
      <c r="AL1792" s="6"/>
      <c r="AM1792" s="6"/>
      <c r="AN1792" s="6"/>
      <c r="AO1792" s="6"/>
      <c r="AP1792" s="6"/>
      <c r="AQ1792" s="6"/>
      <c r="AR1792" s="6"/>
      <c r="AS1792" s="6"/>
      <c r="AT1792" s="6"/>
      <c r="AU1792" s="6"/>
      <c r="AV1792" s="6"/>
      <c r="AW1792" s="6"/>
      <c r="AX1792" s="6"/>
      <c r="AY1792" s="6"/>
      <c r="AZ1792" s="6"/>
      <c r="BA1792" s="6"/>
      <c r="BB1792" s="6"/>
      <c r="BC1792" s="6"/>
      <c r="BD1792" s="6"/>
      <c r="BE1792" s="6"/>
      <c r="BF1792" s="6"/>
      <c r="BG1792" s="6"/>
      <c r="BH1792" s="6"/>
      <c r="BI1792" s="6"/>
      <c r="BJ1792" s="6"/>
      <c r="BK1792" s="6"/>
      <c r="BL1792" s="6"/>
      <c r="BM1792" s="6"/>
      <c r="BN1792" s="6"/>
      <c r="BO1792" s="6"/>
      <c r="BP1792" s="6"/>
      <c r="BQ1792" s="6"/>
      <c r="BR1792" s="6"/>
      <c r="BS1792" s="6"/>
      <c r="BT1792" s="6"/>
      <c r="BU1792" s="6"/>
      <c r="BV1792" s="6"/>
      <c r="BW1792" s="6"/>
      <c r="BX1792" s="6"/>
      <c r="BY1792" s="6"/>
      <c r="BZ1792" s="6"/>
      <c r="CA1792" s="6"/>
      <c r="CB1792" s="6"/>
      <c r="CC1792" s="6"/>
    </row>
    <row r="1793" spans="2:81" x14ac:dyDescent="0.2">
      <c r="B1793" s="68"/>
      <c r="C1793" s="69"/>
      <c r="D1793" s="70"/>
      <c r="F1793" s="68"/>
      <c r="G1793" s="69"/>
      <c r="H1793" s="70"/>
      <c r="J1793" s="71"/>
      <c r="K1793" s="71"/>
      <c r="L1793" s="67"/>
      <c r="N1793" s="71"/>
      <c r="O1793" s="71"/>
      <c r="P1793" s="67"/>
      <c r="R1793" s="67"/>
      <c r="S1793" s="6"/>
      <c r="T1793" s="6"/>
      <c r="U1793" s="6"/>
      <c r="V1793" s="6"/>
      <c r="W1793" s="6"/>
      <c r="X1793" s="6"/>
      <c r="Y1793" s="6"/>
      <c r="Z1793" s="6"/>
      <c r="AA1793" s="6"/>
      <c r="AB1793" s="6"/>
      <c r="AC1793" s="6"/>
      <c r="AD1793" s="6"/>
      <c r="AE1793" s="6"/>
      <c r="AF1793" s="6"/>
      <c r="AG1793" s="6"/>
      <c r="AH1793" s="6"/>
      <c r="AI1793" s="6"/>
      <c r="AJ1793" s="6"/>
      <c r="AK1793" s="6"/>
      <c r="AL1793" s="6"/>
      <c r="AM1793" s="6"/>
      <c r="AN1793" s="6"/>
      <c r="AO1793" s="6"/>
      <c r="AP1793" s="6"/>
      <c r="AQ1793" s="6"/>
      <c r="AR1793" s="6"/>
      <c r="AS1793" s="6"/>
      <c r="AT1793" s="6"/>
      <c r="AU1793" s="6"/>
      <c r="AV1793" s="6"/>
      <c r="AW1793" s="6"/>
      <c r="AX1793" s="6"/>
      <c r="AY1793" s="6"/>
      <c r="AZ1793" s="6"/>
      <c r="BA1793" s="6"/>
      <c r="BB1793" s="6"/>
      <c r="BC1793" s="6"/>
      <c r="BD1793" s="6"/>
      <c r="BE1793" s="6"/>
      <c r="BF1793" s="6"/>
      <c r="BG1793" s="6"/>
      <c r="BH1793" s="6"/>
      <c r="BI1793" s="6"/>
      <c r="BJ1793" s="6"/>
      <c r="BK1793" s="6"/>
      <c r="BL1793" s="6"/>
      <c r="BM1793" s="6"/>
      <c r="BN1793" s="6"/>
      <c r="BO1793" s="6"/>
      <c r="BP1793" s="6"/>
      <c r="BQ1793" s="6"/>
      <c r="BR1793" s="6"/>
      <c r="BS1793" s="6"/>
      <c r="BT1793" s="6"/>
      <c r="BU1793" s="6"/>
      <c r="BV1793" s="6"/>
      <c r="BW1793" s="6"/>
      <c r="BX1793" s="6"/>
      <c r="BY1793" s="6"/>
      <c r="BZ1793" s="6"/>
      <c r="CA1793" s="6"/>
      <c r="CB1793" s="6"/>
      <c r="CC1793" s="6"/>
    </row>
    <row r="1794" spans="2:81" x14ac:dyDescent="0.2">
      <c r="B1794" s="68"/>
      <c r="C1794" s="69"/>
      <c r="D1794" s="70"/>
      <c r="F1794" s="68"/>
      <c r="G1794" s="69"/>
      <c r="H1794" s="70"/>
      <c r="J1794" s="71"/>
      <c r="K1794" s="71"/>
      <c r="L1794" s="67"/>
      <c r="N1794" s="71"/>
      <c r="O1794" s="71"/>
      <c r="P1794" s="67"/>
      <c r="R1794" s="67"/>
      <c r="S1794" s="6"/>
      <c r="T1794" s="6"/>
      <c r="U1794" s="6"/>
      <c r="V1794" s="6"/>
      <c r="W1794" s="6"/>
      <c r="X1794" s="6"/>
      <c r="Y1794" s="6"/>
      <c r="Z1794" s="6"/>
      <c r="AA1794" s="6"/>
      <c r="AB1794" s="6"/>
      <c r="AC1794" s="6"/>
      <c r="AD1794" s="6"/>
      <c r="AE1794" s="6"/>
      <c r="AF1794" s="6"/>
      <c r="AG1794" s="6"/>
      <c r="AH1794" s="6"/>
      <c r="AI1794" s="6"/>
      <c r="AJ1794" s="6"/>
      <c r="AK1794" s="6"/>
      <c r="AL1794" s="6"/>
      <c r="AM1794" s="6"/>
      <c r="AN1794" s="6"/>
      <c r="AO1794" s="6"/>
      <c r="AP1794" s="6"/>
      <c r="AQ1794" s="6"/>
      <c r="AR1794" s="6"/>
      <c r="AS1794" s="6"/>
      <c r="AT1794" s="6"/>
      <c r="AU1794" s="6"/>
      <c r="AV1794" s="6"/>
      <c r="AW1794" s="6"/>
      <c r="AX1794" s="6"/>
      <c r="AY1794" s="6"/>
      <c r="AZ1794" s="6"/>
      <c r="BA1794" s="6"/>
      <c r="BB1794" s="6"/>
      <c r="BC1794" s="6"/>
      <c r="BD1794" s="6"/>
      <c r="BE1794" s="6"/>
      <c r="BF1794" s="6"/>
      <c r="BG1794" s="6"/>
      <c r="BH1794" s="6"/>
      <c r="BI1794" s="6"/>
      <c r="BJ1794" s="6"/>
      <c r="BK1794" s="6"/>
      <c r="BL1794" s="6"/>
      <c r="BM1794" s="6"/>
      <c r="BN1794" s="6"/>
      <c r="BO1794" s="6"/>
      <c r="BP1794" s="6"/>
      <c r="BQ1794" s="6"/>
      <c r="BR1794" s="6"/>
      <c r="BS1794" s="6"/>
      <c r="BT1794" s="6"/>
      <c r="BU1794" s="6"/>
      <c r="BV1794" s="6"/>
      <c r="BW1794" s="6"/>
      <c r="BX1794" s="6"/>
      <c r="BY1794" s="6"/>
      <c r="BZ1794" s="6"/>
      <c r="CA1794" s="6"/>
      <c r="CB1794" s="6"/>
      <c r="CC1794" s="6"/>
    </row>
    <row r="1795" spans="2:81" x14ac:dyDescent="0.2">
      <c r="B1795" s="68"/>
      <c r="C1795" s="69"/>
      <c r="D1795" s="70"/>
      <c r="F1795" s="68"/>
      <c r="G1795" s="69"/>
      <c r="H1795" s="70"/>
      <c r="J1795" s="71"/>
      <c r="K1795" s="71"/>
      <c r="L1795" s="67"/>
      <c r="N1795" s="71"/>
      <c r="O1795" s="71"/>
      <c r="P1795" s="67"/>
      <c r="R1795" s="67"/>
      <c r="S1795" s="6"/>
      <c r="T1795" s="6"/>
      <c r="U1795" s="6"/>
      <c r="V1795" s="6"/>
      <c r="W1795" s="6"/>
      <c r="X1795" s="6"/>
      <c r="Y1795" s="6"/>
      <c r="Z1795" s="6"/>
      <c r="AA1795" s="6"/>
      <c r="AB1795" s="6"/>
      <c r="AC1795" s="6"/>
      <c r="AD1795" s="6"/>
      <c r="AE1795" s="6"/>
      <c r="AF1795" s="6"/>
      <c r="AG1795" s="6"/>
      <c r="AH1795" s="6"/>
      <c r="AI1795" s="6"/>
      <c r="AJ1795" s="6"/>
      <c r="AK1795" s="6"/>
      <c r="AL1795" s="6"/>
      <c r="AM1795" s="6"/>
      <c r="AN1795" s="6"/>
      <c r="AO1795" s="6"/>
      <c r="AP1795" s="6"/>
      <c r="AQ1795" s="6"/>
      <c r="AR1795" s="6"/>
      <c r="AS1795" s="6"/>
      <c r="AT1795" s="6"/>
      <c r="AU1795" s="6"/>
      <c r="AV1795" s="6"/>
      <c r="AW1795" s="6"/>
      <c r="AX1795" s="6"/>
      <c r="AY1795" s="6"/>
      <c r="AZ1795" s="6"/>
      <c r="BA1795" s="6"/>
      <c r="BB1795" s="6"/>
      <c r="BC1795" s="6"/>
      <c r="BD1795" s="6"/>
      <c r="BE1795" s="6"/>
      <c r="BF1795" s="6"/>
      <c r="BG1795" s="6"/>
      <c r="BH1795" s="6"/>
      <c r="BI1795" s="6"/>
      <c r="BJ1795" s="6"/>
      <c r="BK1795" s="6"/>
      <c r="BL1795" s="6"/>
      <c r="BM1795" s="6"/>
      <c r="BN1795" s="6"/>
      <c r="BO1795" s="6"/>
      <c r="BP1795" s="6"/>
      <c r="BQ1795" s="6"/>
      <c r="BR1795" s="6"/>
      <c r="BS1795" s="6"/>
      <c r="BT1795" s="6"/>
      <c r="BU1795" s="6"/>
      <c r="BV1795" s="6"/>
      <c r="BW1795" s="6"/>
      <c r="BX1795" s="6"/>
      <c r="BY1795" s="6"/>
      <c r="BZ1795" s="6"/>
      <c r="CA1795" s="6"/>
      <c r="CB1795" s="6"/>
      <c r="CC1795" s="6"/>
    </row>
    <row r="1796" spans="2:81" x14ac:dyDescent="0.2">
      <c r="B1796" s="68"/>
      <c r="C1796" s="69"/>
      <c r="D1796" s="70"/>
      <c r="F1796" s="68"/>
      <c r="G1796" s="69"/>
      <c r="H1796" s="70"/>
      <c r="J1796" s="71"/>
      <c r="K1796" s="71"/>
      <c r="L1796" s="67"/>
      <c r="N1796" s="71"/>
      <c r="O1796" s="71"/>
      <c r="P1796" s="67"/>
      <c r="R1796" s="67"/>
      <c r="S1796" s="6"/>
      <c r="T1796" s="6"/>
      <c r="U1796" s="6"/>
      <c r="V1796" s="6"/>
      <c r="W1796" s="6"/>
      <c r="X1796" s="6"/>
      <c r="Y1796" s="6"/>
      <c r="Z1796" s="6"/>
      <c r="AA1796" s="6"/>
      <c r="AB1796" s="6"/>
      <c r="AC1796" s="6"/>
      <c r="AD1796" s="6"/>
      <c r="AE1796" s="6"/>
      <c r="AF1796" s="6"/>
      <c r="AG1796" s="6"/>
      <c r="AH1796" s="6"/>
      <c r="AI1796" s="6"/>
      <c r="AJ1796" s="6"/>
      <c r="AK1796" s="6"/>
      <c r="AL1796" s="6"/>
      <c r="AM1796" s="6"/>
      <c r="AN1796" s="6"/>
      <c r="AO1796" s="6"/>
      <c r="AP1796" s="6"/>
      <c r="AQ1796" s="6"/>
      <c r="AR1796" s="6"/>
      <c r="AS1796" s="6"/>
      <c r="AT1796" s="6"/>
      <c r="AU1796" s="6"/>
      <c r="AV1796" s="6"/>
      <c r="AW1796" s="6"/>
      <c r="AX1796" s="6"/>
      <c r="AY1796" s="6"/>
      <c r="AZ1796" s="6"/>
      <c r="BA1796" s="6"/>
      <c r="BB1796" s="6"/>
      <c r="BC1796" s="6"/>
      <c r="BD1796" s="6"/>
      <c r="BE1796" s="6"/>
      <c r="BF1796" s="6"/>
      <c r="BG1796" s="6"/>
      <c r="BH1796" s="6"/>
      <c r="BI1796" s="6"/>
      <c r="BJ1796" s="6"/>
      <c r="BK1796" s="6"/>
      <c r="BL1796" s="6"/>
      <c r="BM1796" s="6"/>
      <c r="BN1796" s="6"/>
      <c r="BO1796" s="6"/>
      <c r="BP1796" s="6"/>
      <c r="BQ1796" s="6"/>
      <c r="BR1796" s="6"/>
      <c r="BS1796" s="6"/>
      <c r="BT1796" s="6"/>
      <c r="BU1796" s="6"/>
      <c r="BV1796" s="6"/>
      <c r="BW1796" s="6"/>
      <c r="BX1796" s="6"/>
      <c r="BY1796" s="6"/>
      <c r="BZ1796" s="6"/>
      <c r="CA1796" s="6"/>
      <c r="CB1796" s="6"/>
      <c r="CC1796" s="6"/>
    </row>
    <row r="1797" spans="2:81" x14ac:dyDescent="0.2">
      <c r="B1797" s="68"/>
      <c r="C1797" s="69"/>
      <c r="D1797" s="70"/>
      <c r="F1797" s="68"/>
      <c r="G1797" s="69"/>
      <c r="H1797" s="70"/>
      <c r="J1797" s="71"/>
      <c r="K1797" s="71"/>
      <c r="L1797" s="67"/>
      <c r="N1797" s="71"/>
      <c r="O1797" s="71"/>
      <c r="P1797" s="67"/>
      <c r="R1797" s="67"/>
      <c r="S1797" s="6"/>
      <c r="T1797" s="6"/>
      <c r="U1797" s="6"/>
      <c r="V1797" s="6"/>
      <c r="W1797" s="6"/>
      <c r="X1797" s="6"/>
      <c r="Y1797" s="6"/>
      <c r="Z1797" s="6"/>
      <c r="AA1797" s="6"/>
      <c r="AB1797" s="6"/>
      <c r="AC1797" s="6"/>
      <c r="AD1797" s="6"/>
      <c r="AE1797" s="6"/>
      <c r="AF1797" s="6"/>
      <c r="AG1797" s="6"/>
      <c r="AH1797" s="6"/>
      <c r="AI1797" s="6"/>
      <c r="AJ1797" s="6"/>
      <c r="AK1797" s="6"/>
      <c r="AL1797" s="6"/>
      <c r="AM1797" s="6"/>
      <c r="AN1797" s="6"/>
      <c r="AO1797" s="6"/>
      <c r="AP1797" s="6"/>
      <c r="AQ1797" s="6"/>
      <c r="AR1797" s="6"/>
      <c r="AS1797" s="6"/>
      <c r="AT1797" s="6"/>
      <c r="AU1797" s="6"/>
      <c r="AV1797" s="6"/>
      <c r="AW1797" s="6"/>
      <c r="AX1797" s="6"/>
      <c r="AY1797" s="6"/>
      <c r="AZ1797" s="6"/>
      <c r="BA1797" s="6"/>
      <c r="BB1797" s="6"/>
      <c r="BC1797" s="6"/>
      <c r="BD1797" s="6"/>
      <c r="BE1797" s="6"/>
      <c r="BF1797" s="6"/>
      <c r="BG1797" s="6"/>
      <c r="BH1797" s="6"/>
      <c r="BI1797" s="6"/>
      <c r="BJ1797" s="6"/>
      <c r="BK1797" s="6"/>
      <c r="BL1797" s="6"/>
      <c r="BM1797" s="6"/>
      <c r="BN1797" s="6"/>
      <c r="BO1797" s="6"/>
      <c r="BP1797" s="6"/>
      <c r="BQ1797" s="6"/>
      <c r="BR1797" s="6"/>
      <c r="BS1797" s="6"/>
      <c r="BT1797" s="6"/>
      <c r="BU1797" s="6"/>
      <c r="BV1797" s="6"/>
      <c r="BW1797" s="6"/>
      <c r="BX1797" s="6"/>
      <c r="BY1797" s="6"/>
      <c r="BZ1797" s="6"/>
      <c r="CA1797" s="6"/>
      <c r="CB1797" s="6"/>
      <c r="CC1797" s="6"/>
    </row>
    <row r="1798" spans="2:81" x14ac:dyDescent="0.2">
      <c r="B1798" s="68"/>
      <c r="C1798" s="69"/>
      <c r="D1798" s="70"/>
      <c r="F1798" s="68"/>
      <c r="G1798" s="69"/>
      <c r="H1798" s="70"/>
      <c r="J1798" s="71"/>
      <c r="K1798" s="71"/>
      <c r="L1798" s="67"/>
      <c r="N1798" s="71"/>
      <c r="O1798" s="71"/>
      <c r="P1798" s="67"/>
      <c r="R1798" s="67"/>
      <c r="S1798" s="6"/>
      <c r="T1798" s="6"/>
      <c r="U1798" s="6"/>
      <c r="V1798" s="6"/>
      <c r="W1798" s="6"/>
      <c r="X1798" s="6"/>
      <c r="Y1798" s="6"/>
      <c r="Z1798" s="6"/>
      <c r="AA1798" s="6"/>
      <c r="AB1798" s="6"/>
      <c r="AC1798" s="6"/>
      <c r="AD1798" s="6"/>
      <c r="AE1798" s="6"/>
      <c r="AF1798" s="6"/>
      <c r="AG1798" s="6"/>
      <c r="AH1798" s="6"/>
      <c r="AI1798" s="6"/>
      <c r="AJ1798" s="6"/>
      <c r="AK1798" s="6"/>
      <c r="AL1798" s="6"/>
      <c r="AM1798" s="6"/>
      <c r="AN1798" s="6"/>
      <c r="AO1798" s="6"/>
      <c r="AP1798" s="6"/>
      <c r="AQ1798" s="6"/>
      <c r="AR1798" s="6"/>
      <c r="AS1798" s="6"/>
      <c r="AT1798" s="6"/>
      <c r="AU1798" s="6"/>
      <c r="AV1798" s="6"/>
      <c r="AW1798" s="6"/>
      <c r="AX1798" s="6"/>
      <c r="AY1798" s="6"/>
      <c r="AZ1798" s="6"/>
      <c r="BA1798" s="6"/>
      <c r="BB1798" s="6"/>
      <c r="BC1798" s="6"/>
      <c r="BD1798" s="6"/>
      <c r="BE1798" s="6"/>
      <c r="BF1798" s="6"/>
      <c r="BG1798" s="6"/>
      <c r="BH1798" s="6"/>
      <c r="BI1798" s="6"/>
      <c r="BJ1798" s="6"/>
      <c r="BK1798" s="6"/>
      <c r="BL1798" s="6"/>
      <c r="BM1798" s="6"/>
      <c r="BN1798" s="6"/>
      <c r="BO1798" s="6"/>
      <c r="BP1798" s="6"/>
      <c r="BQ1798" s="6"/>
      <c r="BR1798" s="6"/>
      <c r="BS1798" s="6"/>
      <c r="BT1798" s="6"/>
      <c r="BU1798" s="6"/>
      <c r="BV1798" s="6"/>
      <c r="BW1798" s="6"/>
      <c r="BX1798" s="6"/>
      <c r="BY1798" s="6"/>
      <c r="BZ1798" s="6"/>
      <c r="CA1798" s="6"/>
      <c r="CB1798" s="6"/>
      <c r="CC1798" s="6"/>
    </row>
    <row r="1799" spans="2:81" x14ac:dyDescent="0.2">
      <c r="B1799" s="68"/>
      <c r="C1799" s="69"/>
      <c r="D1799" s="70"/>
      <c r="F1799" s="68"/>
      <c r="G1799" s="69"/>
      <c r="H1799" s="70"/>
      <c r="J1799" s="71"/>
      <c r="K1799" s="71"/>
      <c r="L1799" s="67"/>
      <c r="N1799" s="71"/>
      <c r="O1799" s="71"/>
      <c r="P1799" s="67"/>
      <c r="R1799" s="67"/>
      <c r="S1799" s="6"/>
      <c r="T1799" s="6"/>
      <c r="U1799" s="6"/>
      <c r="V1799" s="6"/>
      <c r="W1799" s="6"/>
      <c r="X1799" s="6"/>
      <c r="Y1799" s="6"/>
      <c r="Z1799" s="6"/>
      <c r="AA1799" s="6"/>
      <c r="AB1799" s="6"/>
      <c r="AC1799" s="6"/>
      <c r="AD1799" s="6"/>
      <c r="AE1799" s="6"/>
      <c r="AF1799" s="6"/>
      <c r="AG1799" s="6"/>
      <c r="AH1799" s="6"/>
      <c r="AI1799" s="6"/>
      <c r="AJ1799" s="6"/>
      <c r="AK1799" s="6"/>
      <c r="AL1799" s="6"/>
      <c r="AM1799" s="6"/>
      <c r="AN1799" s="6"/>
      <c r="AO1799" s="6"/>
      <c r="AP1799" s="6"/>
      <c r="AQ1799" s="6"/>
      <c r="AR1799" s="6"/>
      <c r="AS1799" s="6"/>
      <c r="AT1799" s="6"/>
      <c r="AU1799" s="6"/>
      <c r="AV1799" s="6"/>
      <c r="AW1799" s="6"/>
      <c r="AX1799" s="6"/>
      <c r="AY1799" s="6"/>
      <c r="AZ1799" s="6"/>
      <c r="BA1799" s="6"/>
      <c r="BB1799" s="6"/>
      <c r="BC1799" s="6"/>
      <c r="BD1799" s="6"/>
      <c r="BE1799" s="6"/>
      <c r="BF1799" s="6"/>
      <c r="BG1799" s="6"/>
      <c r="BH1799" s="6"/>
      <c r="BI1799" s="6"/>
      <c r="BJ1799" s="6"/>
      <c r="BK1799" s="6"/>
      <c r="BL1799" s="6"/>
      <c r="BM1799" s="6"/>
      <c r="BN1799" s="6"/>
      <c r="BO1799" s="6"/>
      <c r="BP1799" s="6"/>
      <c r="BQ1799" s="6"/>
      <c r="BR1799" s="6"/>
      <c r="BS1799" s="6"/>
      <c r="BT1799" s="6"/>
      <c r="BU1799" s="6"/>
      <c r="BV1799" s="6"/>
      <c r="BW1799" s="6"/>
      <c r="BX1799" s="6"/>
      <c r="BY1799" s="6"/>
      <c r="BZ1799" s="6"/>
      <c r="CA1799" s="6"/>
      <c r="CB1799" s="6"/>
      <c r="CC1799" s="6"/>
    </row>
    <row r="1800" spans="2:81" x14ac:dyDescent="0.2">
      <c r="B1800" s="68"/>
      <c r="C1800" s="69"/>
      <c r="D1800" s="70"/>
      <c r="F1800" s="68"/>
      <c r="G1800" s="69"/>
      <c r="H1800" s="70"/>
      <c r="J1800" s="71"/>
      <c r="K1800" s="71"/>
      <c r="L1800" s="67"/>
      <c r="N1800" s="71"/>
      <c r="O1800" s="71"/>
      <c r="P1800" s="67"/>
      <c r="R1800" s="67"/>
      <c r="S1800" s="6"/>
      <c r="T1800" s="6"/>
      <c r="U1800" s="6"/>
      <c r="V1800" s="6"/>
      <c r="W1800" s="6"/>
      <c r="X1800" s="6"/>
      <c r="Y1800" s="6"/>
      <c r="Z1800" s="6"/>
      <c r="AA1800" s="6"/>
      <c r="AB1800" s="6"/>
      <c r="AC1800" s="6"/>
      <c r="AD1800" s="6"/>
      <c r="AE1800" s="6"/>
      <c r="AF1800" s="6"/>
      <c r="AG1800" s="6"/>
      <c r="AH1800" s="6"/>
      <c r="AI1800" s="6"/>
      <c r="AJ1800" s="6"/>
      <c r="AK1800" s="6"/>
      <c r="AL1800" s="6"/>
      <c r="AM1800" s="6"/>
      <c r="AN1800" s="6"/>
      <c r="AO1800" s="6"/>
      <c r="AP1800" s="6"/>
      <c r="AQ1800" s="6"/>
      <c r="AR1800" s="6"/>
      <c r="AS1800" s="6"/>
      <c r="AT1800" s="6"/>
      <c r="AU1800" s="6"/>
      <c r="AV1800" s="6"/>
      <c r="AW1800" s="6"/>
      <c r="AX1800" s="6"/>
      <c r="AY1800" s="6"/>
      <c r="AZ1800" s="6"/>
      <c r="BA1800" s="6"/>
      <c r="BB1800" s="6"/>
      <c r="BC1800" s="6"/>
      <c r="BD1800" s="6"/>
      <c r="BE1800" s="6"/>
      <c r="BF1800" s="6"/>
      <c r="BG1800" s="6"/>
      <c r="BH1800" s="6"/>
      <c r="BI1800" s="6"/>
      <c r="BJ1800" s="6"/>
      <c r="BK1800" s="6"/>
      <c r="BL1800" s="6"/>
      <c r="BM1800" s="6"/>
      <c r="BN1800" s="6"/>
      <c r="BO1800" s="6"/>
      <c r="BP1800" s="6"/>
      <c r="BQ1800" s="6"/>
      <c r="BR1800" s="6"/>
      <c r="BS1800" s="6"/>
      <c r="BT1800" s="6"/>
      <c r="BU1800" s="6"/>
      <c r="BV1800" s="6"/>
      <c r="BW1800" s="6"/>
      <c r="BX1800" s="6"/>
      <c r="BY1800" s="6"/>
      <c r="BZ1800" s="6"/>
      <c r="CA1800" s="6"/>
      <c r="CB1800" s="6"/>
      <c r="CC1800" s="6"/>
    </row>
    <row r="1801" spans="2:81" x14ac:dyDescent="0.2">
      <c r="B1801" s="68"/>
      <c r="C1801" s="69"/>
      <c r="D1801" s="70"/>
      <c r="F1801" s="68"/>
      <c r="G1801" s="69"/>
      <c r="H1801" s="70"/>
      <c r="J1801" s="71"/>
      <c r="K1801" s="71"/>
      <c r="L1801" s="67"/>
      <c r="N1801" s="71"/>
      <c r="O1801" s="71"/>
      <c r="P1801" s="67"/>
      <c r="R1801" s="67"/>
      <c r="S1801" s="6"/>
      <c r="T1801" s="6"/>
      <c r="U1801" s="6"/>
      <c r="V1801" s="6"/>
      <c r="W1801" s="6"/>
      <c r="X1801" s="6"/>
      <c r="Y1801" s="6"/>
      <c r="Z1801" s="6"/>
      <c r="AA1801" s="6"/>
      <c r="AB1801" s="6"/>
      <c r="AC1801" s="6"/>
      <c r="AD1801" s="6"/>
      <c r="AE1801" s="6"/>
      <c r="AF1801" s="6"/>
      <c r="AG1801" s="6"/>
      <c r="AH1801" s="6"/>
      <c r="AI1801" s="6"/>
      <c r="AJ1801" s="6"/>
      <c r="AK1801" s="6"/>
      <c r="AL1801" s="6"/>
      <c r="AM1801" s="6"/>
      <c r="AN1801" s="6"/>
      <c r="AO1801" s="6"/>
      <c r="AP1801" s="6"/>
      <c r="AQ1801" s="6"/>
      <c r="AR1801" s="6"/>
      <c r="AS1801" s="6"/>
      <c r="AT1801" s="6"/>
      <c r="AU1801" s="6"/>
      <c r="AV1801" s="6"/>
      <c r="AW1801" s="6"/>
      <c r="AX1801" s="6"/>
      <c r="AY1801" s="6"/>
      <c r="AZ1801" s="6"/>
      <c r="BA1801" s="6"/>
      <c r="BB1801" s="6"/>
      <c r="BC1801" s="6"/>
      <c r="BD1801" s="6"/>
      <c r="BE1801" s="6"/>
      <c r="BF1801" s="6"/>
      <c r="BG1801" s="6"/>
      <c r="BH1801" s="6"/>
      <c r="BI1801" s="6"/>
      <c r="BJ1801" s="6"/>
      <c r="BK1801" s="6"/>
      <c r="BL1801" s="6"/>
      <c r="BM1801" s="6"/>
      <c r="BN1801" s="6"/>
      <c r="BO1801" s="6"/>
      <c r="BP1801" s="6"/>
      <c r="BQ1801" s="6"/>
      <c r="BR1801" s="6"/>
      <c r="BS1801" s="6"/>
      <c r="BT1801" s="6"/>
      <c r="BU1801" s="6"/>
      <c r="BV1801" s="6"/>
      <c r="BW1801" s="6"/>
      <c r="BX1801" s="6"/>
      <c r="BY1801" s="6"/>
      <c r="BZ1801" s="6"/>
      <c r="CA1801" s="6"/>
      <c r="CB1801" s="6"/>
      <c r="CC1801" s="6"/>
    </row>
    <row r="1802" spans="2:81" x14ac:dyDescent="0.2">
      <c r="B1802" s="68"/>
      <c r="C1802" s="69"/>
      <c r="D1802" s="70"/>
      <c r="F1802" s="68"/>
      <c r="G1802" s="69"/>
      <c r="H1802" s="70"/>
      <c r="J1802" s="71"/>
      <c r="K1802" s="71"/>
      <c r="L1802" s="67"/>
      <c r="N1802" s="71"/>
      <c r="O1802" s="71"/>
      <c r="P1802" s="67"/>
      <c r="R1802" s="67"/>
      <c r="S1802" s="6"/>
      <c r="T1802" s="6"/>
      <c r="U1802" s="6"/>
      <c r="V1802" s="6"/>
      <c r="W1802" s="6"/>
      <c r="X1802" s="6"/>
      <c r="Y1802" s="6"/>
      <c r="Z1802" s="6"/>
      <c r="AA1802" s="6"/>
      <c r="AB1802" s="6"/>
      <c r="AC1802" s="6"/>
      <c r="AD1802" s="6"/>
      <c r="AE1802" s="6"/>
      <c r="AF1802" s="6"/>
      <c r="AG1802" s="6"/>
      <c r="AH1802" s="6"/>
      <c r="AI1802" s="6"/>
      <c r="AJ1802" s="6"/>
      <c r="AK1802" s="6"/>
      <c r="AL1802" s="6"/>
      <c r="AM1802" s="6"/>
      <c r="AN1802" s="6"/>
      <c r="AO1802" s="6"/>
      <c r="AP1802" s="6"/>
      <c r="AQ1802" s="6"/>
      <c r="AR1802" s="6"/>
      <c r="AS1802" s="6"/>
      <c r="AT1802" s="6"/>
      <c r="AU1802" s="6"/>
      <c r="AV1802" s="6"/>
      <c r="AW1802" s="6"/>
      <c r="AX1802" s="6"/>
      <c r="AY1802" s="6"/>
      <c r="AZ1802" s="6"/>
      <c r="BA1802" s="6"/>
      <c r="BB1802" s="6"/>
      <c r="BC1802" s="6"/>
      <c r="BD1802" s="6"/>
      <c r="BE1802" s="6"/>
      <c r="BF1802" s="6"/>
      <c r="BG1802" s="6"/>
      <c r="BH1802" s="6"/>
      <c r="BI1802" s="6"/>
      <c r="BJ1802" s="6"/>
      <c r="BK1802" s="6"/>
      <c r="BL1802" s="6"/>
      <c r="BM1802" s="6"/>
      <c r="BN1802" s="6"/>
      <c r="BO1802" s="6"/>
      <c r="BP1802" s="6"/>
      <c r="BQ1802" s="6"/>
      <c r="BR1802" s="6"/>
      <c r="BS1802" s="6"/>
      <c r="BT1802" s="6"/>
      <c r="BU1802" s="6"/>
      <c r="BV1802" s="6"/>
      <c r="BW1802" s="6"/>
      <c r="BX1802" s="6"/>
      <c r="BY1802" s="6"/>
      <c r="BZ1802" s="6"/>
      <c r="CA1802" s="6"/>
      <c r="CB1802" s="6"/>
      <c r="CC1802" s="6"/>
    </row>
    <row r="1803" spans="2:81" x14ac:dyDescent="0.2">
      <c r="B1803" s="68"/>
      <c r="C1803" s="69"/>
      <c r="D1803" s="70"/>
      <c r="F1803" s="68"/>
      <c r="G1803" s="69"/>
      <c r="H1803" s="70"/>
      <c r="J1803" s="71"/>
      <c r="K1803" s="71"/>
      <c r="L1803" s="67"/>
      <c r="N1803" s="71"/>
      <c r="O1803" s="71"/>
      <c r="P1803" s="67"/>
      <c r="R1803" s="67"/>
      <c r="S1803" s="6"/>
      <c r="T1803" s="6"/>
      <c r="U1803" s="6"/>
      <c r="V1803" s="6"/>
      <c r="W1803" s="6"/>
      <c r="X1803" s="6"/>
      <c r="Y1803" s="6"/>
      <c r="Z1803" s="6"/>
      <c r="AA1803" s="6"/>
      <c r="AB1803" s="6"/>
      <c r="AC1803" s="6"/>
      <c r="AD1803" s="6"/>
      <c r="AE1803" s="6"/>
      <c r="AF1803" s="6"/>
      <c r="AG1803" s="6"/>
      <c r="AH1803" s="6"/>
      <c r="AI1803" s="6"/>
      <c r="AJ1803" s="6"/>
      <c r="AK1803" s="6"/>
      <c r="AL1803" s="6"/>
      <c r="AM1803" s="6"/>
      <c r="AN1803" s="6"/>
      <c r="AO1803" s="6"/>
      <c r="AP1803" s="6"/>
      <c r="AQ1803" s="6"/>
      <c r="AR1803" s="6"/>
      <c r="AS1803" s="6"/>
      <c r="AT1803" s="6"/>
      <c r="AU1803" s="6"/>
      <c r="AV1803" s="6"/>
      <c r="AW1803" s="6"/>
      <c r="AX1803" s="6"/>
      <c r="AY1803" s="6"/>
      <c r="AZ1803" s="6"/>
      <c r="BA1803" s="6"/>
      <c r="BB1803" s="6"/>
      <c r="BC1803" s="6"/>
      <c r="BD1803" s="6"/>
      <c r="BE1803" s="6"/>
      <c r="BF1803" s="6"/>
      <c r="BG1803" s="6"/>
      <c r="BH1803" s="6"/>
      <c r="BI1803" s="6"/>
      <c r="BJ1803" s="6"/>
      <c r="BK1803" s="6"/>
      <c r="BL1803" s="6"/>
      <c r="BM1803" s="6"/>
      <c r="BN1803" s="6"/>
      <c r="BO1803" s="6"/>
      <c r="BP1803" s="6"/>
      <c r="BQ1803" s="6"/>
      <c r="BR1803" s="6"/>
      <c r="BS1803" s="6"/>
      <c r="BT1803" s="6"/>
      <c r="BU1803" s="6"/>
      <c r="BV1803" s="6"/>
      <c r="BW1803" s="6"/>
      <c r="BX1803" s="6"/>
      <c r="BY1803" s="6"/>
      <c r="BZ1803" s="6"/>
      <c r="CA1803" s="6"/>
      <c r="CB1803" s="6"/>
      <c r="CC1803" s="6"/>
    </row>
    <row r="1804" spans="2:81" x14ac:dyDescent="0.2">
      <c r="B1804" s="68"/>
      <c r="C1804" s="69"/>
      <c r="D1804" s="70"/>
      <c r="F1804" s="68"/>
      <c r="G1804" s="69"/>
      <c r="H1804" s="70"/>
      <c r="J1804" s="71"/>
      <c r="K1804" s="71"/>
      <c r="L1804" s="67"/>
      <c r="N1804" s="71"/>
      <c r="O1804" s="71"/>
      <c r="P1804" s="67"/>
      <c r="R1804" s="67"/>
      <c r="S1804" s="6"/>
      <c r="T1804" s="6"/>
      <c r="U1804" s="6"/>
      <c r="V1804" s="6"/>
      <c r="W1804" s="6"/>
      <c r="X1804" s="6"/>
      <c r="Y1804" s="6"/>
      <c r="Z1804" s="6"/>
      <c r="AA1804" s="6"/>
      <c r="AB1804" s="6"/>
      <c r="AC1804" s="6"/>
      <c r="AD1804" s="6"/>
      <c r="AE1804" s="6"/>
      <c r="AF1804" s="6"/>
      <c r="AG1804" s="6"/>
      <c r="AH1804" s="6"/>
      <c r="AI1804" s="6"/>
      <c r="AJ1804" s="6"/>
      <c r="AK1804" s="6"/>
      <c r="AL1804" s="6"/>
      <c r="AM1804" s="6"/>
      <c r="AN1804" s="6"/>
      <c r="AO1804" s="6"/>
      <c r="AP1804" s="6"/>
      <c r="AQ1804" s="6"/>
      <c r="AR1804" s="6"/>
      <c r="AS1804" s="6"/>
      <c r="AT1804" s="6"/>
      <c r="AU1804" s="6"/>
      <c r="AV1804" s="6"/>
      <c r="AW1804" s="6"/>
      <c r="AX1804" s="6"/>
      <c r="AY1804" s="6"/>
      <c r="AZ1804" s="6"/>
      <c r="BA1804" s="6"/>
      <c r="BB1804" s="6"/>
      <c r="BC1804" s="6"/>
      <c r="BD1804" s="6"/>
      <c r="BE1804" s="6"/>
      <c r="BF1804" s="6"/>
      <c r="BG1804" s="6"/>
      <c r="BH1804" s="6"/>
      <c r="BI1804" s="6"/>
      <c r="BJ1804" s="6"/>
      <c r="BK1804" s="6"/>
      <c r="BL1804" s="6"/>
      <c r="BM1804" s="6"/>
      <c r="BN1804" s="6"/>
      <c r="BO1804" s="6"/>
      <c r="BP1804" s="6"/>
      <c r="BQ1804" s="6"/>
      <c r="BR1804" s="6"/>
      <c r="BS1804" s="6"/>
      <c r="BT1804" s="6"/>
      <c r="BU1804" s="6"/>
      <c r="BV1804" s="6"/>
      <c r="BW1804" s="6"/>
      <c r="BX1804" s="6"/>
      <c r="BY1804" s="6"/>
      <c r="BZ1804" s="6"/>
      <c r="CA1804" s="6"/>
      <c r="CB1804" s="6"/>
      <c r="CC1804" s="6"/>
    </row>
    <row r="1805" spans="2:81" x14ac:dyDescent="0.2">
      <c r="B1805" s="68"/>
      <c r="C1805" s="69"/>
      <c r="D1805" s="70"/>
      <c r="F1805" s="68"/>
      <c r="G1805" s="69"/>
      <c r="H1805" s="70"/>
      <c r="J1805" s="71"/>
      <c r="K1805" s="71"/>
      <c r="L1805" s="67"/>
      <c r="N1805" s="71"/>
      <c r="O1805" s="71"/>
      <c r="P1805" s="67"/>
      <c r="R1805" s="67"/>
      <c r="S1805" s="6"/>
      <c r="T1805" s="6"/>
      <c r="U1805" s="6"/>
      <c r="V1805" s="6"/>
      <c r="W1805" s="6"/>
      <c r="X1805" s="6"/>
      <c r="Y1805" s="6"/>
      <c r="Z1805" s="6"/>
      <c r="AA1805" s="6"/>
      <c r="AB1805" s="6"/>
      <c r="AC1805" s="6"/>
      <c r="AD1805" s="6"/>
      <c r="AE1805" s="6"/>
      <c r="AF1805" s="6"/>
      <c r="AG1805" s="6"/>
      <c r="AH1805" s="6"/>
      <c r="AI1805" s="6"/>
      <c r="AJ1805" s="6"/>
      <c r="AK1805" s="6"/>
      <c r="AL1805" s="6"/>
      <c r="AM1805" s="6"/>
      <c r="AN1805" s="6"/>
      <c r="AO1805" s="6"/>
      <c r="AP1805" s="6"/>
      <c r="AQ1805" s="6"/>
      <c r="AR1805" s="6"/>
      <c r="AS1805" s="6"/>
      <c r="AT1805" s="6"/>
      <c r="AU1805" s="6"/>
      <c r="AV1805" s="6"/>
      <c r="AW1805" s="6"/>
      <c r="AX1805" s="6"/>
      <c r="AY1805" s="6"/>
      <c r="AZ1805" s="6"/>
      <c r="BA1805" s="6"/>
      <c r="BB1805" s="6"/>
      <c r="BC1805" s="6"/>
      <c r="BD1805" s="6"/>
      <c r="BE1805" s="6"/>
      <c r="BF1805" s="6"/>
      <c r="BG1805" s="6"/>
      <c r="BH1805" s="6"/>
      <c r="BI1805" s="6"/>
      <c r="BJ1805" s="6"/>
      <c r="BK1805" s="6"/>
      <c r="BL1805" s="6"/>
      <c r="BM1805" s="6"/>
      <c r="BN1805" s="6"/>
      <c r="BO1805" s="6"/>
      <c r="BP1805" s="6"/>
      <c r="BQ1805" s="6"/>
      <c r="BR1805" s="6"/>
      <c r="BS1805" s="6"/>
      <c r="BT1805" s="6"/>
      <c r="BU1805" s="6"/>
      <c r="BV1805" s="6"/>
      <c r="BW1805" s="6"/>
      <c r="BX1805" s="6"/>
      <c r="BY1805" s="6"/>
      <c r="BZ1805" s="6"/>
      <c r="CA1805" s="6"/>
      <c r="CB1805" s="6"/>
      <c r="CC1805" s="6"/>
    </row>
    <row r="1806" spans="2:81" x14ac:dyDescent="0.2">
      <c r="B1806" s="68"/>
      <c r="C1806" s="69"/>
      <c r="D1806" s="70"/>
      <c r="F1806" s="68"/>
      <c r="G1806" s="69"/>
      <c r="H1806" s="70"/>
      <c r="J1806" s="71"/>
      <c r="K1806" s="71"/>
      <c r="L1806" s="67"/>
      <c r="N1806" s="71"/>
      <c r="O1806" s="71"/>
      <c r="P1806" s="67"/>
      <c r="R1806" s="67"/>
      <c r="S1806" s="6"/>
      <c r="T1806" s="6"/>
      <c r="U1806" s="6"/>
      <c r="V1806" s="6"/>
      <c r="W1806" s="6"/>
      <c r="X1806" s="6"/>
      <c r="Y1806" s="6"/>
      <c r="Z1806" s="6"/>
      <c r="AA1806" s="6"/>
      <c r="AB1806" s="6"/>
      <c r="AC1806" s="6"/>
      <c r="AD1806" s="6"/>
      <c r="AE1806" s="6"/>
      <c r="AF1806" s="6"/>
      <c r="AG1806" s="6"/>
      <c r="AH1806" s="6"/>
      <c r="AI1806" s="6"/>
      <c r="AJ1806" s="6"/>
      <c r="AK1806" s="6"/>
      <c r="AL1806" s="6"/>
      <c r="AM1806" s="6"/>
      <c r="AN1806" s="6"/>
      <c r="AO1806" s="6"/>
      <c r="AP1806" s="6"/>
      <c r="AQ1806" s="6"/>
      <c r="AR1806" s="6"/>
      <c r="AS1806" s="6"/>
      <c r="AT1806" s="6"/>
      <c r="AU1806" s="6"/>
      <c r="AV1806" s="6"/>
      <c r="AW1806" s="6"/>
      <c r="AX1806" s="6"/>
      <c r="AY1806" s="6"/>
      <c r="AZ1806" s="6"/>
      <c r="BA1806" s="6"/>
      <c r="BB1806" s="6"/>
      <c r="BC1806" s="6"/>
      <c r="BD1806" s="6"/>
      <c r="BE1806" s="6"/>
      <c r="BF1806" s="6"/>
      <c r="BG1806" s="6"/>
      <c r="BH1806" s="6"/>
      <c r="BI1806" s="6"/>
      <c r="BJ1806" s="6"/>
      <c r="BK1806" s="6"/>
      <c r="BL1806" s="6"/>
      <c r="BM1806" s="6"/>
      <c r="BN1806" s="6"/>
      <c r="BO1806" s="6"/>
      <c r="BP1806" s="6"/>
      <c r="BQ1806" s="6"/>
      <c r="BR1806" s="6"/>
      <c r="BS1806" s="6"/>
      <c r="BT1806" s="6"/>
      <c r="BU1806" s="6"/>
      <c r="BV1806" s="6"/>
      <c r="BW1806" s="6"/>
      <c r="BX1806" s="6"/>
      <c r="BY1806" s="6"/>
      <c r="BZ1806" s="6"/>
      <c r="CA1806" s="6"/>
      <c r="CB1806" s="6"/>
      <c r="CC1806" s="6"/>
    </row>
    <row r="1807" spans="2:81" x14ac:dyDescent="0.2">
      <c r="B1807" s="68"/>
      <c r="C1807" s="69"/>
      <c r="D1807" s="70"/>
      <c r="F1807" s="68"/>
      <c r="G1807" s="69"/>
      <c r="H1807" s="70"/>
      <c r="J1807" s="71"/>
      <c r="K1807" s="71"/>
      <c r="L1807" s="67"/>
      <c r="N1807" s="71"/>
      <c r="O1807" s="71"/>
      <c r="P1807" s="67"/>
      <c r="R1807" s="67"/>
      <c r="S1807" s="6"/>
      <c r="T1807" s="6"/>
      <c r="U1807" s="6"/>
      <c r="V1807" s="6"/>
      <c r="W1807" s="6"/>
      <c r="X1807" s="6"/>
      <c r="Y1807" s="6"/>
      <c r="Z1807" s="6"/>
      <c r="AA1807" s="6"/>
      <c r="AB1807" s="6"/>
      <c r="AC1807" s="6"/>
      <c r="AD1807" s="6"/>
      <c r="AE1807" s="6"/>
      <c r="AF1807" s="6"/>
      <c r="AG1807" s="6"/>
      <c r="AH1807" s="6"/>
      <c r="AI1807" s="6"/>
      <c r="AJ1807" s="6"/>
      <c r="AK1807" s="6"/>
      <c r="AL1807" s="6"/>
      <c r="AM1807" s="6"/>
      <c r="AN1807" s="6"/>
      <c r="AO1807" s="6"/>
      <c r="AP1807" s="6"/>
      <c r="AQ1807" s="6"/>
      <c r="AR1807" s="6"/>
      <c r="AS1807" s="6"/>
      <c r="AT1807" s="6"/>
      <c r="AU1807" s="6"/>
      <c r="AV1807" s="6"/>
      <c r="AW1807" s="6"/>
      <c r="AX1807" s="6"/>
      <c r="AY1807" s="6"/>
      <c r="AZ1807" s="6"/>
      <c r="BA1807" s="6"/>
      <c r="BB1807" s="6"/>
      <c r="BC1807" s="6"/>
      <c r="BD1807" s="6"/>
      <c r="BE1807" s="6"/>
      <c r="BF1807" s="6"/>
      <c r="BG1807" s="6"/>
      <c r="BH1807" s="6"/>
      <c r="BI1807" s="6"/>
      <c r="BJ1807" s="6"/>
      <c r="BK1807" s="6"/>
      <c r="BL1807" s="6"/>
      <c r="BM1807" s="6"/>
      <c r="BN1807" s="6"/>
      <c r="BO1807" s="6"/>
      <c r="BP1807" s="6"/>
      <c r="BQ1807" s="6"/>
      <c r="BR1807" s="6"/>
      <c r="BS1807" s="6"/>
      <c r="BT1807" s="6"/>
      <c r="BU1807" s="6"/>
      <c r="BV1807" s="6"/>
      <c r="BW1807" s="6"/>
      <c r="BX1807" s="6"/>
      <c r="BY1807" s="6"/>
      <c r="BZ1807" s="6"/>
      <c r="CA1807" s="6"/>
      <c r="CB1807" s="6"/>
      <c r="CC1807" s="6"/>
    </row>
    <row r="1808" spans="2:81" x14ac:dyDescent="0.2">
      <c r="B1808" s="68"/>
      <c r="C1808" s="69"/>
      <c r="D1808" s="70"/>
      <c r="F1808" s="68"/>
      <c r="G1808" s="69"/>
      <c r="H1808" s="70"/>
      <c r="J1808" s="71"/>
      <c r="K1808" s="71"/>
      <c r="L1808" s="67"/>
      <c r="N1808" s="71"/>
      <c r="O1808" s="71"/>
      <c r="P1808" s="67"/>
      <c r="R1808" s="67"/>
      <c r="S1808" s="6"/>
      <c r="T1808" s="6"/>
      <c r="U1808" s="6"/>
      <c r="V1808" s="6"/>
      <c r="W1808" s="6"/>
      <c r="X1808" s="6"/>
      <c r="Y1808" s="6"/>
      <c r="Z1808" s="6"/>
      <c r="AA1808" s="6"/>
      <c r="AB1808" s="6"/>
      <c r="AC1808" s="6"/>
      <c r="AD1808" s="6"/>
      <c r="AE1808" s="6"/>
      <c r="AF1808" s="6"/>
      <c r="AG1808" s="6"/>
      <c r="AH1808" s="6"/>
      <c r="AI1808" s="6"/>
      <c r="AJ1808" s="6"/>
      <c r="AK1808" s="6"/>
      <c r="AL1808" s="6"/>
      <c r="AM1808" s="6"/>
      <c r="AN1808" s="6"/>
      <c r="AO1808" s="6"/>
      <c r="AP1808" s="6"/>
      <c r="AQ1808" s="6"/>
      <c r="AR1808" s="6"/>
      <c r="AS1808" s="6"/>
      <c r="AT1808" s="6"/>
      <c r="AU1808" s="6"/>
      <c r="AV1808" s="6"/>
      <c r="AW1808" s="6"/>
      <c r="AX1808" s="6"/>
      <c r="AY1808" s="6"/>
      <c r="AZ1808" s="6"/>
      <c r="BA1808" s="6"/>
      <c r="BB1808" s="6"/>
      <c r="BC1808" s="6"/>
      <c r="BD1808" s="6"/>
      <c r="BE1808" s="6"/>
      <c r="BF1808" s="6"/>
      <c r="BG1808" s="6"/>
      <c r="BH1808" s="6"/>
      <c r="BI1808" s="6"/>
      <c r="BJ1808" s="6"/>
      <c r="BK1808" s="6"/>
      <c r="BL1808" s="6"/>
      <c r="BM1808" s="6"/>
      <c r="BN1808" s="6"/>
      <c r="BO1808" s="6"/>
      <c r="BP1808" s="6"/>
      <c r="BQ1808" s="6"/>
      <c r="BR1808" s="6"/>
      <c r="BS1808" s="6"/>
      <c r="BT1808" s="6"/>
      <c r="BU1808" s="6"/>
      <c r="BV1808" s="6"/>
      <c r="BW1808" s="6"/>
      <c r="BX1808" s="6"/>
      <c r="BY1808" s="6"/>
      <c r="BZ1808" s="6"/>
      <c r="CA1808" s="6"/>
      <c r="CB1808" s="6"/>
      <c r="CC1808" s="6"/>
    </row>
    <row r="1809" spans="2:81" x14ac:dyDescent="0.2">
      <c r="B1809" s="68"/>
      <c r="C1809" s="69"/>
      <c r="D1809" s="70"/>
      <c r="F1809" s="68"/>
      <c r="G1809" s="69"/>
      <c r="H1809" s="70"/>
      <c r="J1809" s="71"/>
      <c r="K1809" s="71"/>
      <c r="L1809" s="67"/>
      <c r="N1809" s="71"/>
      <c r="O1809" s="71"/>
      <c r="P1809" s="67"/>
      <c r="R1809" s="67"/>
      <c r="S1809" s="6"/>
      <c r="T1809" s="6"/>
      <c r="U1809" s="6"/>
      <c r="V1809" s="6"/>
      <c r="W1809" s="6"/>
      <c r="X1809" s="6"/>
      <c r="Y1809" s="6"/>
      <c r="Z1809" s="6"/>
      <c r="AA1809" s="6"/>
      <c r="AB1809" s="6"/>
      <c r="AC1809" s="6"/>
      <c r="AD1809" s="6"/>
      <c r="AE1809" s="6"/>
      <c r="AF1809" s="6"/>
      <c r="AG1809" s="6"/>
      <c r="AH1809" s="6"/>
      <c r="AI1809" s="6"/>
      <c r="AJ1809" s="6"/>
      <c r="AK1809" s="6"/>
      <c r="AL1809" s="6"/>
      <c r="AM1809" s="6"/>
      <c r="AN1809" s="6"/>
      <c r="AO1809" s="6"/>
      <c r="AP1809" s="6"/>
      <c r="AQ1809" s="6"/>
      <c r="AR1809" s="6"/>
      <c r="AS1809" s="6"/>
      <c r="AT1809" s="6"/>
      <c r="AU1809" s="6"/>
      <c r="AV1809" s="6"/>
      <c r="AW1809" s="6"/>
      <c r="AX1809" s="6"/>
      <c r="AY1809" s="6"/>
      <c r="AZ1809" s="6"/>
      <c r="BA1809" s="6"/>
      <c r="BB1809" s="6"/>
      <c r="BC1809" s="6"/>
      <c r="BD1809" s="6"/>
      <c r="BE1809" s="6"/>
      <c r="BF1809" s="6"/>
      <c r="BG1809" s="6"/>
      <c r="BH1809" s="6"/>
      <c r="BI1809" s="6"/>
      <c r="BJ1809" s="6"/>
      <c r="BK1809" s="6"/>
      <c r="BL1809" s="6"/>
      <c r="BM1809" s="6"/>
      <c r="BN1809" s="6"/>
      <c r="BO1809" s="6"/>
      <c r="BP1809" s="6"/>
      <c r="BQ1809" s="6"/>
      <c r="BR1809" s="6"/>
      <c r="BS1809" s="6"/>
      <c r="BT1809" s="6"/>
      <c r="BU1809" s="6"/>
      <c r="BV1809" s="6"/>
      <c r="BW1809" s="6"/>
      <c r="BX1809" s="6"/>
      <c r="BY1809" s="6"/>
      <c r="BZ1809" s="6"/>
      <c r="CA1809" s="6"/>
      <c r="CB1809" s="6"/>
      <c r="CC1809" s="6"/>
    </row>
    <row r="1810" spans="2:81" x14ac:dyDescent="0.2">
      <c r="B1810" s="68"/>
      <c r="C1810" s="69"/>
      <c r="D1810" s="70"/>
      <c r="F1810" s="68"/>
      <c r="G1810" s="69"/>
      <c r="H1810" s="70"/>
      <c r="J1810" s="71"/>
      <c r="K1810" s="71"/>
      <c r="L1810" s="67"/>
      <c r="N1810" s="71"/>
      <c r="O1810" s="71"/>
      <c r="P1810" s="67"/>
      <c r="R1810" s="67"/>
      <c r="S1810" s="6"/>
      <c r="T1810" s="6"/>
      <c r="U1810" s="6"/>
      <c r="V1810" s="6"/>
      <c r="W1810" s="6"/>
      <c r="X1810" s="6"/>
      <c r="Y1810" s="6"/>
      <c r="Z1810" s="6"/>
      <c r="AA1810" s="6"/>
      <c r="AB1810" s="6"/>
      <c r="AC1810" s="6"/>
      <c r="AD1810" s="6"/>
      <c r="AE1810" s="6"/>
      <c r="AF1810" s="6"/>
      <c r="AG1810" s="6"/>
      <c r="AH1810" s="6"/>
      <c r="AI1810" s="6"/>
      <c r="AJ1810" s="6"/>
      <c r="AK1810" s="6"/>
      <c r="AL1810" s="6"/>
      <c r="AM1810" s="6"/>
      <c r="AN1810" s="6"/>
      <c r="AO1810" s="6"/>
      <c r="AP1810" s="6"/>
      <c r="AQ1810" s="6"/>
      <c r="AR1810" s="6"/>
      <c r="AS1810" s="6"/>
      <c r="AT1810" s="6"/>
      <c r="AU1810" s="6"/>
      <c r="AV1810" s="6"/>
      <c r="AW1810" s="6"/>
      <c r="AX1810" s="6"/>
      <c r="AY1810" s="6"/>
      <c r="AZ1810" s="6"/>
      <c r="BA1810" s="6"/>
      <c r="BB1810" s="6"/>
      <c r="BC1810" s="6"/>
      <c r="BD1810" s="6"/>
      <c r="BE1810" s="6"/>
      <c r="BF1810" s="6"/>
      <c r="BG1810" s="6"/>
      <c r="BH1810" s="6"/>
      <c r="BI1810" s="6"/>
      <c r="BJ1810" s="6"/>
      <c r="BK1810" s="6"/>
      <c r="BL1810" s="6"/>
      <c r="BM1810" s="6"/>
      <c r="BN1810" s="6"/>
      <c r="BO1810" s="6"/>
      <c r="BP1810" s="6"/>
      <c r="BQ1810" s="6"/>
      <c r="BR1810" s="6"/>
      <c r="BS1810" s="6"/>
      <c r="BT1810" s="6"/>
      <c r="BU1810" s="6"/>
      <c r="BV1810" s="6"/>
      <c r="BW1810" s="6"/>
      <c r="BX1810" s="6"/>
      <c r="BY1810" s="6"/>
      <c r="BZ1810" s="6"/>
      <c r="CA1810" s="6"/>
      <c r="CB1810" s="6"/>
      <c r="CC1810" s="6"/>
    </row>
    <row r="1811" spans="2:81" x14ac:dyDescent="0.2">
      <c r="B1811" s="68"/>
      <c r="C1811" s="69"/>
      <c r="D1811" s="70"/>
      <c r="F1811" s="68"/>
      <c r="G1811" s="69"/>
      <c r="H1811" s="70"/>
      <c r="J1811" s="71"/>
      <c r="K1811" s="71"/>
      <c r="L1811" s="67"/>
      <c r="N1811" s="71"/>
      <c r="O1811" s="71"/>
      <c r="P1811" s="67"/>
      <c r="R1811" s="67"/>
      <c r="S1811" s="6"/>
      <c r="T1811" s="6"/>
      <c r="U1811" s="6"/>
      <c r="V1811" s="6"/>
      <c r="W1811" s="6"/>
      <c r="X1811" s="6"/>
      <c r="Y1811" s="6"/>
      <c r="Z1811" s="6"/>
      <c r="AA1811" s="6"/>
      <c r="AB1811" s="6"/>
      <c r="AC1811" s="6"/>
      <c r="AD1811" s="6"/>
      <c r="AE1811" s="6"/>
      <c r="AF1811" s="6"/>
      <c r="AG1811" s="6"/>
      <c r="AH1811" s="6"/>
      <c r="AI1811" s="6"/>
      <c r="AJ1811" s="6"/>
      <c r="AK1811" s="6"/>
      <c r="AL1811" s="6"/>
      <c r="AM1811" s="6"/>
      <c r="AN1811" s="6"/>
      <c r="AO1811" s="6"/>
      <c r="AP1811" s="6"/>
      <c r="AQ1811" s="6"/>
      <c r="AR1811" s="6"/>
      <c r="AS1811" s="6"/>
      <c r="AT1811" s="6"/>
      <c r="AU1811" s="6"/>
      <c r="AV1811" s="6"/>
      <c r="AW1811" s="6"/>
      <c r="AX1811" s="6"/>
      <c r="AY1811" s="6"/>
      <c r="AZ1811" s="6"/>
      <c r="BA1811" s="6"/>
      <c r="BB1811" s="6"/>
      <c r="BC1811" s="6"/>
      <c r="BD1811" s="6"/>
      <c r="BE1811" s="6"/>
      <c r="BF1811" s="6"/>
      <c r="BG1811" s="6"/>
      <c r="BH1811" s="6"/>
      <c r="BI1811" s="6"/>
      <c r="BJ1811" s="6"/>
      <c r="BK1811" s="6"/>
      <c r="BL1811" s="6"/>
      <c r="BM1811" s="6"/>
      <c r="BN1811" s="6"/>
      <c r="BO1811" s="6"/>
      <c r="BP1811" s="6"/>
      <c r="BQ1811" s="6"/>
      <c r="BR1811" s="6"/>
      <c r="BS1811" s="6"/>
      <c r="BT1811" s="6"/>
      <c r="BU1811" s="6"/>
      <c r="BV1811" s="6"/>
      <c r="BW1811" s="6"/>
      <c r="BX1811" s="6"/>
      <c r="BY1811" s="6"/>
      <c r="BZ1811" s="6"/>
      <c r="CA1811" s="6"/>
      <c r="CB1811" s="6"/>
      <c r="CC1811" s="6"/>
    </row>
    <row r="1812" spans="2:81" x14ac:dyDescent="0.2">
      <c r="B1812" s="68"/>
      <c r="C1812" s="69"/>
      <c r="D1812" s="70"/>
      <c r="F1812" s="68"/>
      <c r="G1812" s="69"/>
      <c r="H1812" s="70"/>
      <c r="J1812" s="71"/>
      <c r="K1812" s="71"/>
      <c r="L1812" s="67"/>
      <c r="N1812" s="71"/>
      <c r="O1812" s="71"/>
      <c r="P1812" s="67"/>
      <c r="R1812" s="67"/>
      <c r="S1812" s="6"/>
      <c r="T1812" s="6"/>
      <c r="U1812" s="6"/>
      <c r="V1812" s="6"/>
      <c r="W1812" s="6"/>
      <c r="X1812" s="6"/>
      <c r="Y1812" s="6"/>
      <c r="Z1812" s="6"/>
      <c r="AA1812" s="6"/>
      <c r="AB1812" s="6"/>
      <c r="AC1812" s="6"/>
      <c r="AD1812" s="6"/>
      <c r="AE1812" s="6"/>
      <c r="AF1812" s="6"/>
      <c r="AG1812" s="6"/>
      <c r="AH1812" s="6"/>
      <c r="AI1812" s="6"/>
      <c r="AJ1812" s="6"/>
      <c r="AK1812" s="6"/>
      <c r="AL1812" s="6"/>
      <c r="AM1812" s="6"/>
      <c r="AN1812" s="6"/>
      <c r="AO1812" s="6"/>
      <c r="AP1812" s="6"/>
      <c r="AQ1812" s="6"/>
      <c r="AR1812" s="6"/>
      <c r="AS1812" s="6"/>
      <c r="AT1812" s="6"/>
      <c r="AU1812" s="6"/>
      <c r="AV1812" s="6"/>
      <c r="AW1812" s="6"/>
      <c r="AX1812" s="6"/>
      <c r="AY1812" s="6"/>
      <c r="AZ1812" s="6"/>
      <c r="BA1812" s="6"/>
      <c r="BB1812" s="6"/>
      <c r="BC1812" s="6"/>
      <c r="BD1812" s="6"/>
      <c r="BE1812" s="6"/>
      <c r="BF1812" s="6"/>
      <c r="BG1812" s="6"/>
      <c r="BH1812" s="6"/>
      <c r="BI1812" s="6"/>
      <c r="BJ1812" s="6"/>
      <c r="BK1812" s="6"/>
      <c r="BL1812" s="6"/>
      <c r="BM1812" s="6"/>
      <c r="BN1812" s="6"/>
      <c r="BO1812" s="6"/>
      <c r="BP1812" s="6"/>
      <c r="BQ1812" s="6"/>
      <c r="BR1812" s="6"/>
      <c r="BS1812" s="6"/>
      <c r="BT1812" s="6"/>
      <c r="BU1812" s="6"/>
      <c r="BV1812" s="6"/>
      <c r="BW1812" s="6"/>
      <c r="BX1812" s="6"/>
      <c r="BY1812" s="6"/>
      <c r="BZ1812" s="6"/>
      <c r="CA1812" s="6"/>
      <c r="CB1812" s="6"/>
      <c r="CC1812" s="6"/>
    </row>
    <row r="1813" spans="2:81" x14ac:dyDescent="0.2">
      <c r="B1813" s="68"/>
      <c r="C1813" s="69"/>
      <c r="D1813" s="70"/>
      <c r="F1813" s="68"/>
      <c r="G1813" s="69"/>
      <c r="H1813" s="70"/>
      <c r="J1813" s="71"/>
      <c r="K1813" s="71"/>
      <c r="L1813" s="67"/>
      <c r="N1813" s="71"/>
      <c r="O1813" s="71"/>
      <c r="P1813" s="67"/>
      <c r="R1813" s="67"/>
      <c r="S1813" s="6"/>
      <c r="T1813" s="6"/>
      <c r="U1813" s="6"/>
      <c r="V1813" s="6"/>
      <c r="W1813" s="6"/>
      <c r="X1813" s="6"/>
      <c r="Y1813" s="6"/>
      <c r="Z1813" s="6"/>
      <c r="AA1813" s="6"/>
      <c r="AB1813" s="6"/>
      <c r="AC1813" s="6"/>
      <c r="AD1813" s="6"/>
      <c r="AE1813" s="6"/>
      <c r="AF1813" s="6"/>
      <c r="AG1813" s="6"/>
      <c r="AH1813" s="6"/>
      <c r="AI1813" s="6"/>
      <c r="AJ1813" s="6"/>
      <c r="AK1813" s="6"/>
      <c r="AL1813" s="6"/>
      <c r="AM1813" s="6"/>
      <c r="AN1813" s="6"/>
      <c r="AO1813" s="6"/>
      <c r="AP1813" s="6"/>
      <c r="AQ1813" s="6"/>
      <c r="AR1813" s="6"/>
      <c r="AS1813" s="6"/>
      <c r="AT1813" s="6"/>
      <c r="AU1813" s="6"/>
      <c r="AV1813" s="6"/>
      <c r="AW1813" s="6"/>
      <c r="AX1813" s="6"/>
      <c r="AY1813" s="6"/>
      <c r="AZ1813" s="6"/>
      <c r="BA1813" s="6"/>
      <c r="BB1813" s="6"/>
      <c r="BC1813" s="6"/>
      <c r="BD1813" s="6"/>
      <c r="BE1813" s="6"/>
      <c r="BF1813" s="6"/>
      <c r="BG1813" s="6"/>
      <c r="BH1813" s="6"/>
      <c r="BI1813" s="6"/>
      <c r="BJ1813" s="6"/>
      <c r="BK1813" s="6"/>
      <c r="BL1813" s="6"/>
      <c r="BM1813" s="6"/>
      <c r="BN1813" s="6"/>
      <c r="BO1813" s="6"/>
      <c r="BP1813" s="6"/>
      <c r="BQ1813" s="6"/>
      <c r="BR1813" s="6"/>
      <c r="BS1813" s="6"/>
      <c r="BT1813" s="6"/>
      <c r="BU1813" s="6"/>
      <c r="BV1813" s="6"/>
      <c r="BW1813" s="6"/>
      <c r="BX1813" s="6"/>
      <c r="BY1813" s="6"/>
      <c r="BZ1813" s="6"/>
      <c r="CA1813" s="6"/>
      <c r="CB1813" s="6"/>
      <c r="CC1813" s="6"/>
    </row>
    <row r="1814" spans="2:81" x14ac:dyDescent="0.2">
      <c r="B1814" s="68"/>
      <c r="C1814" s="69"/>
      <c r="D1814" s="70"/>
      <c r="F1814" s="68"/>
      <c r="G1814" s="69"/>
      <c r="H1814" s="70"/>
      <c r="J1814" s="71"/>
      <c r="K1814" s="71"/>
      <c r="L1814" s="67"/>
      <c r="N1814" s="71"/>
      <c r="O1814" s="71"/>
      <c r="P1814" s="67"/>
      <c r="R1814" s="67"/>
      <c r="S1814" s="6"/>
      <c r="T1814" s="6"/>
      <c r="U1814" s="6"/>
      <c r="V1814" s="6"/>
      <c r="W1814" s="6"/>
      <c r="X1814" s="6"/>
      <c r="Y1814" s="6"/>
      <c r="Z1814" s="6"/>
      <c r="AA1814" s="6"/>
      <c r="AB1814" s="6"/>
      <c r="AC1814" s="6"/>
      <c r="AD1814" s="6"/>
      <c r="AE1814" s="6"/>
      <c r="AF1814" s="6"/>
      <c r="AG1814" s="6"/>
      <c r="AH1814" s="6"/>
      <c r="AI1814" s="6"/>
      <c r="AJ1814" s="6"/>
      <c r="AK1814" s="6"/>
      <c r="AL1814" s="6"/>
      <c r="AM1814" s="6"/>
      <c r="AN1814" s="6"/>
      <c r="AO1814" s="6"/>
      <c r="AP1814" s="6"/>
      <c r="AQ1814" s="6"/>
      <c r="AR1814" s="6"/>
      <c r="AS1814" s="6"/>
      <c r="AT1814" s="6"/>
      <c r="AU1814" s="6"/>
      <c r="AV1814" s="6"/>
      <c r="AW1814" s="6"/>
      <c r="AX1814" s="6"/>
      <c r="AY1814" s="6"/>
      <c r="AZ1814" s="6"/>
      <c r="BA1814" s="6"/>
      <c r="BB1814" s="6"/>
      <c r="BC1814" s="6"/>
      <c r="BD1814" s="6"/>
      <c r="BE1814" s="6"/>
      <c r="BF1814" s="6"/>
      <c r="BG1814" s="6"/>
      <c r="BH1814" s="6"/>
      <c r="BI1814" s="6"/>
      <c r="BJ1814" s="6"/>
      <c r="BK1814" s="6"/>
      <c r="BL1814" s="6"/>
      <c r="BM1814" s="6"/>
      <c r="BN1814" s="6"/>
      <c r="BO1814" s="6"/>
      <c r="BP1814" s="6"/>
      <c r="BQ1814" s="6"/>
      <c r="BR1814" s="6"/>
      <c r="BS1814" s="6"/>
      <c r="BT1814" s="6"/>
      <c r="BU1814" s="6"/>
      <c r="BV1814" s="6"/>
      <c r="BW1814" s="6"/>
      <c r="BX1814" s="6"/>
      <c r="BY1814" s="6"/>
      <c r="BZ1814" s="6"/>
      <c r="CA1814" s="6"/>
      <c r="CB1814" s="6"/>
      <c r="CC1814" s="6"/>
    </row>
    <row r="1815" spans="2:81" x14ac:dyDescent="0.2">
      <c r="B1815" s="68"/>
      <c r="C1815" s="69"/>
      <c r="D1815" s="70"/>
      <c r="F1815" s="68"/>
      <c r="G1815" s="69"/>
      <c r="H1815" s="70"/>
      <c r="J1815" s="71"/>
      <c r="K1815" s="71"/>
      <c r="L1815" s="67"/>
      <c r="N1815" s="71"/>
      <c r="O1815" s="71"/>
      <c r="P1815" s="67"/>
      <c r="R1815" s="67"/>
      <c r="S1815" s="6"/>
      <c r="T1815" s="6"/>
      <c r="U1815" s="6"/>
      <c r="V1815" s="6"/>
      <c r="W1815" s="6"/>
      <c r="X1815" s="6"/>
      <c r="Y1815" s="6"/>
      <c r="Z1815" s="6"/>
      <c r="AA1815" s="6"/>
      <c r="AB1815" s="6"/>
      <c r="AC1815" s="6"/>
      <c r="AD1815" s="6"/>
      <c r="AE1815" s="6"/>
      <c r="AF1815" s="6"/>
      <c r="AG1815" s="6"/>
      <c r="AH1815" s="6"/>
      <c r="AI1815" s="6"/>
      <c r="AJ1815" s="6"/>
      <c r="AK1815" s="6"/>
      <c r="AL1815" s="6"/>
      <c r="AM1815" s="6"/>
      <c r="AN1815" s="6"/>
      <c r="AO1815" s="6"/>
      <c r="AP1815" s="6"/>
      <c r="AQ1815" s="6"/>
      <c r="AR1815" s="6"/>
      <c r="AS1815" s="6"/>
      <c r="AT1815" s="6"/>
      <c r="AU1815" s="6"/>
      <c r="AV1815" s="6"/>
      <c r="AW1815" s="6"/>
      <c r="AX1815" s="6"/>
      <c r="AY1815" s="6"/>
      <c r="AZ1815" s="6"/>
      <c r="BA1815" s="6"/>
      <c r="BB1815" s="6"/>
      <c r="BC1815" s="6"/>
      <c r="BD1815" s="6"/>
      <c r="BE1815" s="6"/>
      <c r="BF1815" s="6"/>
      <c r="BG1815" s="6"/>
      <c r="BH1815" s="6"/>
      <c r="BI1815" s="6"/>
      <c r="BJ1815" s="6"/>
      <c r="BK1815" s="6"/>
      <c r="BL1815" s="6"/>
      <c r="BM1815" s="6"/>
      <c r="BN1815" s="6"/>
      <c r="BO1815" s="6"/>
      <c r="BP1815" s="6"/>
      <c r="BQ1815" s="6"/>
      <c r="BR1815" s="6"/>
      <c r="BS1815" s="6"/>
      <c r="BT1815" s="6"/>
      <c r="BU1815" s="6"/>
      <c r="BV1815" s="6"/>
      <c r="BW1815" s="6"/>
      <c r="BX1815" s="6"/>
      <c r="BY1815" s="6"/>
      <c r="BZ1815" s="6"/>
      <c r="CA1815" s="6"/>
      <c r="CB1815" s="6"/>
      <c r="CC1815" s="6"/>
    </row>
    <row r="1816" spans="2:81" x14ac:dyDescent="0.2">
      <c r="B1816" s="68"/>
      <c r="C1816" s="69"/>
      <c r="D1816" s="70"/>
      <c r="F1816" s="68"/>
      <c r="G1816" s="69"/>
      <c r="H1816" s="70"/>
      <c r="J1816" s="71"/>
      <c r="K1816" s="71"/>
      <c r="L1816" s="67"/>
      <c r="N1816" s="71"/>
      <c r="O1816" s="71"/>
      <c r="P1816" s="67"/>
      <c r="R1816" s="67"/>
      <c r="S1816" s="6"/>
      <c r="T1816" s="6"/>
      <c r="U1816" s="6"/>
      <c r="V1816" s="6"/>
      <c r="W1816" s="6"/>
      <c r="X1816" s="6"/>
      <c r="Y1816" s="6"/>
      <c r="Z1816" s="6"/>
      <c r="AA1816" s="6"/>
      <c r="AB1816" s="6"/>
      <c r="AC1816" s="6"/>
      <c r="AD1816" s="6"/>
      <c r="AE1816" s="6"/>
      <c r="AF1816" s="6"/>
      <c r="AG1816" s="6"/>
      <c r="AH1816" s="6"/>
      <c r="AI1816" s="6"/>
      <c r="AJ1816" s="6"/>
      <c r="AK1816" s="6"/>
      <c r="AL1816" s="6"/>
      <c r="AM1816" s="6"/>
      <c r="AN1816" s="6"/>
      <c r="AO1816" s="6"/>
      <c r="AP1816" s="6"/>
      <c r="AQ1816" s="6"/>
      <c r="AR1816" s="6"/>
      <c r="AS1816" s="6"/>
      <c r="AT1816" s="6"/>
      <c r="AU1816" s="6"/>
      <c r="AV1816" s="6"/>
      <c r="AW1816" s="6"/>
      <c r="AX1816" s="6"/>
      <c r="AY1816" s="6"/>
      <c r="AZ1816" s="6"/>
      <c r="BA1816" s="6"/>
      <c r="BB1816" s="6"/>
      <c r="BC1816" s="6"/>
      <c r="BD1816" s="6"/>
      <c r="BE1816" s="6"/>
      <c r="BF1816" s="6"/>
      <c r="BG1816" s="6"/>
      <c r="BH1816" s="6"/>
      <c r="BI1816" s="6"/>
      <c r="BJ1816" s="6"/>
      <c r="BK1816" s="6"/>
      <c r="BL1816" s="6"/>
      <c r="BM1816" s="6"/>
      <c r="BN1816" s="6"/>
      <c r="BO1816" s="6"/>
      <c r="BP1816" s="6"/>
      <c r="BQ1816" s="6"/>
      <c r="BR1816" s="6"/>
      <c r="BS1816" s="6"/>
      <c r="BT1816" s="6"/>
      <c r="BU1816" s="6"/>
      <c r="BV1816" s="6"/>
      <c r="BW1816" s="6"/>
      <c r="BX1816" s="6"/>
      <c r="BY1816" s="6"/>
      <c r="BZ1816" s="6"/>
      <c r="CA1816" s="6"/>
      <c r="CB1816" s="6"/>
      <c r="CC1816" s="6"/>
    </row>
    <row r="1817" spans="2:81" x14ac:dyDescent="0.2">
      <c r="B1817" s="68"/>
      <c r="C1817" s="69"/>
      <c r="D1817" s="70"/>
      <c r="F1817" s="68"/>
      <c r="G1817" s="69"/>
      <c r="H1817" s="70"/>
      <c r="J1817" s="71"/>
      <c r="K1817" s="71"/>
      <c r="L1817" s="67"/>
      <c r="N1817" s="71"/>
      <c r="O1817" s="71"/>
      <c r="P1817" s="67"/>
      <c r="R1817" s="67"/>
      <c r="S1817" s="6"/>
      <c r="T1817" s="6"/>
      <c r="U1817" s="6"/>
      <c r="V1817" s="6"/>
      <c r="W1817" s="6"/>
      <c r="X1817" s="6"/>
      <c r="Y1817" s="6"/>
      <c r="Z1817" s="6"/>
      <c r="AA1817" s="6"/>
      <c r="AB1817" s="6"/>
      <c r="AC1817" s="6"/>
      <c r="AD1817" s="6"/>
      <c r="AE1817" s="6"/>
      <c r="AF1817" s="6"/>
      <c r="AG1817" s="6"/>
      <c r="AH1817" s="6"/>
      <c r="AI1817" s="6"/>
      <c r="AJ1817" s="6"/>
      <c r="AK1817" s="6"/>
      <c r="AL1817" s="6"/>
      <c r="AM1817" s="6"/>
      <c r="AN1817" s="6"/>
      <c r="AO1817" s="6"/>
      <c r="AP1817" s="6"/>
      <c r="AQ1817" s="6"/>
      <c r="AR1817" s="6"/>
      <c r="AS1817" s="6"/>
      <c r="AT1817" s="6"/>
      <c r="AU1817" s="6"/>
      <c r="AV1817" s="6"/>
      <c r="AW1817" s="6"/>
      <c r="AX1817" s="6"/>
      <c r="AY1817" s="6"/>
      <c r="AZ1817" s="6"/>
      <c r="BA1817" s="6"/>
      <c r="BB1817" s="6"/>
      <c r="BC1817" s="6"/>
      <c r="BD1817" s="6"/>
      <c r="BE1817" s="6"/>
      <c r="BF1817" s="6"/>
      <c r="BG1817" s="6"/>
      <c r="BH1817" s="6"/>
      <c r="BI1817" s="6"/>
      <c r="BJ1817" s="6"/>
      <c r="BK1817" s="6"/>
      <c r="BL1817" s="6"/>
      <c r="BM1817" s="6"/>
      <c r="BN1817" s="6"/>
      <c r="BO1817" s="6"/>
      <c r="BP1817" s="6"/>
      <c r="BQ1817" s="6"/>
      <c r="BR1817" s="6"/>
      <c r="BS1817" s="6"/>
      <c r="BT1817" s="6"/>
      <c r="BU1817" s="6"/>
      <c r="BV1817" s="6"/>
      <c r="BW1817" s="6"/>
      <c r="BX1817" s="6"/>
      <c r="BY1817" s="6"/>
      <c r="BZ1817" s="6"/>
      <c r="CA1817" s="6"/>
      <c r="CB1817" s="6"/>
      <c r="CC1817" s="6"/>
    </row>
    <row r="1818" spans="2:81" x14ac:dyDescent="0.2">
      <c r="B1818" s="68"/>
      <c r="C1818" s="69"/>
      <c r="D1818" s="70"/>
      <c r="F1818" s="68"/>
      <c r="G1818" s="69"/>
      <c r="H1818" s="70"/>
      <c r="J1818" s="71"/>
      <c r="K1818" s="71"/>
      <c r="L1818" s="67"/>
      <c r="N1818" s="71"/>
      <c r="O1818" s="71"/>
      <c r="P1818" s="67"/>
      <c r="R1818" s="67"/>
      <c r="S1818" s="6"/>
      <c r="T1818" s="6"/>
      <c r="U1818" s="6"/>
      <c r="V1818" s="6"/>
      <c r="W1818" s="6"/>
      <c r="X1818" s="6"/>
      <c r="Y1818" s="6"/>
      <c r="Z1818" s="6"/>
      <c r="AA1818" s="6"/>
      <c r="AB1818" s="6"/>
      <c r="AC1818" s="6"/>
      <c r="AD1818" s="6"/>
      <c r="AE1818" s="6"/>
      <c r="AF1818" s="6"/>
      <c r="AG1818" s="6"/>
      <c r="AH1818" s="6"/>
      <c r="AI1818" s="6"/>
      <c r="AJ1818" s="6"/>
      <c r="AK1818" s="6"/>
      <c r="AL1818" s="6"/>
      <c r="AM1818" s="6"/>
      <c r="AN1818" s="6"/>
      <c r="AO1818" s="6"/>
      <c r="AP1818" s="6"/>
      <c r="AQ1818" s="6"/>
      <c r="AR1818" s="6"/>
      <c r="AS1818" s="6"/>
      <c r="AT1818" s="6"/>
      <c r="AU1818" s="6"/>
      <c r="AV1818" s="6"/>
      <c r="AW1818" s="6"/>
      <c r="AX1818" s="6"/>
      <c r="AY1818" s="6"/>
      <c r="AZ1818" s="6"/>
      <c r="BA1818" s="6"/>
      <c r="BB1818" s="6"/>
      <c r="BC1818" s="6"/>
      <c r="BD1818" s="6"/>
      <c r="BE1818" s="6"/>
      <c r="BF1818" s="6"/>
      <c r="BG1818" s="6"/>
      <c r="BH1818" s="6"/>
      <c r="BI1818" s="6"/>
      <c r="BJ1818" s="6"/>
      <c r="BK1818" s="6"/>
      <c r="BL1818" s="6"/>
      <c r="BM1818" s="6"/>
      <c r="BN1818" s="6"/>
      <c r="BO1818" s="6"/>
      <c r="BP1818" s="6"/>
      <c r="BQ1818" s="6"/>
      <c r="BR1818" s="6"/>
      <c r="BS1818" s="6"/>
      <c r="BT1818" s="6"/>
      <c r="BU1818" s="6"/>
      <c r="BV1818" s="6"/>
      <c r="BW1818" s="6"/>
      <c r="BX1818" s="6"/>
      <c r="BY1818" s="6"/>
      <c r="BZ1818" s="6"/>
      <c r="CA1818" s="6"/>
      <c r="CB1818" s="6"/>
      <c r="CC1818" s="6"/>
    </row>
    <row r="1819" spans="2:81" x14ac:dyDescent="0.2">
      <c r="B1819" s="68"/>
      <c r="C1819" s="69"/>
      <c r="D1819" s="70"/>
      <c r="F1819" s="68"/>
      <c r="G1819" s="69"/>
      <c r="H1819" s="70"/>
      <c r="J1819" s="71"/>
      <c r="K1819" s="71"/>
      <c r="L1819" s="67"/>
      <c r="N1819" s="71"/>
      <c r="O1819" s="71"/>
      <c r="P1819" s="67"/>
      <c r="R1819" s="67"/>
      <c r="S1819" s="6"/>
      <c r="T1819" s="6"/>
      <c r="U1819" s="6"/>
      <c r="V1819" s="6"/>
      <c r="W1819" s="6"/>
      <c r="X1819" s="6"/>
      <c r="Y1819" s="6"/>
      <c r="Z1819" s="6"/>
      <c r="AA1819" s="6"/>
      <c r="AB1819" s="6"/>
      <c r="AC1819" s="6"/>
      <c r="AD1819" s="6"/>
      <c r="AE1819" s="6"/>
      <c r="AF1819" s="6"/>
      <c r="AG1819" s="6"/>
      <c r="AH1819" s="6"/>
      <c r="AI1819" s="6"/>
      <c r="AJ1819" s="6"/>
      <c r="AK1819" s="6"/>
      <c r="AL1819" s="6"/>
      <c r="AM1819" s="6"/>
      <c r="AN1819" s="6"/>
      <c r="AO1819" s="6"/>
      <c r="AP1819" s="6"/>
      <c r="AQ1819" s="6"/>
      <c r="AR1819" s="6"/>
      <c r="AS1819" s="6"/>
      <c r="AT1819" s="6"/>
      <c r="AU1819" s="6"/>
      <c r="AV1819" s="6"/>
      <c r="AW1819" s="6"/>
      <c r="AX1819" s="6"/>
      <c r="AY1819" s="6"/>
      <c r="AZ1819" s="6"/>
      <c r="BA1819" s="6"/>
      <c r="BB1819" s="6"/>
      <c r="BC1819" s="6"/>
      <c r="BD1819" s="6"/>
      <c r="BE1819" s="6"/>
      <c r="BF1819" s="6"/>
      <c r="BG1819" s="6"/>
      <c r="BH1819" s="6"/>
      <c r="BI1819" s="6"/>
      <c r="BJ1819" s="6"/>
      <c r="BK1819" s="6"/>
      <c r="BL1819" s="6"/>
      <c r="BM1819" s="6"/>
      <c r="BN1819" s="6"/>
      <c r="BO1819" s="6"/>
      <c r="BP1819" s="6"/>
      <c r="BQ1819" s="6"/>
      <c r="BR1819" s="6"/>
      <c r="BS1819" s="6"/>
      <c r="BT1819" s="6"/>
      <c r="BU1819" s="6"/>
      <c r="BV1819" s="6"/>
      <c r="BW1819" s="6"/>
      <c r="BX1819" s="6"/>
      <c r="BY1819" s="6"/>
      <c r="BZ1819" s="6"/>
      <c r="CA1819" s="6"/>
      <c r="CB1819" s="6"/>
      <c r="CC1819" s="6"/>
    </row>
    <row r="1820" spans="2:81" x14ac:dyDescent="0.2">
      <c r="B1820" s="68"/>
      <c r="C1820" s="69"/>
      <c r="D1820" s="70"/>
      <c r="F1820" s="68"/>
      <c r="G1820" s="69"/>
      <c r="H1820" s="70"/>
      <c r="J1820" s="71"/>
      <c r="K1820" s="71"/>
      <c r="L1820" s="67"/>
      <c r="N1820" s="71"/>
      <c r="O1820" s="71"/>
      <c r="P1820" s="67"/>
      <c r="R1820" s="67"/>
      <c r="S1820" s="6"/>
      <c r="T1820" s="6"/>
      <c r="U1820" s="6"/>
      <c r="V1820" s="6"/>
      <c r="W1820" s="6"/>
      <c r="X1820" s="6"/>
      <c r="Y1820" s="6"/>
      <c r="Z1820" s="6"/>
      <c r="AA1820" s="6"/>
      <c r="AB1820" s="6"/>
      <c r="AC1820" s="6"/>
      <c r="AD1820" s="6"/>
      <c r="AE1820" s="6"/>
      <c r="AF1820" s="6"/>
      <c r="AG1820" s="6"/>
      <c r="AH1820" s="6"/>
      <c r="AI1820" s="6"/>
      <c r="AJ1820" s="6"/>
      <c r="AK1820" s="6"/>
      <c r="AL1820" s="6"/>
      <c r="AM1820" s="6"/>
      <c r="AN1820" s="6"/>
      <c r="AO1820" s="6"/>
      <c r="AP1820" s="6"/>
      <c r="AQ1820" s="6"/>
      <c r="AR1820" s="6"/>
      <c r="AS1820" s="6"/>
      <c r="AT1820" s="6"/>
      <c r="AU1820" s="6"/>
      <c r="AV1820" s="6"/>
      <c r="AW1820" s="6"/>
      <c r="AX1820" s="6"/>
      <c r="AY1820" s="6"/>
      <c r="AZ1820" s="6"/>
      <c r="BA1820" s="6"/>
      <c r="BB1820" s="6"/>
      <c r="BC1820" s="6"/>
      <c r="BD1820" s="6"/>
      <c r="BE1820" s="6"/>
      <c r="BF1820" s="6"/>
      <c r="BG1820" s="6"/>
      <c r="BH1820" s="6"/>
      <c r="BI1820" s="6"/>
      <c r="BJ1820" s="6"/>
      <c r="BK1820" s="6"/>
      <c r="BL1820" s="6"/>
      <c r="BM1820" s="6"/>
      <c r="BN1820" s="6"/>
      <c r="BO1820" s="6"/>
      <c r="BP1820" s="6"/>
      <c r="BQ1820" s="6"/>
      <c r="BR1820" s="6"/>
      <c r="BS1820" s="6"/>
      <c r="BT1820" s="6"/>
      <c r="BU1820" s="6"/>
      <c r="BV1820" s="6"/>
      <c r="BW1820" s="6"/>
      <c r="BX1820" s="6"/>
      <c r="BY1820" s="6"/>
      <c r="BZ1820" s="6"/>
      <c r="CA1820" s="6"/>
      <c r="CB1820" s="6"/>
      <c r="CC1820" s="6"/>
    </row>
    <row r="1821" spans="2:81" x14ac:dyDescent="0.2">
      <c r="B1821" s="68"/>
      <c r="C1821" s="69"/>
      <c r="D1821" s="70"/>
      <c r="F1821" s="68"/>
      <c r="G1821" s="69"/>
      <c r="H1821" s="70"/>
      <c r="J1821" s="71"/>
      <c r="K1821" s="71"/>
      <c r="L1821" s="67"/>
      <c r="N1821" s="71"/>
      <c r="O1821" s="71"/>
      <c r="P1821" s="67"/>
      <c r="R1821" s="67"/>
      <c r="S1821" s="6"/>
      <c r="T1821" s="6"/>
      <c r="U1821" s="6"/>
      <c r="V1821" s="6"/>
      <c r="W1821" s="6"/>
      <c r="X1821" s="6"/>
      <c r="Y1821" s="6"/>
      <c r="Z1821" s="6"/>
      <c r="AA1821" s="6"/>
      <c r="AB1821" s="6"/>
      <c r="AC1821" s="6"/>
      <c r="AD1821" s="6"/>
      <c r="AE1821" s="6"/>
      <c r="AF1821" s="6"/>
      <c r="AG1821" s="6"/>
      <c r="AH1821" s="6"/>
      <c r="AI1821" s="6"/>
      <c r="AJ1821" s="6"/>
      <c r="AK1821" s="6"/>
      <c r="AL1821" s="6"/>
      <c r="AM1821" s="6"/>
      <c r="AN1821" s="6"/>
      <c r="AO1821" s="6"/>
      <c r="AP1821" s="6"/>
      <c r="AQ1821" s="6"/>
      <c r="AR1821" s="6"/>
      <c r="AS1821" s="6"/>
      <c r="AT1821" s="6"/>
      <c r="AU1821" s="6"/>
      <c r="AV1821" s="6"/>
      <c r="AW1821" s="6"/>
      <c r="AX1821" s="6"/>
      <c r="AY1821" s="6"/>
      <c r="AZ1821" s="6"/>
      <c r="BA1821" s="6"/>
      <c r="BB1821" s="6"/>
      <c r="BC1821" s="6"/>
      <c r="BD1821" s="6"/>
      <c r="BE1821" s="6"/>
      <c r="BF1821" s="6"/>
      <c r="BG1821" s="6"/>
      <c r="BH1821" s="6"/>
      <c r="BI1821" s="6"/>
      <c r="BJ1821" s="6"/>
      <c r="BK1821" s="6"/>
      <c r="BL1821" s="6"/>
      <c r="BM1821" s="6"/>
      <c r="BN1821" s="6"/>
      <c r="BO1821" s="6"/>
      <c r="BP1821" s="6"/>
      <c r="BQ1821" s="6"/>
      <c r="BR1821" s="6"/>
      <c r="BS1821" s="6"/>
      <c r="BT1821" s="6"/>
      <c r="BU1821" s="6"/>
      <c r="BV1821" s="6"/>
      <c r="BW1821" s="6"/>
      <c r="BX1821" s="6"/>
      <c r="BY1821" s="6"/>
      <c r="BZ1821" s="6"/>
      <c r="CA1821" s="6"/>
      <c r="CB1821" s="6"/>
      <c r="CC1821" s="6"/>
    </row>
    <row r="1822" spans="2:81" x14ac:dyDescent="0.2">
      <c r="B1822" s="68"/>
      <c r="C1822" s="69"/>
      <c r="D1822" s="70"/>
      <c r="F1822" s="68"/>
      <c r="G1822" s="69"/>
      <c r="H1822" s="70"/>
      <c r="J1822" s="71"/>
      <c r="K1822" s="71"/>
      <c r="L1822" s="67"/>
      <c r="N1822" s="71"/>
      <c r="O1822" s="71"/>
      <c r="P1822" s="67"/>
      <c r="R1822" s="67"/>
      <c r="S1822" s="6"/>
      <c r="T1822" s="6"/>
      <c r="U1822" s="6"/>
      <c r="V1822" s="6"/>
      <c r="W1822" s="6"/>
      <c r="X1822" s="6"/>
      <c r="Y1822" s="6"/>
      <c r="Z1822" s="6"/>
      <c r="AA1822" s="6"/>
      <c r="AB1822" s="6"/>
      <c r="AC1822" s="6"/>
      <c r="AD1822" s="6"/>
      <c r="AE1822" s="6"/>
      <c r="AF1822" s="6"/>
      <c r="AG1822" s="6"/>
      <c r="AH1822" s="6"/>
      <c r="AI1822" s="6"/>
      <c r="AJ1822" s="6"/>
      <c r="AK1822" s="6"/>
      <c r="AL1822" s="6"/>
      <c r="AM1822" s="6"/>
      <c r="AN1822" s="6"/>
      <c r="AO1822" s="6"/>
      <c r="AP1822" s="6"/>
      <c r="AQ1822" s="6"/>
      <c r="AR1822" s="6"/>
      <c r="AS1822" s="6"/>
      <c r="AT1822" s="6"/>
      <c r="AU1822" s="6"/>
      <c r="AV1822" s="6"/>
      <c r="AW1822" s="6"/>
      <c r="AX1822" s="6"/>
      <c r="AY1822" s="6"/>
      <c r="AZ1822" s="6"/>
      <c r="BA1822" s="6"/>
      <c r="BB1822" s="6"/>
      <c r="BC1822" s="6"/>
      <c r="BD1822" s="6"/>
      <c r="BE1822" s="6"/>
      <c r="BF1822" s="6"/>
      <c r="BG1822" s="6"/>
      <c r="BH1822" s="6"/>
      <c r="BI1822" s="6"/>
      <c r="BJ1822" s="6"/>
      <c r="BK1822" s="6"/>
      <c r="BL1822" s="6"/>
      <c r="BM1822" s="6"/>
      <c r="BN1822" s="6"/>
      <c r="BO1822" s="6"/>
      <c r="BP1822" s="6"/>
      <c r="BQ1822" s="6"/>
      <c r="BR1822" s="6"/>
      <c r="BS1822" s="6"/>
      <c r="BT1822" s="6"/>
      <c r="BU1822" s="6"/>
      <c r="BV1822" s="6"/>
      <c r="BW1822" s="6"/>
      <c r="BX1822" s="6"/>
      <c r="BY1822" s="6"/>
      <c r="BZ1822" s="6"/>
      <c r="CA1822" s="6"/>
      <c r="CB1822" s="6"/>
      <c r="CC1822" s="6"/>
    </row>
    <row r="1823" spans="2:81" x14ac:dyDescent="0.2">
      <c r="B1823" s="68"/>
      <c r="C1823" s="69"/>
      <c r="D1823" s="70"/>
      <c r="F1823" s="68"/>
      <c r="G1823" s="69"/>
      <c r="H1823" s="70"/>
      <c r="J1823" s="71"/>
      <c r="K1823" s="71"/>
      <c r="L1823" s="67"/>
      <c r="N1823" s="71"/>
      <c r="O1823" s="71"/>
      <c r="P1823" s="67"/>
      <c r="R1823" s="67"/>
      <c r="S1823" s="6"/>
      <c r="T1823" s="6"/>
      <c r="U1823" s="6"/>
      <c r="V1823" s="6"/>
      <c r="W1823" s="6"/>
      <c r="X1823" s="6"/>
      <c r="Y1823" s="6"/>
      <c r="Z1823" s="6"/>
      <c r="AA1823" s="6"/>
      <c r="AB1823" s="6"/>
      <c r="AC1823" s="6"/>
      <c r="AD1823" s="6"/>
      <c r="AE1823" s="6"/>
      <c r="AF1823" s="6"/>
      <c r="AG1823" s="6"/>
      <c r="AH1823" s="6"/>
      <c r="AI1823" s="6"/>
      <c r="AJ1823" s="6"/>
      <c r="AK1823" s="6"/>
      <c r="AL1823" s="6"/>
      <c r="AM1823" s="6"/>
      <c r="AN1823" s="6"/>
      <c r="AO1823" s="6"/>
      <c r="AP1823" s="6"/>
      <c r="AQ1823" s="6"/>
      <c r="AR1823" s="6"/>
      <c r="AS1823" s="6"/>
      <c r="AT1823" s="6"/>
      <c r="AU1823" s="6"/>
      <c r="AV1823" s="6"/>
      <c r="AW1823" s="6"/>
      <c r="AX1823" s="6"/>
      <c r="AY1823" s="6"/>
      <c r="AZ1823" s="6"/>
      <c r="BA1823" s="6"/>
      <c r="BB1823" s="6"/>
      <c r="BC1823" s="6"/>
      <c r="BD1823" s="6"/>
      <c r="BE1823" s="6"/>
      <c r="BF1823" s="6"/>
      <c r="BG1823" s="6"/>
      <c r="BH1823" s="6"/>
      <c r="BI1823" s="6"/>
      <c r="BJ1823" s="6"/>
      <c r="BK1823" s="6"/>
      <c r="BL1823" s="6"/>
      <c r="BM1823" s="6"/>
      <c r="BN1823" s="6"/>
      <c r="BO1823" s="6"/>
      <c r="BP1823" s="6"/>
      <c r="BQ1823" s="6"/>
      <c r="BR1823" s="6"/>
      <c r="BS1823" s="6"/>
      <c r="BT1823" s="6"/>
      <c r="BU1823" s="6"/>
      <c r="BV1823" s="6"/>
      <c r="BW1823" s="6"/>
      <c r="BX1823" s="6"/>
      <c r="BY1823" s="6"/>
      <c r="BZ1823" s="6"/>
      <c r="CA1823" s="6"/>
      <c r="CB1823" s="6"/>
      <c r="CC1823" s="6"/>
    </row>
    <row r="1824" spans="2:81" x14ac:dyDescent="0.2">
      <c r="B1824" s="68"/>
      <c r="C1824" s="69"/>
      <c r="D1824" s="70"/>
      <c r="F1824" s="68"/>
      <c r="G1824" s="69"/>
      <c r="H1824" s="70"/>
      <c r="J1824" s="71"/>
      <c r="K1824" s="71"/>
      <c r="L1824" s="67"/>
      <c r="N1824" s="71"/>
      <c r="O1824" s="71"/>
      <c r="P1824" s="67"/>
      <c r="R1824" s="67"/>
      <c r="S1824" s="6"/>
      <c r="T1824" s="6"/>
      <c r="U1824" s="6"/>
      <c r="V1824" s="6"/>
      <c r="W1824" s="6"/>
      <c r="X1824" s="6"/>
      <c r="Y1824" s="6"/>
      <c r="Z1824" s="6"/>
      <c r="AA1824" s="6"/>
      <c r="AB1824" s="6"/>
      <c r="AC1824" s="6"/>
      <c r="AD1824" s="6"/>
      <c r="AE1824" s="6"/>
      <c r="AF1824" s="6"/>
      <c r="AG1824" s="6"/>
      <c r="AH1824" s="6"/>
      <c r="AI1824" s="6"/>
      <c r="AJ1824" s="6"/>
      <c r="AK1824" s="6"/>
      <c r="AL1824" s="6"/>
      <c r="AM1824" s="6"/>
      <c r="AN1824" s="6"/>
      <c r="AO1824" s="6"/>
      <c r="AP1824" s="6"/>
      <c r="AQ1824" s="6"/>
      <c r="AR1824" s="6"/>
      <c r="AS1824" s="6"/>
      <c r="AT1824" s="6"/>
      <c r="AU1824" s="6"/>
      <c r="AV1824" s="6"/>
      <c r="AW1824" s="6"/>
      <c r="AX1824" s="6"/>
      <c r="AY1824" s="6"/>
      <c r="AZ1824" s="6"/>
      <c r="BA1824" s="6"/>
      <c r="BB1824" s="6"/>
      <c r="BC1824" s="6"/>
      <c r="BD1824" s="6"/>
      <c r="BE1824" s="6"/>
      <c r="BF1824" s="6"/>
      <c r="BG1824" s="6"/>
      <c r="BH1824" s="6"/>
      <c r="BI1824" s="6"/>
      <c r="BJ1824" s="6"/>
      <c r="BK1824" s="6"/>
      <c r="BL1824" s="6"/>
      <c r="BM1824" s="6"/>
      <c r="BN1824" s="6"/>
      <c r="BO1824" s="6"/>
      <c r="BP1824" s="6"/>
      <c r="BQ1824" s="6"/>
      <c r="BR1824" s="6"/>
      <c r="BS1824" s="6"/>
      <c r="BT1824" s="6"/>
      <c r="BU1824" s="6"/>
      <c r="BV1824" s="6"/>
      <c r="BW1824" s="6"/>
      <c r="BX1824" s="6"/>
      <c r="BY1824" s="6"/>
      <c r="BZ1824" s="6"/>
      <c r="CA1824" s="6"/>
      <c r="CB1824" s="6"/>
      <c r="CC1824" s="6"/>
    </row>
    <row r="1825" spans="2:81" x14ac:dyDescent="0.2">
      <c r="B1825" s="68"/>
      <c r="C1825" s="69"/>
      <c r="D1825" s="70"/>
      <c r="F1825" s="68"/>
      <c r="G1825" s="69"/>
      <c r="H1825" s="70"/>
      <c r="J1825" s="71"/>
      <c r="K1825" s="71"/>
      <c r="L1825" s="67"/>
      <c r="N1825" s="71"/>
      <c r="O1825" s="71"/>
      <c r="P1825" s="67"/>
      <c r="R1825" s="67"/>
      <c r="S1825" s="6"/>
      <c r="T1825" s="6"/>
      <c r="U1825" s="6"/>
      <c r="V1825" s="6"/>
      <c r="W1825" s="6"/>
      <c r="X1825" s="6"/>
      <c r="Y1825" s="6"/>
      <c r="Z1825" s="6"/>
      <c r="AA1825" s="6"/>
      <c r="AB1825" s="6"/>
      <c r="AC1825" s="6"/>
      <c r="AD1825" s="6"/>
      <c r="AE1825" s="6"/>
      <c r="AF1825" s="6"/>
      <c r="AG1825" s="6"/>
      <c r="AH1825" s="6"/>
      <c r="AI1825" s="6"/>
      <c r="AJ1825" s="6"/>
      <c r="AK1825" s="6"/>
      <c r="AL1825" s="6"/>
      <c r="AM1825" s="6"/>
      <c r="AN1825" s="6"/>
      <c r="AO1825" s="6"/>
      <c r="AP1825" s="6"/>
      <c r="AQ1825" s="6"/>
      <c r="AR1825" s="6"/>
      <c r="AS1825" s="6"/>
      <c r="AT1825" s="6"/>
      <c r="AU1825" s="6"/>
      <c r="AV1825" s="6"/>
      <c r="AW1825" s="6"/>
      <c r="AX1825" s="6"/>
      <c r="AY1825" s="6"/>
      <c r="AZ1825" s="6"/>
      <c r="BA1825" s="6"/>
      <c r="BB1825" s="6"/>
      <c r="BC1825" s="6"/>
      <c r="BD1825" s="6"/>
      <c r="BE1825" s="6"/>
      <c r="BF1825" s="6"/>
      <c r="BG1825" s="6"/>
      <c r="BH1825" s="6"/>
      <c r="BI1825" s="6"/>
      <c r="BJ1825" s="6"/>
      <c r="BK1825" s="6"/>
      <c r="BL1825" s="6"/>
      <c r="BM1825" s="6"/>
      <c r="BN1825" s="6"/>
      <c r="BO1825" s="6"/>
      <c r="BP1825" s="6"/>
      <c r="BQ1825" s="6"/>
      <c r="BR1825" s="6"/>
      <c r="BS1825" s="6"/>
      <c r="BT1825" s="6"/>
      <c r="BU1825" s="6"/>
      <c r="BV1825" s="6"/>
      <c r="BW1825" s="6"/>
      <c r="BX1825" s="6"/>
      <c r="BY1825" s="6"/>
      <c r="BZ1825" s="6"/>
      <c r="CA1825" s="6"/>
      <c r="CB1825" s="6"/>
      <c r="CC1825" s="6"/>
    </row>
    <row r="1826" spans="2:81" x14ac:dyDescent="0.2">
      <c r="B1826" s="68"/>
      <c r="C1826" s="69"/>
      <c r="D1826" s="70"/>
      <c r="F1826" s="68"/>
      <c r="G1826" s="69"/>
      <c r="H1826" s="70"/>
      <c r="J1826" s="71"/>
      <c r="K1826" s="71"/>
      <c r="L1826" s="67"/>
      <c r="N1826" s="71"/>
      <c r="O1826" s="71"/>
      <c r="P1826" s="67"/>
      <c r="R1826" s="67"/>
      <c r="S1826" s="6"/>
      <c r="T1826" s="6"/>
      <c r="U1826" s="6"/>
      <c r="V1826" s="6"/>
      <c r="W1826" s="6"/>
      <c r="X1826" s="6"/>
      <c r="Y1826" s="6"/>
      <c r="Z1826" s="6"/>
      <c r="AA1826" s="6"/>
      <c r="AB1826" s="6"/>
      <c r="AC1826" s="6"/>
      <c r="AD1826" s="6"/>
      <c r="AE1826" s="6"/>
      <c r="AF1826" s="6"/>
      <c r="AG1826" s="6"/>
      <c r="AH1826" s="6"/>
      <c r="AI1826" s="6"/>
      <c r="AJ1826" s="6"/>
      <c r="AK1826" s="6"/>
      <c r="AL1826" s="6"/>
      <c r="AM1826" s="6"/>
      <c r="AN1826" s="6"/>
      <c r="AO1826" s="6"/>
      <c r="AP1826" s="6"/>
      <c r="AQ1826" s="6"/>
      <c r="AR1826" s="6"/>
      <c r="AS1826" s="6"/>
      <c r="AT1826" s="6"/>
      <c r="AU1826" s="6"/>
      <c r="AV1826" s="6"/>
      <c r="AW1826" s="6"/>
      <c r="AX1826" s="6"/>
      <c r="AY1826" s="6"/>
      <c r="AZ1826" s="6"/>
      <c r="BA1826" s="6"/>
      <c r="BB1826" s="6"/>
      <c r="BC1826" s="6"/>
      <c r="BD1826" s="6"/>
      <c r="BE1826" s="6"/>
      <c r="BF1826" s="6"/>
      <c r="BG1826" s="6"/>
      <c r="BH1826" s="6"/>
      <c r="BI1826" s="6"/>
      <c r="BJ1826" s="6"/>
      <c r="BK1826" s="6"/>
      <c r="BL1826" s="6"/>
      <c r="BM1826" s="6"/>
      <c r="BN1826" s="6"/>
      <c r="BO1826" s="6"/>
      <c r="BP1826" s="6"/>
      <c r="BQ1826" s="6"/>
      <c r="BR1826" s="6"/>
      <c r="BS1826" s="6"/>
      <c r="BT1826" s="6"/>
      <c r="BU1826" s="6"/>
      <c r="BV1826" s="6"/>
      <c r="BW1826" s="6"/>
      <c r="BX1826" s="6"/>
      <c r="BY1826" s="6"/>
      <c r="BZ1826" s="6"/>
      <c r="CA1826" s="6"/>
      <c r="CB1826" s="6"/>
      <c r="CC1826" s="6"/>
    </row>
    <row r="1827" spans="2:81" x14ac:dyDescent="0.2">
      <c r="B1827" s="68"/>
      <c r="C1827" s="69"/>
      <c r="D1827" s="70"/>
      <c r="F1827" s="68"/>
      <c r="G1827" s="69"/>
      <c r="H1827" s="70"/>
      <c r="J1827" s="71"/>
      <c r="K1827" s="71"/>
      <c r="L1827" s="67"/>
      <c r="N1827" s="71"/>
      <c r="O1827" s="71"/>
      <c r="P1827" s="67"/>
      <c r="R1827" s="67"/>
      <c r="S1827" s="6"/>
      <c r="T1827" s="6"/>
      <c r="U1827" s="6"/>
      <c r="V1827" s="6"/>
      <c r="W1827" s="6"/>
      <c r="X1827" s="6"/>
      <c r="Y1827" s="6"/>
      <c r="Z1827" s="6"/>
      <c r="AA1827" s="6"/>
      <c r="AB1827" s="6"/>
      <c r="AC1827" s="6"/>
      <c r="AD1827" s="6"/>
      <c r="AE1827" s="6"/>
      <c r="AF1827" s="6"/>
      <c r="AG1827" s="6"/>
      <c r="AH1827" s="6"/>
      <c r="AI1827" s="6"/>
      <c r="AJ1827" s="6"/>
      <c r="AK1827" s="6"/>
      <c r="AL1827" s="6"/>
      <c r="AM1827" s="6"/>
      <c r="AN1827" s="6"/>
      <c r="AO1827" s="6"/>
      <c r="AP1827" s="6"/>
      <c r="AQ1827" s="6"/>
      <c r="AR1827" s="6"/>
      <c r="AS1827" s="6"/>
      <c r="AT1827" s="6"/>
      <c r="AU1827" s="6"/>
      <c r="AV1827" s="6"/>
      <c r="AW1827" s="6"/>
      <c r="AX1827" s="6"/>
      <c r="AY1827" s="6"/>
      <c r="AZ1827" s="6"/>
      <c r="BA1827" s="6"/>
      <c r="BB1827" s="6"/>
      <c r="BC1827" s="6"/>
      <c r="BD1827" s="6"/>
      <c r="BE1827" s="6"/>
      <c r="BF1827" s="6"/>
      <c r="BG1827" s="6"/>
      <c r="BH1827" s="6"/>
      <c r="BI1827" s="6"/>
      <c r="BJ1827" s="6"/>
      <c r="BK1827" s="6"/>
      <c r="BL1827" s="6"/>
      <c r="BM1827" s="6"/>
      <c r="BN1827" s="6"/>
      <c r="BO1827" s="6"/>
      <c r="BP1827" s="6"/>
      <c r="BQ1827" s="6"/>
      <c r="BR1827" s="6"/>
      <c r="BS1827" s="6"/>
      <c r="BT1827" s="6"/>
      <c r="BU1827" s="6"/>
      <c r="BV1827" s="6"/>
      <c r="BW1827" s="6"/>
      <c r="BX1827" s="6"/>
      <c r="BY1827" s="6"/>
      <c r="BZ1827" s="6"/>
      <c r="CA1827" s="6"/>
      <c r="CB1827" s="6"/>
      <c r="CC1827" s="6"/>
    </row>
    <row r="1828" spans="2:81" x14ac:dyDescent="0.2">
      <c r="B1828" s="68"/>
      <c r="C1828" s="69"/>
      <c r="D1828" s="70"/>
      <c r="F1828" s="68"/>
      <c r="G1828" s="69"/>
      <c r="H1828" s="70"/>
      <c r="J1828" s="71"/>
      <c r="K1828" s="71"/>
      <c r="L1828" s="67"/>
      <c r="N1828" s="71"/>
      <c r="O1828" s="71"/>
      <c r="P1828" s="67"/>
      <c r="R1828" s="67"/>
      <c r="S1828" s="6"/>
      <c r="T1828" s="6"/>
      <c r="U1828" s="6"/>
      <c r="V1828" s="6"/>
      <c r="W1828" s="6"/>
      <c r="X1828" s="6"/>
      <c r="Y1828" s="6"/>
      <c r="Z1828" s="6"/>
      <c r="AA1828" s="6"/>
      <c r="AB1828" s="6"/>
      <c r="AC1828" s="6"/>
      <c r="AD1828" s="6"/>
      <c r="AE1828" s="6"/>
      <c r="AF1828" s="6"/>
      <c r="AG1828" s="6"/>
      <c r="AH1828" s="6"/>
      <c r="AI1828" s="6"/>
      <c r="AJ1828" s="6"/>
      <c r="AK1828" s="6"/>
      <c r="AL1828" s="6"/>
      <c r="AM1828" s="6"/>
      <c r="AN1828" s="6"/>
      <c r="AO1828" s="6"/>
      <c r="AP1828" s="6"/>
      <c r="AQ1828" s="6"/>
      <c r="AR1828" s="6"/>
      <c r="AS1828" s="6"/>
      <c r="AT1828" s="6"/>
      <c r="AU1828" s="6"/>
      <c r="AV1828" s="6"/>
      <c r="AW1828" s="6"/>
      <c r="AX1828" s="6"/>
      <c r="AY1828" s="6"/>
      <c r="AZ1828" s="6"/>
      <c r="BA1828" s="6"/>
      <c r="BB1828" s="6"/>
      <c r="BC1828" s="6"/>
      <c r="BD1828" s="6"/>
      <c r="BE1828" s="6"/>
      <c r="BF1828" s="6"/>
      <c r="BG1828" s="6"/>
      <c r="BH1828" s="6"/>
      <c r="BI1828" s="6"/>
      <c r="BJ1828" s="6"/>
      <c r="BK1828" s="6"/>
      <c r="BL1828" s="6"/>
      <c r="BM1828" s="6"/>
      <c r="BN1828" s="6"/>
      <c r="BO1828" s="6"/>
      <c r="BP1828" s="6"/>
      <c r="BQ1828" s="6"/>
      <c r="BR1828" s="6"/>
      <c r="BS1828" s="6"/>
      <c r="BT1828" s="6"/>
      <c r="BU1828" s="6"/>
      <c r="BV1828" s="6"/>
      <c r="BW1828" s="6"/>
      <c r="BX1828" s="6"/>
      <c r="BY1828" s="6"/>
      <c r="BZ1828" s="6"/>
      <c r="CA1828" s="6"/>
      <c r="CB1828" s="6"/>
      <c r="CC1828" s="6"/>
    </row>
    <row r="1829" spans="2:81" x14ac:dyDescent="0.2">
      <c r="B1829" s="68"/>
      <c r="C1829" s="69"/>
      <c r="D1829" s="70"/>
      <c r="F1829" s="68"/>
      <c r="G1829" s="69"/>
      <c r="H1829" s="70"/>
      <c r="J1829" s="71"/>
      <c r="K1829" s="71"/>
      <c r="L1829" s="67"/>
      <c r="N1829" s="71"/>
      <c r="O1829" s="71"/>
      <c r="P1829" s="67"/>
      <c r="R1829" s="67"/>
      <c r="S1829" s="6"/>
      <c r="T1829" s="6"/>
      <c r="U1829" s="6"/>
      <c r="V1829" s="6"/>
      <c r="W1829" s="6"/>
      <c r="X1829" s="6"/>
      <c r="Y1829" s="6"/>
      <c r="Z1829" s="6"/>
      <c r="AA1829" s="6"/>
      <c r="AB1829" s="6"/>
      <c r="AC1829" s="6"/>
      <c r="AD1829" s="6"/>
      <c r="AE1829" s="6"/>
      <c r="AF1829" s="6"/>
      <c r="AG1829" s="6"/>
      <c r="AH1829" s="6"/>
      <c r="AI1829" s="6"/>
      <c r="AJ1829" s="6"/>
      <c r="AK1829" s="6"/>
      <c r="AL1829" s="6"/>
      <c r="AM1829" s="6"/>
      <c r="AN1829" s="6"/>
      <c r="AO1829" s="6"/>
      <c r="AP1829" s="6"/>
      <c r="AQ1829" s="6"/>
      <c r="AR1829" s="6"/>
      <c r="AS1829" s="6"/>
      <c r="AT1829" s="6"/>
      <c r="AU1829" s="6"/>
      <c r="AV1829" s="6"/>
      <c r="AW1829" s="6"/>
      <c r="AX1829" s="6"/>
      <c r="AY1829" s="6"/>
      <c r="AZ1829" s="6"/>
      <c r="BA1829" s="6"/>
      <c r="BB1829" s="6"/>
      <c r="BC1829" s="6"/>
      <c r="BD1829" s="6"/>
      <c r="BE1829" s="6"/>
      <c r="BF1829" s="6"/>
      <c r="BG1829" s="6"/>
      <c r="BH1829" s="6"/>
      <c r="BI1829" s="6"/>
      <c r="BJ1829" s="6"/>
      <c r="BK1829" s="6"/>
      <c r="BL1829" s="6"/>
      <c r="BM1829" s="6"/>
      <c r="BN1829" s="6"/>
      <c r="BO1829" s="6"/>
      <c r="BP1829" s="6"/>
      <c r="BQ1829" s="6"/>
      <c r="BR1829" s="6"/>
      <c r="BS1829" s="6"/>
      <c r="BT1829" s="6"/>
      <c r="BU1829" s="6"/>
      <c r="BV1829" s="6"/>
      <c r="BW1829" s="6"/>
      <c r="BX1829" s="6"/>
      <c r="BY1829" s="6"/>
      <c r="BZ1829" s="6"/>
      <c r="CA1829" s="6"/>
      <c r="CB1829" s="6"/>
      <c r="CC1829" s="6"/>
    </row>
    <row r="1830" spans="2:81" x14ac:dyDescent="0.2">
      <c r="B1830" s="68"/>
      <c r="C1830" s="69"/>
      <c r="D1830" s="70"/>
      <c r="F1830" s="68"/>
      <c r="G1830" s="69"/>
      <c r="H1830" s="70"/>
      <c r="J1830" s="71"/>
      <c r="K1830" s="71"/>
      <c r="L1830" s="67"/>
      <c r="N1830" s="71"/>
      <c r="O1830" s="71"/>
      <c r="P1830" s="67"/>
      <c r="R1830" s="67"/>
      <c r="S1830" s="6"/>
      <c r="T1830" s="6"/>
      <c r="U1830" s="6"/>
      <c r="V1830" s="6"/>
      <c r="W1830" s="6"/>
      <c r="X1830" s="6"/>
      <c r="Y1830" s="6"/>
      <c r="Z1830" s="6"/>
      <c r="AA1830" s="6"/>
      <c r="AB1830" s="6"/>
      <c r="AC1830" s="6"/>
      <c r="AD1830" s="6"/>
      <c r="AE1830" s="6"/>
      <c r="AF1830" s="6"/>
      <c r="AG1830" s="6"/>
      <c r="AH1830" s="6"/>
      <c r="AI1830" s="6"/>
      <c r="AJ1830" s="6"/>
      <c r="AK1830" s="6"/>
      <c r="AL1830" s="6"/>
      <c r="AM1830" s="6"/>
      <c r="AN1830" s="6"/>
      <c r="AO1830" s="6"/>
      <c r="AP1830" s="6"/>
      <c r="AQ1830" s="6"/>
      <c r="AR1830" s="6"/>
      <c r="AS1830" s="6"/>
      <c r="AT1830" s="6"/>
      <c r="AU1830" s="6"/>
      <c r="AV1830" s="6"/>
      <c r="AW1830" s="6"/>
      <c r="AX1830" s="6"/>
      <c r="AY1830" s="6"/>
      <c r="AZ1830" s="6"/>
      <c r="BA1830" s="6"/>
      <c r="BB1830" s="6"/>
      <c r="BC1830" s="6"/>
      <c r="BD1830" s="6"/>
      <c r="BE1830" s="6"/>
      <c r="BF1830" s="6"/>
      <c r="BG1830" s="6"/>
      <c r="BH1830" s="6"/>
      <c r="BI1830" s="6"/>
      <c r="BJ1830" s="6"/>
      <c r="BK1830" s="6"/>
      <c r="BL1830" s="6"/>
      <c r="BM1830" s="6"/>
      <c r="BN1830" s="6"/>
      <c r="BO1830" s="6"/>
      <c r="BP1830" s="6"/>
      <c r="BQ1830" s="6"/>
      <c r="BR1830" s="6"/>
      <c r="BS1830" s="6"/>
      <c r="BT1830" s="6"/>
      <c r="BU1830" s="6"/>
      <c r="BV1830" s="6"/>
      <c r="BW1830" s="6"/>
      <c r="BX1830" s="6"/>
      <c r="BY1830" s="6"/>
      <c r="BZ1830" s="6"/>
      <c r="CA1830" s="6"/>
      <c r="CB1830" s="6"/>
      <c r="CC1830" s="6"/>
    </row>
    <row r="1831" spans="2:81" x14ac:dyDescent="0.2">
      <c r="B1831" s="68"/>
      <c r="C1831" s="69"/>
      <c r="D1831" s="70"/>
      <c r="F1831" s="68"/>
      <c r="G1831" s="69"/>
      <c r="H1831" s="70"/>
      <c r="J1831" s="71"/>
      <c r="K1831" s="71"/>
      <c r="L1831" s="67"/>
      <c r="N1831" s="71"/>
      <c r="O1831" s="71"/>
      <c r="P1831" s="67"/>
      <c r="R1831" s="67"/>
      <c r="S1831" s="6"/>
      <c r="T1831" s="6"/>
      <c r="U1831" s="6"/>
      <c r="V1831" s="6"/>
      <c r="W1831" s="6"/>
      <c r="X1831" s="6"/>
      <c r="Y1831" s="6"/>
      <c r="Z1831" s="6"/>
      <c r="AA1831" s="6"/>
      <c r="AB1831" s="6"/>
      <c r="AC1831" s="6"/>
      <c r="AD1831" s="6"/>
      <c r="AE1831" s="6"/>
      <c r="AF1831" s="6"/>
      <c r="AG1831" s="6"/>
      <c r="AH1831" s="6"/>
      <c r="AI1831" s="6"/>
      <c r="AJ1831" s="6"/>
      <c r="AK1831" s="6"/>
      <c r="AL1831" s="6"/>
      <c r="AM1831" s="6"/>
      <c r="AN1831" s="6"/>
      <c r="AO1831" s="6"/>
      <c r="AP1831" s="6"/>
      <c r="AQ1831" s="6"/>
      <c r="AR1831" s="6"/>
      <c r="AS1831" s="6"/>
      <c r="AT1831" s="6"/>
      <c r="AU1831" s="6"/>
      <c r="AV1831" s="6"/>
      <c r="AW1831" s="6"/>
      <c r="AX1831" s="6"/>
      <c r="AY1831" s="6"/>
      <c r="AZ1831" s="6"/>
      <c r="BA1831" s="6"/>
      <c r="BB1831" s="6"/>
      <c r="BC1831" s="6"/>
      <c r="BD1831" s="6"/>
      <c r="BE1831" s="6"/>
      <c r="BF1831" s="6"/>
      <c r="BG1831" s="6"/>
      <c r="BH1831" s="6"/>
      <c r="BI1831" s="6"/>
      <c r="BJ1831" s="6"/>
      <c r="BK1831" s="6"/>
      <c r="BL1831" s="6"/>
      <c r="BM1831" s="6"/>
      <c r="BN1831" s="6"/>
      <c r="BO1831" s="6"/>
      <c r="BP1831" s="6"/>
      <c r="BQ1831" s="6"/>
      <c r="BR1831" s="6"/>
      <c r="BS1831" s="6"/>
      <c r="BT1831" s="6"/>
      <c r="BU1831" s="6"/>
      <c r="BV1831" s="6"/>
      <c r="BW1831" s="6"/>
      <c r="BX1831" s="6"/>
      <c r="BY1831" s="6"/>
      <c r="BZ1831" s="6"/>
      <c r="CA1831" s="6"/>
      <c r="CB1831" s="6"/>
      <c r="CC1831" s="6"/>
    </row>
    <row r="1832" spans="2:81" x14ac:dyDescent="0.2">
      <c r="B1832" s="68"/>
      <c r="C1832" s="69"/>
      <c r="D1832" s="70"/>
      <c r="F1832" s="68"/>
      <c r="G1832" s="69"/>
      <c r="H1832" s="70"/>
      <c r="J1832" s="71"/>
      <c r="K1832" s="71"/>
      <c r="L1832" s="67"/>
      <c r="N1832" s="71"/>
      <c r="O1832" s="71"/>
      <c r="P1832" s="67"/>
      <c r="R1832" s="67"/>
      <c r="S1832" s="6"/>
      <c r="T1832" s="6"/>
      <c r="U1832" s="6"/>
      <c r="V1832" s="6"/>
      <c r="W1832" s="6"/>
      <c r="X1832" s="6"/>
      <c r="Y1832" s="6"/>
      <c r="Z1832" s="6"/>
      <c r="AA1832" s="6"/>
      <c r="AB1832" s="6"/>
      <c r="AC1832" s="6"/>
      <c r="AD1832" s="6"/>
      <c r="AE1832" s="6"/>
      <c r="AF1832" s="6"/>
      <c r="AG1832" s="6"/>
      <c r="AH1832" s="6"/>
      <c r="AI1832" s="6"/>
      <c r="AJ1832" s="6"/>
      <c r="AK1832" s="6"/>
      <c r="AL1832" s="6"/>
      <c r="AM1832" s="6"/>
      <c r="AN1832" s="6"/>
      <c r="AO1832" s="6"/>
      <c r="AP1832" s="6"/>
      <c r="AQ1832" s="6"/>
      <c r="AR1832" s="6"/>
      <c r="AS1832" s="6"/>
      <c r="AT1832" s="6"/>
      <c r="AU1832" s="6"/>
      <c r="AV1832" s="6"/>
      <c r="AW1832" s="6"/>
      <c r="AX1832" s="6"/>
      <c r="AY1832" s="6"/>
      <c r="AZ1832" s="6"/>
      <c r="BA1832" s="6"/>
      <c r="BB1832" s="6"/>
      <c r="BC1832" s="6"/>
      <c r="BD1832" s="6"/>
      <c r="BE1832" s="6"/>
      <c r="BF1832" s="6"/>
      <c r="BG1832" s="6"/>
      <c r="BH1832" s="6"/>
      <c r="BI1832" s="6"/>
      <c r="BJ1832" s="6"/>
      <c r="BK1832" s="6"/>
      <c r="BL1832" s="6"/>
      <c r="BM1832" s="6"/>
      <c r="BN1832" s="6"/>
      <c r="BO1832" s="6"/>
      <c r="BP1832" s="6"/>
      <c r="BQ1832" s="6"/>
      <c r="BR1832" s="6"/>
      <c r="BS1832" s="6"/>
      <c r="BT1832" s="6"/>
      <c r="BU1832" s="6"/>
      <c r="BV1832" s="6"/>
      <c r="BW1832" s="6"/>
      <c r="BX1832" s="6"/>
      <c r="BY1832" s="6"/>
      <c r="BZ1832" s="6"/>
      <c r="CA1832" s="6"/>
      <c r="CB1832" s="6"/>
      <c r="CC1832" s="6"/>
    </row>
    <row r="1833" spans="2:81" x14ac:dyDescent="0.2">
      <c r="B1833" s="68"/>
      <c r="C1833" s="69"/>
      <c r="D1833" s="70"/>
      <c r="F1833" s="68"/>
      <c r="G1833" s="69"/>
      <c r="H1833" s="70"/>
      <c r="J1833" s="71"/>
      <c r="K1833" s="71"/>
      <c r="L1833" s="67"/>
      <c r="N1833" s="71"/>
      <c r="O1833" s="71"/>
      <c r="P1833" s="67"/>
      <c r="R1833" s="67"/>
      <c r="S1833" s="6"/>
      <c r="T1833" s="6"/>
      <c r="U1833" s="6"/>
      <c r="V1833" s="6"/>
      <c r="W1833" s="6"/>
      <c r="X1833" s="6"/>
      <c r="Y1833" s="6"/>
      <c r="Z1833" s="6"/>
      <c r="AA1833" s="6"/>
      <c r="AB1833" s="6"/>
      <c r="AC1833" s="6"/>
      <c r="AD1833" s="6"/>
      <c r="AE1833" s="6"/>
      <c r="AF1833" s="6"/>
      <c r="AG1833" s="6"/>
      <c r="AH1833" s="6"/>
      <c r="AI1833" s="6"/>
      <c r="AJ1833" s="6"/>
      <c r="AK1833" s="6"/>
      <c r="AL1833" s="6"/>
      <c r="AM1833" s="6"/>
      <c r="AN1833" s="6"/>
      <c r="AO1833" s="6"/>
      <c r="AP1833" s="6"/>
      <c r="AQ1833" s="6"/>
      <c r="AR1833" s="6"/>
      <c r="AS1833" s="6"/>
      <c r="AT1833" s="6"/>
      <c r="AU1833" s="6"/>
      <c r="AV1833" s="6"/>
      <c r="AW1833" s="6"/>
      <c r="AX1833" s="6"/>
      <c r="AY1833" s="6"/>
      <c r="AZ1833" s="6"/>
      <c r="BA1833" s="6"/>
      <c r="BB1833" s="6"/>
      <c r="BC1833" s="6"/>
      <c r="BD1833" s="6"/>
      <c r="BE1833" s="6"/>
      <c r="BF1833" s="6"/>
      <c r="BG1833" s="6"/>
      <c r="BH1833" s="6"/>
      <c r="BI1833" s="6"/>
      <c r="BJ1833" s="6"/>
      <c r="BK1833" s="6"/>
      <c r="BL1833" s="6"/>
      <c r="BM1833" s="6"/>
      <c r="BN1833" s="6"/>
      <c r="BO1833" s="6"/>
      <c r="BP1833" s="6"/>
      <c r="BQ1833" s="6"/>
      <c r="BR1833" s="6"/>
      <c r="BS1833" s="6"/>
      <c r="BT1833" s="6"/>
      <c r="BU1833" s="6"/>
      <c r="BV1833" s="6"/>
      <c r="BW1833" s="6"/>
      <c r="BX1833" s="6"/>
      <c r="BY1833" s="6"/>
      <c r="BZ1833" s="6"/>
      <c r="CA1833" s="6"/>
      <c r="CB1833" s="6"/>
      <c r="CC1833" s="6"/>
    </row>
    <row r="1834" spans="2:81" x14ac:dyDescent="0.2">
      <c r="B1834" s="68"/>
      <c r="C1834" s="69"/>
      <c r="D1834" s="70"/>
      <c r="F1834" s="68"/>
      <c r="G1834" s="69"/>
      <c r="H1834" s="70"/>
      <c r="J1834" s="71"/>
      <c r="K1834" s="71"/>
      <c r="L1834" s="67"/>
      <c r="N1834" s="71"/>
      <c r="O1834" s="71"/>
      <c r="P1834" s="67"/>
      <c r="R1834" s="67"/>
      <c r="S1834" s="6"/>
      <c r="T1834" s="6"/>
      <c r="U1834" s="6"/>
      <c r="V1834" s="6"/>
      <c r="W1834" s="6"/>
      <c r="X1834" s="6"/>
      <c r="Y1834" s="6"/>
      <c r="Z1834" s="6"/>
      <c r="AA1834" s="6"/>
      <c r="AB1834" s="6"/>
      <c r="AC1834" s="6"/>
      <c r="AD1834" s="6"/>
      <c r="AE1834" s="6"/>
      <c r="AF1834" s="6"/>
      <c r="AG1834" s="6"/>
      <c r="AH1834" s="6"/>
      <c r="AI1834" s="6"/>
      <c r="AJ1834" s="6"/>
      <c r="AK1834" s="6"/>
      <c r="AL1834" s="6"/>
      <c r="AM1834" s="6"/>
      <c r="AN1834" s="6"/>
      <c r="AO1834" s="6"/>
      <c r="AP1834" s="6"/>
      <c r="AQ1834" s="6"/>
      <c r="AR1834" s="6"/>
      <c r="AS1834" s="6"/>
      <c r="AT1834" s="6"/>
      <c r="AU1834" s="6"/>
      <c r="AV1834" s="6"/>
      <c r="AW1834" s="6"/>
      <c r="AX1834" s="6"/>
      <c r="AY1834" s="6"/>
      <c r="AZ1834" s="6"/>
      <c r="BA1834" s="6"/>
      <c r="BB1834" s="6"/>
      <c r="BC1834" s="6"/>
      <c r="BD1834" s="6"/>
      <c r="BE1834" s="6"/>
      <c r="BF1834" s="6"/>
      <c r="BG1834" s="6"/>
      <c r="BH1834" s="6"/>
      <c r="BI1834" s="6"/>
      <c r="BJ1834" s="6"/>
      <c r="BK1834" s="6"/>
      <c r="BL1834" s="6"/>
      <c r="BM1834" s="6"/>
      <c r="BN1834" s="6"/>
      <c r="BO1834" s="6"/>
      <c r="BP1834" s="6"/>
      <c r="BQ1834" s="6"/>
      <c r="BR1834" s="6"/>
      <c r="BS1834" s="6"/>
      <c r="BT1834" s="6"/>
      <c r="BU1834" s="6"/>
      <c r="BV1834" s="6"/>
      <c r="BW1834" s="6"/>
      <c r="BX1834" s="6"/>
      <c r="BY1834" s="6"/>
      <c r="BZ1834" s="6"/>
      <c r="CA1834" s="6"/>
      <c r="CB1834" s="6"/>
      <c r="CC1834" s="6"/>
    </row>
    <row r="1835" spans="2:81" x14ac:dyDescent="0.2">
      <c r="B1835" s="68"/>
      <c r="C1835" s="69"/>
      <c r="D1835" s="70"/>
      <c r="F1835" s="68"/>
      <c r="G1835" s="69"/>
      <c r="H1835" s="70"/>
      <c r="J1835" s="71"/>
      <c r="K1835" s="71"/>
      <c r="L1835" s="67"/>
      <c r="N1835" s="71"/>
      <c r="O1835" s="71"/>
      <c r="P1835" s="67"/>
      <c r="R1835" s="67"/>
      <c r="S1835" s="6"/>
      <c r="T1835" s="6"/>
      <c r="U1835" s="6"/>
      <c r="V1835" s="6"/>
      <c r="W1835" s="6"/>
      <c r="X1835" s="6"/>
      <c r="Y1835" s="6"/>
      <c r="Z1835" s="6"/>
      <c r="AA1835" s="6"/>
      <c r="AB1835" s="6"/>
      <c r="AC1835" s="6"/>
      <c r="AD1835" s="6"/>
      <c r="AE1835" s="6"/>
      <c r="AF1835" s="6"/>
      <c r="AG1835" s="6"/>
      <c r="AH1835" s="6"/>
      <c r="AI1835" s="6"/>
      <c r="AJ1835" s="6"/>
      <c r="AK1835" s="6"/>
      <c r="AL1835" s="6"/>
      <c r="AM1835" s="6"/>
      <c r="AN1835" s="6"/>
      <c r="AO1835" s="6"/>
      <c r="AP1835" s="6"/>
      <c r="AQ1835" s="6"/>
      <c r="AR1835" s="6"/>
      <c r="AS1835" s="6"/>
      <c r="AT1835" s="6"/>
      <c r="AU1835" s="6"/>
      <c r="AV1835" s="6"/>
      <c r="AW1835" s="6"/>
      <c r="AX1835" s="6"/>
      <c r="AY1835" s="6"/>
      <c r="AZ1835" s="6"/>
      <c r="BA1835" s="6"/>
      <c r="BB1835" s="6"/>
      <c r="BC1835" s="6"/>
      <c r="BD1835" s="6"/>
      <c r="BE1835" s="6"/>
      <c r="BF1835" s="6"/>
      <c r="BG1835" s="6"/>
      <c r="BH1835" s="6"/>
      <c r="BI1835" s="6"/>
      <c r="BJ1835" s="6"/>
      <c r="BK1835" s="6"/>
      <c r="BL1835" s="6"/>
      <c r="BM1835" s="6"/>
      <c r="BN1835" s="6"/>
      <c r="BO1835" s="6"/>
      <c r="BP1835" s="6"/>
      <c r="BQ1835" s="6"/>
      <c r="BR1835" s="6"/>
      <c r="BS1835" s="6"/>
      <c r="BT1835" s="6"/>
      <c r="BU1835" s="6"/>
      <c r="BV1835" s="6"/>
      <c r="BW1835" s="6"/>
      <c r="BX1835" s="6"/>
      <c r="BY1835" s="6"/>
      <c r="BZ1835" s="6"/>
      <c r="CA1835" s="6"/>
      <c r="CB1835" s="6"/>
      <c r="CC1835" s="6"/>
    </row>
    <row r="1836" spans="2:81" x14ac:dyDescent="0.2">
      <c r="B1836" s="68"/>
      <c r="C1836" s="69"/>
      <c r="D1836" s="70"/>
      <c r="F1836" s="68"/>
      <c r="G1836" s="69"/>
      <c r="H1836" s="70"/>
      <c r="J1836" s="71"/>
      <c r="K1836" s="71"/>
      <c r="L1836" s="67"/>
      <c r="N1836" s="71"/>
      <c r="O1836" s="71"/>
      <c r="P1836" s="67"/>
      <c r="R1836" s="67"/>
      <c r="S1836" s="6"/>
      <c r="T1836" s="6"/>
      <c r="U1836" s="6"/>
      <c r="V1836" s="6"/>
      <c r="W1836" s="6"/>
      <c r="X1836" s="6"/>
      <c r="Y1836" s="6"/>
      <c r="Z1836" s="6"/>
      <c r="AA1836" s="6"/>
      <c r="AB1836" s="6"/>
      <c r="AC1836" s="6"/>
      <c r="AD1836" s="6"/>
      <c r="AE1836" s="6"/>
      <c r="AF1836" s="6"/>
      <c r="AG1836" s="6"/>
      <c r="AH1836" s="6"/>
      <c r="AI1836" s="6"/>
      <c r="AJ1836" s="6"/>
      <c r="AK1836" s="6"/>
      <c r="AL1836" s="6"/>
      <c r="AM1836" s="6"/>
      <c r="AN1836" s="6"/>
      <c r="AO1836" s="6"/>
      <c r="AP1836" s="6"/>
      <c r="AQ1836" s="6"/>
      <c r="AR1836" s="6"/>
      <c r="AS1836" s="6"/>
      <c r="AT1836" s="6"/>
      <c r="AU1836" s="6"/>
      <c r="AV1836" s="6"/>
      <c r="AW1836" s="6"/>
      <c r="AX1836" s="6"/>
      <c r="AY1836" s="6"/>
      <c r="AZ1836" s="6"/>
      <c r="BA1836" s="6"/>
      <c r="BB1836" s="6"/>
      <c r="BC1836" s="6"/>
      <c r="BD1836" s="6"/>
      <c r="BE1836" s="6"/>
      <c r="BF1836" s="6"/>
      <c r="BG1836" s="6"/>
      <c r="BH1836" s="6"/>
      <c r="BI1836" s="6"/>
      <c r="BJ1836" s="6"/>
      <c r="BK1836" s="6"/>
      <c r="BL1836" s="6"/>
      <c r="BM1836" s="6"/>
      <c r="BN1836" s="6"/>
      <c r="BO1836" s="6"/>
      <c r="BP1836" s="6"/>
      <c r="BQ1836" s="6"/>
      <c r="BR1836" s="6"/>
      <c r="BS1836" s="6"/>
      <c r="BT1836" s="6"/>
      <c r="BU1836" s="6"/>
      <c r="BV1836" s="6"/>
      <c r="BW1836" s="6"/>
      <c r="BX1836" s="6"/>
      <c r="BY1836" s="6"/>
      <c r="BZ1836" s="6"/>
      <c r="CA1836" s="6"/>
      <c r="CB1836" s="6"/>
      <c r="CC1836" s="6"/>
    </row>
    <row r="1837" spans="2:81" x14ac:dyDescent="0.2">
      <c r="B1837" s="68"/>
      <c r="C1837" s="69"/>
      <c r="D1837" s="70"/>
      <c r="F1837" s="68"/>
      <c r="G1837" s="69"/>
      <c r="H1837" s="70"/>
      <c r="J1837" s="71"/>
      <c r="K1837" s="71"/>
      <c r="L1837" s="67"/>
      <c r="N1837" s="71"/>
      <c r="O1837" s="71"/>
      <c r="P1837" s="67"/>
      <c r="R1837" s="67"/>
      <c r="S1837" s="6"/>
      <c r="T1837" s="6"/>
      <c r="U1837" s="6"/>
      <c r="V1837" s="6"/>
      <c r="W1837" s="6"/>
      <c r="X1837" s="6"/>
      <c r="Y1837" s="6"/>
      <c r="Z1837" s="6"/>
      <c r="AA1837" s="6"/>
      <c r="AB1837" s="6"/>
      <c r="AC1837" s="6"/>
      <c r="AD1837" s="6"/>
      <c r="AE1837" s="6"/>
      <c r="AF1837" s="6"/>
      <c r="AG1837" s="6"/>
      <c r="AH1837" s="6"/>
      <c r="AI1837" s="6"/>
      <c r="AJ1837" s="6"/>
      <c r="AK1837" s="6"/>
      <c r="AL1837" s="6"/>
      <c r="AM1837" s="6"/>
      <c r="AN1837" s="6"/>
      <c r="AO1837" s="6"/>
      <c r="AP1837" s="6"/>
      <c r="AQ1837" s="6"/>
      <c r="AR1837" s="6"/>
      <c r="AS1837" s="6"/>
      <c r="AT1837" s="6"/>
      <c r="AU1837" s="6"/>
      <c r="AV1837" s="6"/>
      <c r="AW1837" s="6"/>
      <c r="AX1837" s="6"/>
      <c r="AY1837" s="6"/>
      <c r="AZ1837" s="6"/>
      <c r="BA1837" s="6"/>
      <c r="BB1837" s="6"/>
      <c r="BC1837" s="6"/>
      <c r="BD1837" s="6"/>
      <c r="BE1837" s="6"/>
      <c r="BF1837" s="6"/>
      <c r="BG1837" s="6"/>
      <c r="BH1837" s="6"/>
      <c r="BI1837" s="6"/>
      <c r="BJ1837" s="6"/>
      <c r="BK1837" s="6"/>
      <c r="BL1837" s="6"/>
      <c r="BM1837" s="6"/>
      <c r="BN1837" s="6"/>
      <c r="BO1837" s="6"/>
      <c r="BP1837" s="6"/>
      <c r="BQ1837" s="6"/>
      <c r="BR1837" s="6"/>
      <c r="BS1837" s="6"/>
      <c r="BT1837" s="6"/>
      <c r="BU1837" s="6"/>
      <c r="BV1837" s="6"/>
      <c r="BW1837" s="6"/>
      <c r="BX1837" s="6"/>
      <c r="BY1837" s="6"/>
      <c r="BZ1837" s="6"/>
      <c r="CA1837" s="6"/>
      <c r="CB1837" s="6"/>
      <c r="CC1837" s="6"/>
    </row>
    <row r="1838" spans="2:81" x14ac:dyDescent="0.2">
      <c r="B1838" s="68"/>
      <c r="C1838" s="69"/>
      <c r="D1838" s="70"/>
      <c r="F1838" s="68"/>
      <c r="G1838" s="69"/>
      <c r="H1838" s="70"/>
      <c r="J1838" s="71"/>
      <c r="K1838" s="71"/>
      <c r="L1838" s="67"/>
      <c r="N1838" s="71"/>
      <c r="O1838" s="71"/>
      <c r="P1838" s="67"/>
      <c r="R1838" s="67"/>
      <c r="S1838" s="6"/>
      <c r="T1838" s="6"/>
      <c r="U1838" s="6"/>
      <c r="V1838" s="6"/>
      <c r="W1838" s="6"/>
      <c r="X1838" s="6"/>
      <c r="Y1838" s="6"/>
      <c r="Z1838" s="6"/>
      <c r="AA1838" s="6"/>
      <c r="AB1838" s="6"/>
      <c r="AC1838" s="6"/>
      <c r="AD1838" s="6"/>
      <c r="AE1838" s="6"/>
      <c r="AF1838" s="6"/>
      <c r="AG1838" s="6"/>
      <c r="AH1838" s="6"/>
      <c r="AI1838" s="6"/>
      <c r="AJ1838" s="6"/>
      <c r="AK1838" s="6"/>
      <c r="AL1838" s="6"/>
      <c r="AM1838" s="6"/>
      <c r="AN1838" s="6"/>
      <c r="AO1838" s="6"/>
      <c r="AP1838" s="6"/>
      <c r="AQ1838" s="6"/>
      <c r="AR1838" s="6"/>
      <c r="AS1838" s="6"/>
      <c r="AT1838" s="6"/>
      <c r="AU1838" s="6"/>
      <c r="AV1838" s="6"/>
      <c r="AW1838" s="6"/>
      <c r="AX1838" s="6"/>
      <c r="AY1838" s="6"/>
      <c r="AZ1838" s="6"/>
      <c r="BA1838" s="6"/>
      <c r="BB1838" s="6"/>
      <c r="BC1838" s="6"/>
      <c r="BD1838" s="6"/>
      <c r="BE1838" s="6"/>
      <c r="BF1838" s="6"/>
      <c r="BG1838" s="6"/>
      <c r="BH1838" s="6"/>
      <c r="BI1838" s="6"/>
      <c r="BJ1838" s="6"/>
      <c r="BK1838" s="6"/>
      <c r="BL1838" s="6"/>
      <c r="BM1838" s="6"/>
      <c r="BN1838" s="6"/>
      <c r="BO1838" s="6"/>
      <c r="BP1838" s="6"/>
      <c r="BQ1838" s="6"/>
      <c r="BR1838" s="6"/>
      <c r="BS1838" s="6"/>
      <c r="BT1838" s="6"/>
      <c r="BU1838" s="6"/>
      <c r="BV1838" s="6"/>
      <c r="BW1838" s="6"/>
      <c r="BX1838" s="6"/>
      <c r="BY1838" s="6"/>
      <c r="BZ1838" s="6"/>
      <c r="CA1838" s="6"/>
      <c r="CB1838" s="6"/>
      <c r="CC1838" s="6"/>
    </row>
    <row r="1839" spans="2:81" x14ac:dyDescent="0.2">
      <c r="B1839" s="68"/>
      <c r="C1839" s="69"/>
      <c r="D1839" s="70"/>
      <c r="F1839" s="68"/>
      <c r="G1839" s="69"/>
      <c r="H1839" s="70"/>
      <c r="J1839" s="71"/>
      <c r="K1839" s="71"/>
      <c r="L1839" s="67"/>
      <c r="N1839" s="71"/>
      <c r="O1839" s="71"/>
      <c r="P1839" s="67"/>
      <c r="R1839" s="67"/>
      <c r="S1839" s="6"/>
      <c r="T1839" s="6"/>
      <c r="U1839" s="6"/>
      <c r="V1839" s="6"/>
      <c r="W1839" s="6"/>
      <c r="X1839" s="6"/>
      <c r="Y1839" s="6"/>
      <c r="Z1839" s="6"/>
      <c r="AA1839" s="6"/>
      <c r="AB1839" s="6"/>
      <c r="AC1839" s="6"/>
      <c r="AD1839" s="6"/>
      <c r="AE1839" s="6"/>
      <c r="AF1839" s="6"/>
      <c r="AG1839" s="6"/>
      <c r="AH1839" s="6"/>
      <c r="AI1839" s="6"/>
      <c r="AJ1839" s="6"/>
      <c r="AK1839" s="6"/>
      <c r="AL1839" s="6"/>
      <c r="AM1839" s="6"/>
      <c r="AN1839" s="6"/>
      <c r="AO1839" s="6"/>
      <c r="AP1839" s="6"/>
      <c r="AQ1839" s="6"/>
      <c r="AR1839" s="6"/>
      <c r="AS1839" s="6"/>
      <c r="AT1839" s="6"/>
      <c r="AU1839" s="6"/>
      <c r="AV1839" s="6"/>
      <c r="AW1839" s="6"/>
      <c r="AX1839" s="6"/>
      <c r="AY1839" s="6"/>
      <c r="AZ1839" s="6"/>
      <c r="BA1839" s="6"/>
      <c r="BB1839" s="6"/>
      <c r="BC1839" s="6"/>
      <c r="BD1839" s="6"/>
      <c r="BE1839" s="6"/>
      <c r="BF1839" s="6"/>
      <c r="BG1839" s="6"/>
      <c r="BH1839" s="6"/>
      <c r="BI1839" s="6"/>
      <c r="BJ1839" s="6"/>
      <c r="BK1839" s="6"/>
      <c r="BL1839" s="6"/>
      <c r="BM1839" s="6"/>
      <c r="BN1839" s="6"/>
      <c r="BO1839" s="6"/>
      <c r="BP1839" s="6"/>
      <c r="BQ1839" s="6"/>
      <c r="BR1839" s="6"/>
      <c r="BS1839" s="6"/>
      <c r="BT1839" s="6"/>
      <c r="BU1839" s="6"/>
      <c r="BV1839" s="6"/>
      <c r="BW1839" s="6"/>
      <c r="BX1839" s="6"/>
      <c r="BY1839" s="6"/>
      <c r="BZ1839" s="6"/>
      <c r="CA1839" s="6"/>
      <c r="CB1839" s="6"/>
      <c r="CC1839" s="6"/>
    </row>
    <row r="1840" spans="2:81" x14ac:dyDescent="0.2">
      <c r="B1840" s="68"/>
      <c r="C1840" s="69"/>
      <c r="D1840" s="70"/>
      <c r="F1840" s="68"/>
      <c r="G1840" s="69"/>
      <c r="H1840" s="70"/>
      <c r="J1840" s="71"/>
      <c r="K1840" s="71"/>
      <c r="L1840" s="67"/>
      <c r="N1840" s="71"/>
      <c r="O1840" s="71"/>
      <c r="P1840" s="67"/>
      <c r="R1840" s="67"/>
      <c r="S1840" s="6"/>
      <c r="T1840" s="6"/>
      <c r="U1840" s="6"/>
      <c r="V1840" s="6"/>
      <c r="W1840" s="6"/>
      <c r="X1840" s="6"/>
      <c r="Y1840" s="6"/>
      <c r="Z1840" s="6"/>
      <c r="AA1840" s="6"/>
      <c r="AB1840" s="6"/>
      <c r="AC1840" s="6"/>
      <c r="AD1840" s="6"/>
      <c r="AE1840" s="6"/>
      <c r="AF1840" s="6"/>
      <c r="AG1840" s="6"/>
      <c r="AH1840" s="6"/>
      <c r="AI1840" s="6"/>
      <c r="AJ1840" s="6"/>
      <c r="AK1840" s="6"/>
      <c r="AL1840" s="6"/>
      <c r="AM1840" s="6"/>
      <c r="AN1840" s="6"/>
      <c r="AO1840" s="6"/>
      <c r="AP1840" s="6"/>
      <c r="AQ1840" s="6"/>
      <c r="AR1840" s="6"/>
      <c r="AS1840" s="6"/>
      <c r="AT1840" s="6"/>
      <c r="AU1840" s="6"/>
      <c r="AV1840" s="6"/>
      <c r="AW1840" s="6"/>
      <c r="AX1840" s="6"/>
      <c r="AY1840" s="6"/>
      <c r="AZ1840" s="6"/>
      <c r="BA1840" s="6"/>
      <c r="BB1840" s="6"/>
      <c r="BC1840" s="6"/>
      <c r="BD1840" s="6"/>
      <c r="BE1840" s="6"/>
      <c r="BF1840" s="6"/>
      <c r="BG1840" s="6"/>
      <c r="BH1840" s="6"/>
      <c r="BI1840" s="6"/>
      <c r="BJ1840" s="6"/>
      <c r="BK1840" s="6"/>
      <c r="BL1840" s="6"/>
      <c r="BM1840" s="6"/>
      <c r="BN1840" s="6"/>
      <c r="BO1840" s="6"/>
      <c r="BP1840" s="6"/>
      <c r="BQ1840" s="6"/>
      <c r="BR1840" s="6"/>
      <c r="BS1840" s="6"/>
      <c r="BT1840" s="6"/>
      <c r="BU1840" s="6"/>
      <c r="BV1840" s="6"/>
      <c r="BW1840" s="6"/>
      <c r="BX1840" s="6"/>
      <c r="BY1840" s="6"/>
      <c r="BZ1840" s="6"/>
      <c r="CA1840" s="6"/>
      <c r="CB1840" s="6"/>
      <c r="CC1840" s="6"/>
    </row>
    <row r="1841" spans="2:81" x14ac:dyDescent="0.2">
      <c r="B1841" s="68"/>
      <c r="C1841" s="69"/>
      <c r="D1841" s="70"/>
      <c r="F1841" s="68"/>
      <c r="G1841" s="69"/>
      <c r="H1841" s="70"/>
      <c r="J1841" s="71"/>
      <c r="K1841" s="71"/>
      <c r="L1841" s="67"/>
      <c r="N1841" s="71"/>
      <c r="O1841" s="71"/>
      <c r="P1841" s="67"/>
      <c r="R1841" s="67"/>
      <c r="S1841" s="6"/>
      <c r="T1841" s="6"/>
      <c r="U1841" s="6"/>
      <c r="V1841" s="6"/>
      <c r="W1841" s="6"/>
      <c r="X1841" s="6"/>
      <c r="Y1841" s="6"/>
      <c r="Z1841" s="6"/>
      <c r="AA1841" s="6"/>
      <c r="AB1841" s="6"/>
      <c r="AC1841" s="6"/>
      <c r="AD1841" s="6"/>
      <c r="AE1841" s="6"/>
      <c r="AF1841" s="6"/>
      <c r="AG1841" s="6"/>
      <c r="AH1841" s="6"/>
      <c r="AI1841" s="6"/>
      <c r="AJ1841" s="6"/>
      <c r="AK1841" s="6"/>
      <c r="AL1841" s="6"/>
      <c r="AM1841" s="6"/>
      <c r="AN1841" s="6"/>
      <c r="AO1841" s="6"/>
      <c r="AP1841" s="6"/>
      <c r="AQ1841" s="6"/>
      <c r="AR1841" s="6"/>
      <c r="AS1841" s="6"/>
      <c r="AT1841" s="6"/>
      <c r="AU1841" s="6"/>
      <c r="AV1841" s="6"/>
      <c r="AW1841" s="6"/>
      <c r="AX1841" s="6"/>
      <c r="AY1841" s="6"/>
      <c r="AZ1841" s="6"/>
      <c r="BA1841" s="6"/>
      <c r="BB1841" s="6"/>
      <c r="BC1841" s="6"/>
      <c r="BD1841" s="6"/>
      <c r="BE1841" s="6"/>
      <c r="BF1841" s="6"/>
      <c r="BG1841" s="6"/>
      <c r="BH1841" s="6"/>
      <c r="BI1841" s="6"/>
      <c r="BJ1841" s="6"/>
      <c r="BK1841" s="6"/>
      <c r="BL1841" s="6"/>
      <c r="BM1841" s="6"/>
      <c r="BN1841" s="6"/>
      <c r="BO1841" s="6"/>
      <c r="BP1841" s="6"/>
      <c r="BQ1841" s="6"/>
      <c r="BR1841" s="6"/>
      <c r="BS1841" s="6"/>
      <c r="BT1841" s="6"/>
      <c r="BU1841" s="6"/>
      <c r="BV1841" s="6"/>
      <c r="BW1841" s="6"/>
      <c r="BX1841" s="6"/>
      <c r="BY1841" s="6"/>
      <c r="BZ1841" s="6"/>
      <c r="CA1841" s="6"/>
      <c r="CB1841" s="6"/>
      <c r="CC1841" s="6"/>
    </row>
    <row r="1842" spans="2:81" x14ac:dyDescent="0.2">
      <c r="B1842" s="68"/>
      <c r="C1842" s="69"/>
      <c r="D1842" s="70"/>
      <c r="F1842" s="68"/>
      <c r="G1842" s="69"/>
      <c r="H1842" s="70"/>
      <c r="J1842" s="71"/>
      <c r="K1842" s="71"/>
      <c r="L1842" s="67"/>
      <c r="N1842" s="71"/>
      <c r="O1842" s="71"/>
      <c r="P1842" s="67"/>
      <c r="R1842" s="67"/>
      <c r="S1842" s="6"/>
      <c r="T1842" s="6"/>
      <c r="U1842" s="6"/>
      <c r="V1842" s="6"/>
      <c r="W1842" s="6"/>
      <c r="X1842" s="6"/>
      <c r="Y1842" s="6"/>
      <c r="Z1842" s="6"/>
      <c r="AA1842" s="6"/>
      <c r="AB1842" s="6"/>
      <c r="AC1842" s="6"/>
      <c r="AD1842" s="6"/>
      <c r="AE1842" s="6"/>
      <c r="AF1842" s="6"/>
      <c r="AG1842" s="6"/>
      <c r="AH1842" s="6"/>
      <c r="AI1842" s="6"/>
      <c r="AJ1842" s="6"/>
      <c r="AK1842" s="6"/>
      <c r="AL1842" s="6"/>
      <c r="AM1842" s="6"/>
      <c r="AN1842" s="6"/>
      <c r="AO1842" s="6"/>
      <c r="AP1842" s="6"/>
      <c r="AQ1842" s="6"/>
      <c r="AR1842" s="6"/>
      <c r="AS1842" s="6"/>
      <c r="AT1842" s="6"/>
      <c r="AU1842" s="6"/>
      <c r="AV1842" s="6"/>
      <c r="AW1842" s="6"/>
      <c r="AX1842" s="6"/>
      <c r="AY1842" s="6"/>
      <c r="AZ1842" s="6"/>
      <c r="BA1842" s="6"/>
      <c r="BB1842" s="6"/>
      <c r="BC1842" s="6"/>
      <c r="BD1842" s="6"/>
      <c r="BE1842" s="6"/>
      <c r="BF1842" s="6"/>
      <c r="BG1842" s="6"/>
      <c r="BH1842" s="6"/>
      <c r="BI1842" s="6"/>
      <c r="BJ1842" s="6"/>
      <c r="BK1842" s="6"/>
      <c r="BL1842" s="6"/>
      <c r="BM1842" s="6"/>
      <c r="BN1842" s="6"/>
      <c r="BO1842" s="6"/>
      <c r="BP1842" s="6"/>
      <c r="BQ1842" s="6"/>
      <c r="BR1842" s="6"/>
      <c r="BS1842" s="6"/>
      <c r="BT1842" s="6"/>
      <c r="BU1842" s="6"/>
      <c r="BV1842" s="6"/>
      <c r="BW1842" s="6"/>
      <c r="BX1842" s="6"/>
      <c r="BY1842" s="6"/>
      <c r="BZ1842" s="6"/>
      <c r="CA1842" s="6"/>
      <c r="CB1842" s="6"/>
      <c r="CC1842" s="6"/>
    </row>
    <row r="1843" spans="2:81" x14ac:dyDescent="0.2">
      <c r="B1843" s="68"/>
      <c r="C1843" s="69"/>
      <c r="D1843" s="70"/>
      <c r="F1843" s="68"/>
      <c r="G1843" s="69"/>
      <c r="H1843" s="70"/>
      <c r="J1843" s="71"/>
      <c r="K1843" s="71"/>
      <c r="L1843" s="67"/>
      <c r="N1843" s="71"/>
      <c r="O1843" s="71"/>
      <c r="P1843" s="67"/>
      <c r="R1843" s="67"/>
      <c r="S1843" s="6"/>
      <c r="T1843" s="6"/>
      <c r="U1843" s="6"/>
      <c r="V1843" s="6"/>
      <c r="W1843" s="6"/>
      <c r="X1843" s="6"/>
      <c r="Y1843" s="6"/>
      <c r="Z1843" s="6"/>
      <c r="AA1843" s="6"/>
      <c r="AB1843" s="6"/>
      <c r="AC1843" s="6"/>
      <c r="AD1843" s="6"/>
      <c r="AE1843" s="6"/>
      <c r="AF1843" s="6"/>
      <c r="AG1843" s="6"/>
      <c r="AH1843" s="6"/>
      <c r="AI1843" s="6"/>
      <c r="AJ1843" s="6"/>
      <c r="AK1843" s="6"/>
      <c r="AL1843" s="6"/>
      <c r="AM1843" s="6"/>
      <c r="AN1843" s="6"/>
      <c r="AO1843" s="6"/>
      <c r="AP1843" s="6"/>
      <c r="AQ1843" s="6"/>
      <c r="AR1843" s="6"/>
      <c r="AS1843" s="6"/>
      <c r="AT1843" s="6"/>
      <c r="AU1843" s="6"/>
      <c r="AV1843" s="6"/>
      <c r="AW1843" s="6"/>
      <c r="AX1843" s="6"/>
      <c r="AY1843" s="6"/>
      <c r="AZ1843" s="6"/>
      <c r="BA1843" s="6"/>
      <c r="BB1843" s="6"/>
      <c r="BC1843" s="6"/>
      <c r="BD1843" s="6"/>
      <c r="BE1843" s="6"/>
      <c r="BF1843" s="6"/>
      <c r="BG1843" s="6"/>
      <c r="BH1843" s="6"/>
      <c r="BI1843" s="6"/>
      <c r="BJ1843" s="6"/>
      <c r="BK1843" s="6"/>
      <c r="BL1843" s="6"/>
      <c r="BM1843" s="6"/>
      <c r="BN1843" s="6"/>
      <c r="BO1843" s="6"/>
      <c r="BP1843" s="6"/>
      <c r="BQ1843" s="6"/>
      <c r="BR1843" s="6"/>
      <c r="BS1843" s="6"/>
      <c r="BT1843" s="6"/>
      <c r="BU1843" s="6"/>
      <c r="BV1843" s="6"/>
      <c r="BW1843" s="6"/>
      <c r="BX1843" s="6"/>
      <c r="BY1843" s="6"/>
      <c r="BZ1843" s="6"/>
      <c r="CA1843" s="6"/>
      <c r="CB1843" s="6"/>
      <c r="CC1843" s="6"/>
    </row>
    <row r="1844" spans="2:81" x14ac:dyDescent="0.2">
      <c r="B1844" s="68"/>
      <c r="C1844" s="69"/>
      <c r="D1844" s="70"/>
      <c r="F1844" s="68"/>
      <c r="G1844" s="69"/>
      <c r="H1844" s="70"/>
      <c r="J1844" s="71"/>
      <c r="K1844" s="71"/>
      <c r="L1844" s="67"/>
      <c r="N1844" s="71"/>
      <c r="O1844" s="71"/>
      <c r="P1844" s="67"/>
      <c r="R1844" s="67"/>
      <c r="S1844" s="6"/>
      <c r="T1844" s="6"/>
      <c r="U1844" s="6"/>
      <c r="V1844" s="6"/>
      <c r="W1844" s="6"/>
      <c r="X1844" s="6"/>
      <c r="Y1844" s="6"/>
      <c r="Z1844" s="6"/>
      <c r="AA1844" s="6"/>
      <c r="AB1844" s="6"/>
      <c r="AC1844" s="6"/>
      <c r="AD1844" s="6"/>
      <c r="AE1844" s="6"/>
      <c r="AF1844" s="6"/>
      <c r="AG1844" s="6"/>
      <c r="AH1844" s="6"/>
      <c r="AI1844" s="6"/>
      <c r="AJ1844" s="6"/>
      <c r="AK1844" s="6"/>
      <c r="AL1844" s="6"/>
      <c r="AM1844" s="6"/>
      <c r="AN1844" s="6"/>
      <c r="AO1844" s="6"/>
      <c r="AP1844" s="6"/>
      <c r="AQ1844" s="6"/>
      <c r="AR1844" s="6"/>
      <c r="AS1844" s="6"/>
      <c r="AT1844" s="6"/>
      <c r="AU1844" s="6"/>
      <c r="AV1844" s="6"/>
      <c r="AW1844" s="6"/>
      <c r="AX1844" s="6"/>
      <c r="AY1844" s="6"/>
      <c r="AZ1844" s="6"/>
      <c r="BA1844" s="6"/>
      <c r="BB1844" s="6"/>
      <c r="BC1844" s="6"/>
      <c r="BD1844" s="6"/>
      <c r="BE1844" s="6"/>
      <c r="BF1844" s="6"/>
      <c r="BG1844" s="6"/>
      <c r="BH1844" s="6"/>
      <c r="BI1844" s="6"/>
      <c r="BJ1844" s="6"/>
      <c r="BK1844" s="6"/>
      <c r="BL1844" s="6"/>
      <c r="BM1844" s="6"/>
      <c r="BN1844" s="6"/>
      <c r="BO1844" s="6"/>
      <c r="BP1844" s="6"/>
      <c r="BQ1844" s="6"/>
      <c r="BR1844" s="6"/>
      <c r="BS1844" s="6"/>
      <c r="BT1844" s="6"/>
      <c r="BU1844" s="6"/>
      <c r="BV1844" s="6"/>
      <c r="BW1844" s="6"/>
      <c r="BX1844" s="6"/>
      <c r="BY1844" s="6"/>
      <c r="BZ1844" s="6"/>
      <c r="CA1844" s="6"/>
      <c r="CB1844" s="6"/>
      <c r="CC1844" s="6"/>
    </row>
    <row r="1845" spans="2:81" x14ac:dyDescent="0.2">
      <c r="B1845" s="68"/>
      <c r="C1845" s="69"/>
      <c r="D1845" s="70"/>
      <c r="F1845" s="68"/>
      <c r="G1845" s="69"/>
      <c r="H1845" s="70"/>
      <c r="J1845" s="71"/>
      <c r="K1845" s="71"/>
      <c r="L1845" s="67"/>
      <c r="N1845" s="71"/>
      <c r="O1845" s="71"/>
      <c r="P1845" s="67"/>
      <c r="R1845" s="67"/>
      <c r="S1845" s="6"/>
      <c r="T1845" s="6"/>
      <c r="U1845" s="6"/>
      <c r="V1845" s="6"/>
      <c r="W1845" s="6"/>
      <c r="X1845" s="6"/>
      <c r="Y1845" s="6"/>
      <c r="Z1845" s="6"/>
      <c r="AA1845" s="6"/>
      <c r="AB1845" s="6"/>
      <c r="AC1845" s="6"/>
      <c r="AD1845" s="6"/>
      <c r="AE1845" s="6"/>
      <c r="AF1845" s="6"/>
      <c r="AG1845" s="6"/>
      <c r="AH1845" s="6"/>
      <c r="AI1845" s="6"/>
      <c r="AJ1845" s="6"/>
      <c r="AK1845" s="6"/>
      <c r="AL1845" s="6"/>
      <c r="AM1845" s="6"/>
      <c r="AN1845" s="6"/>
      <c r="AO1845" s="6"/>
      <c r="AP1845" s="6"/>
      <c r="AQ1845" s="6"/>
      <c r="AR1845" s="6"/>
      <c r="AS1845" s="6"/>
      <c r="AT1845" s="6"/>
      <c r="AU1845" s="6"/>
      <c r="AV1845" s="6"/>
      <c r="AW1845" s="6"/>
      <c r="AX1845" s="6"/>
      <c r="AY1845" s="6"/>
      <c r="AZ1845" s="6"/>
      <c r="BA1845" s="6"/>
      <c r="BB1845" s="6"/>
      <c r="BC1845" s="6"/>
      <c r="BD1845" s="6"/>
      <c r="BE1845" s="6"/>
      <c r="BF1845" s="6"/>
      <c r="BG1845" s="6"/>
      <c r="BH1845" s="6"/>
      <c r="BI1845" s="6"/>
      <c r="BJ1845" s="6"/>
      <c r="BK1845" s="6"/>
      <c r="BL1845" s="6"/>
      <c r="BM1845" s="6"/>
      <c r="BN1845" s="6"/>
      <c r="BO1845" s="6"/>
      <c r="BP1845" s="6"/>
      <c r="BQ1845" s="6"/>
      <c r="BR1845" s="6"/>
      <c r="BS1845" s="6"/>
      <c r="BT1845" s="6"/>
      <c r="BU1845" s="6"/>
      <c r="BV1845" s="6"/>
      <c r="BW1845" s="6"/>
      <c r="BX1845" s="6"/>
      <c r="BY1845" s="6"/>
      <c r="BZ1845" s="6"/>
      <c r="CA1845" s="6"/>
      <c r="CB1845" s="6"/>
      <c r="CC1845" s="6"/>
    </row>
    <row r="1846" spans="2:81" x14ac:dyDescent="0.2">
      <c r="B1846" s="68"/>
      <c r="C1846" s="69"/>
      <c r="D1846" s="70"/>
      <c r="F1846" s="68"/>
      <c r="G1846" s="69"/>
      <c r="H1846" s="70"/>
      <c r="J1846" s="71"/>
      <c r="K1846" s="71"/>
      <c r="L1846" s="67"/>
      <c r="N1846" s="71"/>
      <c r="O1846" s="71"/>
      <c r="P1846" s="67"/>
      <c r="R1846" s="67"/>
      <c r="S1846" s="6"/>
      <c r="T1846" s="6"/>
      <c r="U1846" s="6"/>
      <c r="V1846" s="6"/>
      <c r="W1846" s="6"/>
      <c r="X1846" s="6"/>
      <c r="Y1846" s="6"/>
      <c r="Z1846" s="6"/>
      <c r="AA1846" s="6"/>
      <c r="AB1846" s="6"/>
      <c r="AC1846" s="6"/>
      <c r="AD1846" s="6"/>
      <c r="AE1846" s="6"/>
      <c r="AF1846" s="6"/>
      <c r="AG1846" s="6"/>
      <c r="AH1846" s="6"/>
      <c r="AI1846" s="6"/>
      <c r="AJ1846" s="6"/>
      <c r="AK1846" s="6"/>
      <c r="AL1846" s="6"/>
      <c r="AM1846" s="6"/>
      <c r="AN1846" s="6"/>
      <c r="AO1846" s="6"/>
      <c r="AP1846" s="6"/>
      <c r="AQ1846" s="6"/>
      <c r="AR1846" s="6"/>
      <c r="AS1846" s="6"/>
      <c r="AT1846" s="6"/>
      <c r="AU1846" s="6"/>
      <c r="AV1846" s="6"/>
      <c r="AW1846" s="6"/>
      <c r="AX1846" s="6"/>
      <c r="AY1846" s="6"/>
      <c r="AZ1846" s="6"/>
      <c r="BA1846" s="6"/>
      <c r="BB1846" s="6"/>
      <c r="BC1846" s="6"/>
      <c r="BD1846" s="6"/>
      <c r="BE1846" s="6"/>
      <c r="BF1846" s="6"/>
      <c r="BG1846" s="6"/>
      <c r="BH1846" s="6"/>
      <c r="BI1846" s="6"/>
      <c r="BJ1846" s="6"/>
      <c r="BK1846" s="6"/>
      <c r="BL1846" s="6"/>
      <c r="BM1846" s="6"/>
      <c r="BN1846" s="6"/>
      <c r="BO1846" s="6"/>
      <c r="BP1846" s="6"/>
      <c r="BQ1846" s="6"/>
      <c r="BR1846" s="6"/>
      <c r="BS1846" s="6"/>
      <c r="BT1846" s="6"/>
      <c r="BU1846" s="6"/>
      <c r="BV1846" s="6"/>
      <c r="BW1846" s="6"/>
      <c r="BX1846" s="6"/>
      <c r="BY1846" s="6"/>
      <c r="BZ1846" s="6"/>
      <c r="CA1846" s="6"/>
      <c r="CB1846" s="6"/>
      <c r="CC1846" s="6"/>
    </row>
    <row r="1847" spans="2:81" x14ac:dyDescent="0.2">
      <c r="B1847" s="68"/>
      <c r="C1847" s="69"/>
      <c r="D1847" s="70"/>
      <c r="F1847" s="68"/>
      <c r="G1847" s="69"/>
      <c r="H1847" s="70"/>
      <c r="J1847" s="71"/>
      <c r="K1847" s="71"/>
      <c r="L1847" s="67"/>
      <c r="N1847" s="71"/>
      <c r="O1847" s="71"/>
      <c r="P1847" s="67"/>
      <c r="R1847" s="67"/>
      <c r="S1847" s="6"/>
      <c r="T1847" s="6"/>
      <c r="U1847" s="6"/>
      <c r="V1847" s="6"/>
      <c r="W1847" s="6"/>
      <c r="X1847" s="6"/>
      <c r="Y1847" s="6"/>
      <c r="Z1847" s="6"/>
      <c r="AA1847" s="6"/>
      <c r="AB1847" s="6"/>
      <c r="AC1847" s="6"/>
      <c r="AD1847" s="6"/>
      <c r="AE1847" s="6"/>
      <c r="AF1847" s="6"/>
      <c r="AG1847" s="6"/>
      <c r="AH1847" s="6"/>
      <c r="AI1847" s="6"/>
      <c r="AJ1847" s="6"/>
      <c r="AK1847" s="6"/>
      <c r="AL1847" s="6"/>
      <c r="AM1847" s="6"/>
      <c r="AN1847" s="6"/>
      <c r="AO1847" s="6"/>
      <c r="AP1847" s="6"/>
      <c r="AQ1847" s="6"/>
      <c r="AR1847" s="6"/>
      <c r="AS1847" s="6"/>
      <c r="AT1847" s="6"/>
      <c r="AU1847" s="6"/>
      <c r="AV1847" s="6"/>
      <c r="AW1847" s="6"/>
      <c r="AX1847" s="6"/>
      <c r="AY1847" s="6"/>
      <c r="AZ1847" s="6"/>
      <c r="BA1847" s="6"/>
      <c r="BB1847" s="6"/>
      <c r="BC1847" s="6"/>
      <c r="BD1847" s="6"/>
      <c r="BE1847" s="6"/>
      <c r="BF1847" s="6"/>
      <c r="BG1847" s="6"/>
      <c r="BH1847" s="6"/>
      <c r="BI1847" s="6"/>
      <c r="BJ1847" s="6"/>
      <c r="BK1847" s="6"/>
      <c r="BL1847" s="6"/>
      <c r="BM1847" s="6"/>
      <c r="BN1847" s="6"/>
      <c r="BO1847" s="6"/>
      <c r="BP1847" s="6"/>
      <c r="BQ1847" s="6"/>
      <c r="BR1847" s="6"/>
      <c r="BS1847" s="6"/>
      <c r="BT1847" s="6"/>
      <c r="BU1847" s="6"/>
      <c r="BV1847" s="6"/>
      <c r="BW1847" s="6"/>
      <c r="BX1847" s="6"/>
      <c r="BY1847" s="6"/>
      <c r="BZ1847" s="6"/>
      <c r="CA1847" s="6"/>
      <c r="CB1847" s="6"/>
      <c r="CC1847" s="6"/>
    </row>
    <row r="1848" spans="2:81" x14ac:dyDescent="0.2">
      <c r="B1848" s="68"/>
      <c r="C1848" s="69"/>
      <c r="D1848" s="70"/>
      <c r="F1848" s="68"/>
      <c r="G1848" s="69"/>
      <c r="H1848" s="70"/>
      <c r="J1848" s="71"/>
      <c r="K1848" s="71"/>
      <c r="L1848" s="67"/>
      <c r="N1848" s="71"/>
      <c r="O1848" s="71"/>
      <c r="P1848" s="67"/>
      <c r="R1848" s="67"/>
      <c r="S1848" s="6"/>
      <c r="T1848" s="6"/>
      <c r="U1848" s="6"/>
      <c r="V1848" s="6"/>
      <c r="W1848" s="6"/>
      <c r="X1848" s="6"/>
      <c r="Y1848" s="6"/>
      <c r="Z1848" s="6"/>
      <c r="AA1848" s="6"/>
      <c r="AB1848" s="6"/>
      <c r="AC1848" s="6"/>
      <c r="AD1848" s="6"/>
      <c r="AE1848" s="6"/>
      <c r="AF1848" s="6"/>
      <c r="AG1848" s="6"/>
      <c r="AH1848" s="6"/>
      <c r="AI1848" s="6"/>
      <c r="AJ1848" s="6"/>
      <c r="AK1848" s="6"/>
      <c r="AL1848" s="6"/>
      <c r="AM1848" s="6"/>
      <c r="AN1848" s="6"/>
      <c r="AO1848" s="6"/>
      <c r="AP1848" s="6"/>
      <c r="AQ1848" s="6"/>
      <c r="AR1848" s="6"/>
      <c r="AS1848" s="6"/>
      <c r="AT1848" s="6"/>
      <c r="AU1848" s="6"/>
      <c r="AV1848" s="6"/>
      <c r="AW1848" s="6"/>
      <c r="AX1848" s="6"/>
      <c r="AY1848" s="6"/>
      <c r="AZ1848" s="6"/>
      <c r="BA1848" s="6"/>
      <c r="BB1848" s="6"/>
      <c r="BC1848" s="6"/>
      <c r="BD1848" s="6"/>
      <c r="BE1848" s="6"/>
      <c r="BF1848" s="6"/>
      <c r="BG1848" s="6"/>
      <c r="BH1848" s="6"/>
      <c r="BI1848" s="6"/>
      <c r="BJ1848" s="6"/>
      <c r="BK1848" s="6"/>
      <c r="BL1848" s="6"/>
      <c r="BM1848" s="6"/>
      <c r="BN1848" s="6"/>
      <c r="BO1848" s="6"/>
      <c r="BP1848" s="6"/>
      <c r="BQ1848" s="6"/>
      <c r="BR1848" s="6"/>
      <c r="BS1848" s="6"/>
      <c r="BT1848" s="6"/>
      <c r="BU1848" s="6"/>
      <c r="BV1848" s="6"/>
      <c r="BW1848" s="6"/>
      <c r="BX1848" s="6"/>
      <c r="BY1848" s="6"/>
      <c r="BZ1848" s="6"/>
      <c r="CA1848" s="6"/>
      <c r="CB1848" s="6"/>
      <c r="CC1848" s="6"/>
    </row>
    <row r="1849" spans="2:81" x14ac:dyDescent="0.2">
      <c r="B1849" s="68"/>
      <c r="C1849" s="69"/>
      <c r="D1849" s="70"/>
      <c r="F1849" s="68"/>
      <c r="G1849" s="69"/>
      <c r="H1849" s="70"/>
      <c r="J1849" s="71"/>
      <c r="K1849" s="71"/>
      <c r="L1849" s="67"/>
      <c r="N1849" s="71"/>
      <c r="O1849" s="71"/>
      <c r="P1849" s="67"/>
      <c r="R1849" s="67"/>
      <c r="S1849" s="6"/>
      <c r="T1849" s="6"/>
      <c r="U1849" s="6"/>
      <c r="V1849" s="6"/>
      <c r="W1849" s="6"/>
      <c r="X1849" s="6"/>
      <c r="Y1849" s="6"/>
      <c r="Z1849" s="6"/>
      <c r="AA1849" s="6"/>
      <c r="AB1849" s="6"/>
      <c r="AC1849" s="6"/>
      <c r="AD1849" s="6"/>
      <c r="AE1849" s="6"/>
      <c r="AF1849" s="6"/>
      <c r="AG1849" s="6"/>
      <c r="AH1849" s="6"/>
      <c r="AI1849" s="6"/>
      <c r="AJ1849" s="6"/>
      <c r="AK1849" s="6"/>
      <c r="AL1849" s="6"/>
      <c r="AM1849" s="6"/>
      <c r="AN1849" s="6"/>
      <c r="AO1849" s="6"/>
      <c r="AP1849" s="6"/>
      <c r="AQ1849" s="6"/>
      <c r="AR1849" s="6"/>
      <c r="AS1849" s="6"/>
      <c r="AT1849" s="6"/>
      <c r="AU1849" s="6"/>
      <c r="AV1849" s="6"/>
      <c r="AW1849" s="6"/>
      <c r="AX1849" s="6"/>
      <c r="AY1849" s="6"/>
      <c r="AZ1849" s="6"/>
      <c r="BA1849" s="6"/>
      <c r="BB1849" s="6"/>
      <c r="BC1849" s="6"/>
      <c r="BD1849" s="6"/>
      <c r="BE1849" s="6"/>
      <c r="BF1849" s="6"/>
      <c r="BG1849" s="6"/>
      <c r="BH1849" s="6"/>
      <c r="BI1849" s="6"/>
      <c r="BJ1849" s="6"/>
      <c r="BK1849" s="6"/>
      <c r="BL1849" s="6"/>
      <c r="BM1849" s="6"/>
      <c r="BN1849" s="6"/>
      <c r="BO1849" s="6"/>
      <c r="BP1849" s="6"/>
      <c r="BQ1849" s="6"/>
      <c r="BR1849" s="6"/>
      <c r="BS1849" s="6"/>
      <c r="BT1849" s="6"/>
      <c r="BU1849" s="6"/>
      <c r="BV1849" s="6"/>
      <c r="BW1849" s="6"/>
      <c r="BX1849" s="6"/>
      <c r="BY1849" s="6"/>
      <c r="BZ1849" s="6"/>
      <c r="CA1849" s="6"/>
      <c r="CB1849" s="6"/>
      <c r="CC1849" s="6"/>
    </row>
    <row r="1850" spans="2:81" x14ac:dyDescent="0.2">
      <c r="B1850" s="68"/>
      <c r="C1850" s="69"/>
      <c r="D1850" s="70"/>
      <c r="F1850" s="68"/>
      <c r="G1850" s="69"/>
      <c r="H1850" s="70"/>
      <c r="J1850" s="71"/>
      <c r="K1850" s="71"/>
      <c r="L1850" s="67"/>
      <c r="N1850" s="71"/>
      <c r="O1850" s="71"/>
      <c r="P1850" s="67"/>
      <c r="R1850" s="67"/>
      <c r="S1850" s="6"/>
      <c r="T1850" s="6"/>
      <c r="U1850" s="6"/>
      <c r="V1850" s="6"/>
      <c r="W1850" s="6"/>
      <c r="X1850" s="6"/>
      <c r="Y1850" s="6"/>
      <c r="Z1850" s="6"/>
      <c r="AA1850" s="6"/>
      <c r="AB1850" s="6"/>
      <c r="AC1850" s="6"/>
      <c r="AD1850" s="6"/>
      <c r="AE1850" s="6"/>
      <c r="AF1850" s="6"/>
      <c r="AG1850" s="6"/>
      <c r="AH1850" s="6"/>
      <c r="AI1850" s="6"/>
      <c r="AJ1850" s="6"/>
      <c r="AK1850" s="6"/>
      <c r="AL1850" s="6"/>
      <c r="AM1850" s="6"/>
      <c r="AN1850" s="6"/>
      <c r="AO1850" s="6"/>
      <c r="AP1850" s="6"/>
      <c r="AQ1850" s="6"/>
      <c r="AR1850" s="6"/>
      <c r="AS1850" s="6"/>
      <c r="AT1850" s="6"/>
      <c r="AU1850" s="6"/>
      <c r="AV1850" s="6"/>
      <c r="AW1850" s="6"/>
      <c r="AX1850" s="6"/>
      <c r="AY1850" s="6"/>
      <c r="AZ1850" s="6"/>
      <c r="BA1850" s="6"/>
      <c r="BB1850" s="6"/>
      <c r="BC1850" s="6"/>
      <c r="BD1850" s="6"/>
      <c r="BE1850" s="6"/>
      <c r="BF1850" s="6"/>
      <c r="BG1850" s="6"/>
      <c r="BH1850" s="6"/>
      <c r="BI1850" s="6"/>
      <c r="BJ1850" s="6"/>
      <c r="BK1850" s="6"/>
      <c r="BL1850" s="6"/>
      <c r="BM1850" s="6"/>
      <c r="BN1850" s="6"/>
      <c r="BO1850" s="6"/>
      <c r="BP1850" s="6"/>
      <c r="BQ1850" s="6"/>
      <c r="BR1850" s="6"/>
      <c r="BS1850" s="6"/>
      <c r="BT1850" s="6"/>
      <c r="BU1850" s="6"/>
      <c r="BV1850" s="6"/>
      <c r="BW1850" s="6"/>
      <c r="BX1850" s="6"/>
      <c r="BY1850" s="6"/>
      <c r="BZ1850" s="6"/>
      <c r="CA1850" s="6"/>
      <c r="CB1850" s="6"/>
      <c r="CC1850" s="6"/>
    </row>
    <row r="1851" spans="2:81" x14ac:dyDescent="0.2">
      <c r="B1851" s="68"/>
      <c r="C1851" s="69"/>
      <c r="D1851" s="70"/>
      <c r="F1851" s="68"/>
      <c r="G1851" s="69"/>
      <c r="H1851" s="70"/>
      <c r="J1851" s="71"/>
      <c r="K1851" s="71"/>
      <c r="L1851" s="67"/>
      <c r="N1851" s="71"/>
      <c r="O1851" s="71"/>
      <c r="P1851" s="67"/>
      <c r="R1851" s="67"/>
      <c r="S1851" s="6"/>
      <c r="T1851" s="6"/>
      <c r="U1851" s="6"/>
      <c r="V1851" s="6"/>
      <c r="W1851" s="6"/>
      <c r="X1851" s="6"/>
      <c r="Y1851" s="6"/>
      <c r="Z1851" s="6"/>
      <c r="AA1851" s="6"/>
      <c r="AB1851" s="6"/>
      <c r="AC1851" s="6"/>
      <c r="AD1851" s="6"/>
      <c r="AE1851" s="6"/>
      <c r="AF1851" s="6"/>
      <c r="AG1851" s="6"/>
      <c r="AH1851" s="6"/>
      <c r="AI1851" s="6"/>
      <c r="AJ1851" s="6"/>
      <c r="AK1851" s="6"/>
      <c r="AL1851" s="6"/>
      <c r="AM1851" s="6"/>
      <c r="AN1851" s="6"/>
      <c r="AO1851" s="6"/>
      <c r="AP1851" s="6"/>
      <c r="AQ1851" s="6"/>
      <c r="AR1851" s="6"/>
      <c r="AS1851" s="6"/>
      <c r="AT1851" s="6"/>
      <c r="AU1851" s="6"/>
      <c r="AV1851" s="6"/>
      <c r="AW1851" s="6"/>
      <c r="AX1851" s="6"/>
      <c r="AY1851" s="6"/>
      <c r="AZ1851" s="6"/>
      <c r="BA1851" s="6"/>
      <c r="BB1851" s="6"/>
      <c r="BC1851" s="6"/>
      <c r="BD1851" s="6"/>
      <c r="BE1851" s="6"/>
      <c r="BF1851" s="6"/>
      <c r="BG1851" s="6"/>
      <c r="BH1851" s="6"/>
      <c r="BI1851" s="6"/>
      <c r="BJ1851" s="6"/>
      <c r="BK1851" s="6"/>
      <c r="BL1851" s="6"/>
      <c r="BM1851" s="6"/>
      <c r="BN1851" s="6"/>
      <c r="BO1851" s="6"/>
      <c r="BP1851" s="6"/>
      <c r="BQ1851" s="6"/>
      <c r="BR1851" s="6"/>
      <c r="BS1851" s="6"/>
      <c r="BT1851" s="6"/>
      <c r="BU1851" s="6"/>
      <c r="BV1851" s="6"/>
      <c r="BW1851" s="6"/>
      <c r="BX1851" s="6"/>
      <c r="BY1851" s="6"/>
      <c r="BZ1851" s="6"/>
      <c r="CA1851" s="6"/>
      <c r="CB1851" s="6"/>
      <c r="CC1851" s="6"/>
    </row>
    <row r="1852" spans="2:81" x14ac:dyDescent="0.2">
      <c r="B1852" s="68"/>
      <c r="C1852" s="69"/>
      <c r="D1852" s="70"/>
      <c r="F1852" s="68"/>
      <c r="G1852" s="69"/>
      <c r="H1852" s="70"/>
      <c r="J1852" s="71"/>
      <c r="K1852" s="71"/>
      <c r="L1852" s="67"/>
      <c r="N1852" s="71"/>
      <c r="O1852" s="71"/>
      <c r="P1852" s="67"/>
      <c r="R1852" s="67"/>
      <c r="S1852" s="6"/>
      <c r="T1852" s="6"/>
      <c r="U1852" s="6"/>
      <c r="V1852" s="6"/>
      <c r="W1852" s="6"/>
      <c r="X1852" s="6"/>
      <c r="Y1852" s="6"/>
      <c r="Z1852" s="6"/>
      <c r="AA1852" s="6"/>
      <c r="AB1852" s="6"/>
      <c r="AC1852" s="6"/>
      <c r="AD1852" s="6"/>
      <c r="AE1852" s="6"/>
      <c r="AF1852" s="6"/>
      <c r="AG1852" s="6"/>
      <c r="AH1852" s="6"/>
      <c r="AI1852" s="6"/>
      <c r="AJ1852" s="6"/>
      <c r="AK1852" s="6"/>
      <c r="AL1852" s="6"/>
      <c r="AM1852" s="6"/>
      <c r="AN1852" s="6"/>
      <c r="AO1852" s="6"/>
      <c r="AP1852" s="6"/>
      <c r="AQ1852" s="6"/>
      <c r="AR1852" s="6"/>
      <c r="AS1852" s="6"/>
      <c r="AT1852" s="6"/>
      <c r="AU1852" s="6"/>
      <c r="AV1852" s="6"/>
      <c r="AW1852" s="6"/>
      <c r="AX1852" s="6"/>
      <c r="AY1852" s="6"/>
      <c r="AZ1852" s="6"/>
      <c r="BA1852" s="6"/>
      <c r="BB1852" s="6"/>
      <c r="BC1852" s="6"/>
      <c r="BD1852" s="6"/>
      <c r="BE1852" s="6"/>
      <c r="BF1852" s="6"/>
      <c r="BG1852" s="6"/>
      <c r="BH1852" s="6"/>
      <c r="BI1852" s="6"/>
      <c r="BJ1852" s="6"/>
      <c r="BK1852" s="6"/>
      <c r="BL1852" s="6"/>
      <c r="BM1852" s="6"/>
      <c r="BN1852" s="6"/>
      <c r="BO1852" s="6"/>
      <c r="BP1852" s="6"/>
      <c r="BQ1852" s="6"/>
      <c r="BR1852" s="6"/>
      <c r="BS1852" s="6"/>
      <c r="BT1852" s="6"/>
      <c r="BU1852" s="6"/>
      <c r="BV1852" s="6"/>
      <c r="BW1852" s="6"/>
      <c r="BX1852" s="6"/>
      <c r="BY1852" s="6"/>
      <c r="BZ1852" s="6"/>
      <c r="CA1852" s="6"/>
      <c r="CB1852" s="6"/>
      <c r="CC1852" s="6"/>
    </row>
    <row r="1853" spans="2:81" x14ac:dyDescent="0.2">
      <c r="B1853" s="68"/>
      <c r="C1853" s="69"/>
      <c r="D1853" s="70"/>
      <c r="F1853" s="68"/>
      <c r="G1853" s="69"/>
      <c r="H1853" s="70"/>
      <c r="J1853" s="71"/>
      <c r="K1853" s="71"/>
      <c r="L1853" s="67"/>
      <c r="N1853" s="71"/>
      <c r="O1853" s="71"/>
      <c r="P1853" s="67"/>
      <c r="R1853" s="67"/>
      <c r="S1853" s="6"/>
      <c r="T1853" s="6"/>
      <c r="U1853" s="6"/>
      <c r="V1853" s="6"/>
      <c r="W1853" s="6"/>
      <c r="X1853" s="6"/>
      <c r="Y1853" s="6"/>
      <c r="Z1853" s="6"/>
      <c r="AA1853" s="6"/>
      <c r="AB1853" s="6"/>
      <c r="AC1853" s="6"/>
      <c r="AD1853" s="6"/>
      <c r="AE1853" s="6"/>
      <c r="AF1853" s="6"/>
      <c r="AG1853" s="6"/>
      <c r="AH1853" s="6"/>
      <c r="AI1853" s="6"/>
      <c r="AJ1853" s="6"/>
      <c r="AK1853" s="6"/>
      <c r="AL1853" s="6"/>
      <c r="AM1853" s="6"/>
      <c r="AN1853" s="6"/>
      <c r="AO1853" s="6"/>
      <c r="AP1853" s="6"/>
      <c r="AQ1853" s="6"/>
      <c r="AR1853" s="6"/>
      <c r="AS1853" s="6"/>
      <c r="AT1853" s="6"/>
      <c r="AU1853" s="6"/>
      <c r="AV1853" s="6"/>
      <c r="AW1853" s="6"/>
      <c r="AX1853" s="6"/>
      <c r="AY1853" s="6"/>
      <c r="AZ1853" s="6"/>
      <c r="BA1853" s="6"/>
      <c r="BB1853" s="6"/>
      <c r="BC1853" s="6"/>
      <c r="BD1853" s="6"/>
      <c r="BE1853" s="6"/>
      <c r="BF1853" s="6"/>
      <c r="BG1853" s="6"/>
      <c r="BH1853" s="6"/>
      <c r="BI1853" s="6"/>
      <c r="BJ1853" s="6"/>
      <c r="BK1853" s="6"/>
      <c r="BL1853" s="6"/>
      <c r="BM1853" s="6"/>
      <c r="BN1853" s="6"/>
      <c r="BO1853" s="6"/>
      <c r="BP1853" s="6"/>
      <c r="BQ1853" s="6"/>
      <c r="BR1853" s="6"/>
      <c r="BS1853" s="6"/>
      <c r="BT1853" s="6"/>
      <c r="BU1853" s="6"/>
      <c r="BV1853" s="6"/>
      <c r="BW1853" s="6"/>
      <c r="BX1853" s="6"/>
      <c r="BY1853" s="6"/>
      <c r="BZ1853" s="6"/>
      <c r="CA1853" s="6"/>
      <c r="CB1853" s="6"/>
      <c r="CC1853" s="6"/>
    </row>
    <row r="1854" spans="2:81" x14ac:dyDescent="0.2">
      <c r="B1854" s="68"/>
      <c r="C1854" s="69"/>
      <c r="D1854" s="70"/>
      <c r="F1854" s="68"/>
      <c r="G1854" s="69"/>
      <c r="H1854" s="70"/>
      <c r="J1854" s="71"/>
      <c r="K1854" s="71"/>
      <c r="L1854" s="67"/>
      <c r="N1854" s="71"/>
      <c r="O1854" s="71"/>
      <c r="P1854" s="67"/>
      <c r="R1854" s="67"/>
      <c r="S1854" s="6"/>
      <c r="T1854" s="6"/>
      <c r="U1854" s="6"/>
      <c r="V1854" s="6"/>
      <c r="W1854" s="6"/>
      <c r="X1854" s="6"/>
      <c r="Y1854" s="6"/>
      <c r="Z1854" s="6"/>
      <c r="AA1854" s="6"/>
      <c r="AB1854" s="6"/>
      <c r="AC1854" s="6"/>
      <c r="AD1854" s="6"/>
      <c r="AE1854" s="6"/>
      <c r="AF1854" s="6"/>
      <c r="AG1854" s="6"/>
      <c r="AH1854" s="6"/>
      <c r="AI1854" s="6"/>
      <c r="AJ1854" s="6"/>
      <c r="AK1854" s="6"/>
      <c r="AL1854" s="6"/>
      <c r="AM1854" s="6"/>
      <c r="AN1854" s="6"/>
      <c r="AO1854" s="6"/>
      <c r="AP1854" s="6"/>
      <c r="AQ1854" s="6"/>
      <c r="AR1854" s="6"/>
      <c r="AS1854" s="6"/>
      <c r="AT1854" s="6"/>
      <c r="AU1854" s="6"/>
      <c r="AV1854" s="6"/>
      <c r="AW1854" s="6"/>
      <c r="AX1854" s="6"/>
      <c r="AY1854" s="6"/>
      <c r="AZ1854" s="6"/>
      <c r="BA1854" s="6"/>
      <c r="BB1854" s="6"/>
      <c r="BC1854" s="6"/>
      <c r="BD1854" s="6"/>
      <c r="BE1854" s="6"/>
      <c r="BF1854" s="6"/>
      <c r="BG1854" s="6"/>
      <c r="BH1854" s="6"/>
      <c r="BI1854" s="6"/>
      <c r="BJ1854" s="6"/>
      <c r="BK1854" s="6"/>
      <c r="BL1854" s="6"/>
      <c r="BM1854" s="6"/>
      <c r="BN1854" s="6"/>
      <c r="BO1854" s="6"/>
      <c r="BP1854" s="6"/>
      <c r="BQ1854" s="6"/>
      <c r="BR1854" s="6"/>
      <c r="BS1854" s="6"/>
      <c r="BT1854" s="6"/>
      <c r="BU1854" s="6"/>
      <c r="BV1854" s="6"/>
      <c r="BW1854" s="6"/>
      <c r="BX1854" s="6"/>
      <c r="BY1854" s="6"/>
      <c r="BZ1854" s="6"/>
      <c r="CA1854" s="6"/>
      <c r="CB1854" s="6"/>
      <c r="CC1854" s="6"/>
    </row>
    <row r="1855" spans="2:81" x14ac:dyDescent="0.2">
      <c r="B1855" s="68"/>
      <c r="C1855" s="69"/>
      <c r="D1855" s="70"/>
      <c r="F1855" s="68"/>
      <c r="G1855" s="69"/>
      <c r="H1855" s="70"/>
      <c r="J1855" s="71"/>
      <c r="K1855" s="71"/>
      <c r="L1855" s="67"/>
      <c r="N1855" s="71"/>
      <c r="O1855" s="71"/>
      <c r="P1855" s="67"/>
      <c r="R1855" s="67"/>
      <c r="S1855" s="6"/>
      <c r="T1855" s="6"/>
      <c r="U1855" s="6"/>
      <c r="V1855" s="6"/>
      <c r="W1855" s="6"/>
      <c r="X1855" s="6"/>
      <c r="Y1855" s="6"/>
      <c r="Z1855" s="6"/>
      <c r="AA1855" s="6"/>
      <c r="AB1855" s="6"/>
      <c r="AC1855" s="6"/>
      <c r="AD1855" s="6"/>
      <c r="AE1855" s="6"/>
      <c r="AF1855" s="6"/>
      <c r="AG1855" s="6"/>
      <c r="AH1855" s="6"/>
      <c r="AI1855" s="6"/>
      <c r="AJ1855" s="6"/>
      <c r="AK1855" s="6"/>
      <c r="AL1855" s="6"/>
      <c r="AM1855" s="6"/>
      <c r="AN1855" s="6"/>
      <c r="AO1855" s="6"/>
      <c r="AP1855" s="6"/>
      <c r="AQ1855" s="6"/>
      <c r="AR1855" s="6"/>
      <c r="AS1855" s="6"/>
      <c r="AT1855" s="6"/>
      <c r="AU1855" s="6"/>
      <c r="AV1855" s="6"/>
      <c r="AW1855" s="6"/>
      <c r="AX1855" s="6"/>
      <c r="AY1855" s="6"/>
      <c r="AZ1855" s="6"/>
      <c r="BA1855" s="6"/>
      <c r="BB1855" s="6"/>
      <c r="BC1855" s="6"/>
      <c r="BD1855" s="6"/>
      <c r="BE1855" s="6"/>
      <c r="BF1855" s="6"/>
      <c r="BG1855" s="6"/>
      <c r="BH1855" s="6"/>
      <c r="BI1855" s="6"/>
      <c r="BJ1855" s="6"/>
      <c r="BK1855" s="6"/>
      <c r="BL1855" s="6"/>
      <c r="BM1855" s="6"/>
      <c r="BN1855" s="6"/>
      <c r="BO1855" s="6"/>
      <c r="BP1855" s="6"/>
      <c r="BQ1855" s="6"/>
      <c r="BR1855" s="6"/>
      <c r="BS1855" s="6"/>
      <c r="BT1855" s="6"/>
      <c r="BU1855" s="6"/>
      <c r="BV1855" s="6"/>
      <c r="BW1855" s="6"/>
      <c r="BX1855" s="6"/>
      <c r="BY1855" s="6"/>
      <c r="BZ1855" s="6"/>
      <c r="CA1855" s="6"/>
      <c r="CB1855" s="6"/>
      <c r="CC1855" s="6"/>
    </row>
    <row r="1856" spans="2:81" x14ac:dyDescent="0.2">
      <c r="B1856" s="68"/>
      <c r="C1856" s="69"/>
      <c r="D1856" s="70"/>
      <c r="F1856" s="68"/>
      <c r="G1856" s="69"/>
      <c r="H1856" s="70"/>
      <c r="J1856" s="71"/>
      <c r="K1856" s="71"/>
      <c r="L1856" s="67"/>
      <c r="N1856" s="71"/>
      <c r="O1856" s="71"/>
      <c r="P1856" s="67"/>
      <c r="R1856" s="67"/>
      <c r="S1856" s="6"/>
      <c r="T1856" s="6"/>
      <c r="U1856" s="6"/>
      <c r="V1856" s="6"/>
      <c r="W1856" s="6"/>
      <c r="X1856" s="6"/>
      <c r="Y1856" s="6"/>
      <c r="Z1856" s="6"/>
      <c r="AA1856" s="6"/>
      <c r="AB1856" s="6"/>
      <c r="AC1856" s="6"/>
      <c r="AD1856" s="6"/>
      <c r="AE1856" s="6"/>
      <c r="AF1856" s="6"/>
      <c r="AG1856" s="6"/>
      <c r="AH1856" s="6"/>
      <c r="AI1856" s="6"/>
      <c r="AJ1856" s="6"/>
      <c r="AK1856" s="6"/>
      <c r="AL1856" s="6"/>
      <c r="AM1856" s="6"/>
      <c r="AN1856" s="6"/>
      <c r="AO1856" s="6"/>
      <c r="AP1856" s="6"/>
      <c r="AQ1856" s="6"/>
      <c r="AR1856" s="6"/>
      <c r="AS1856" s="6"/>
      <c r="AT1856" s="6"/>
      <c r="AU1856" s="6"/>
      <c r="AV1856" s="6"/>
      <c r="AW1856" s="6"/>
      <c r="AX1856" s="6"/>
      <c r="AY1856" s="6"/>
      <c r="AZ1856" s="6"/>
      <c r="BA1856" s="6"/>
      <c r="BB1856" s="6"/>
      <c r="BC1856" s="6"/>
      <c r="BD1856" s="6"/>
      <c r="BE1856" s="6"/>
      <c r="BF1856" s="6"/>
      <c r="BG1856" s="6"/>
      <c r="BH1856" s="6"/>
      <c r="BI1856" s="6"/>
      <c r="BJ1856" s="6"/>
      <c r="BK1856" s="6"/>
      <c r="BL1856" s="6"/>
      <c r="BM1856" s="6"/>
      <c r="BN1856" s="6"/>
      <c r="BO1856" s="6"/>
      <c r="BP1856" s="6"/>
      <c r="BQ1856" s="6"/>
      <c r="BR1856" s="6"/>
      <c r="BS1856" s="6"/>
      <c r="BT1856" s="6"/>
      <c r="BU1856" s="6"/>
      <c r="BV1856" s="6"/>
      <c r="BW1856" s="6"/>
      <c r="BX1856" s="6"/>
      <c r="BY1856" s="6"/>
      <c r="BZ1856" s="6"/>
      <c r="CA1856" s="6"/>
      <c r="CB1856" s="6"/>
      <c r="CC1856" s="6"/>
    </row>
    <row r="1857" spans="2:81" x14ac:dyDescent="0.2">
      <c r="B1857" s="68"/>
      <c r="C1857" s="69"/>
      <c r="D1857" s="70"/>
      <c r="F1857" s="68"/>
      <c r="G1857" s="69"/>
      <c r="H1857" s="70"/>
      <c r="J1857" s="71"/>
      <c r="K1857" s="71"/>
      <c r="L1857" s="67"/>
      <c r="N1857" s="71"/>
      <c r="O1857" s="71"/>
      <c r="P1857" s="67"/>
      <c r="R1857" s="67"/>
      <c r="S1857" s="6"/>
      <c r="T1857" s="6"/>
      <c r="U1857" s="6"/>
      <c r="V1857" s="6"/>
      <c r="W1857" s="6"/>
      <c r="X1857" s="6"/>
      <c r="Y1857" s="6"/>
      <c r="Z1857" s="6"/>
      <c r="AA1857" s="6"/>
      <c r="AB1857" s="6"/>
      <c r="AC1857" s="6"/>
      <c r="AD1857" s="6"/>
      <c r="AE1857" s="6"/>
      <c r="AF1857" s="6"/>
      <c r="AG1857" s="6"/>
      <c r="AH1857" s="6"/>
      <c r="AI1857" s="6"/>
      <c r="AJ1857" s="6"/>
      <c r="AK1857" s="6"/>
      <c r="AL1857" s="6"/>
      <c r="AM1857" s="6"/>
      <c r="AN1857" s="6"/>
      <c r="AO1857" s="6"/>
      <c r="AP1857" s="6"/>
      <c r="AQ1857" s="6"/>
      <c r="AR1857" s="6"/>
      <c r="AS1857" s="6"/>
      <c r="AT1857" s="6"/>
      <c r="AU1857" s="6"/>
      <c r="AV1857" s="6"/>
      <c r="AW1857" s="6"/>
      <c r="AX1857" s="6"/>
      <c r="AY1857" s="6"/>
      <c r="AZ1857" s="6"/>
      <c r="BA1857" s="6"/>
      <c r="BB1857" s="6"/>
      <c r="BC1857" s="6"/>
      <c r="BD1857" s="6"/>
      <c r="BE1857" s="6"/>
      <c r="BF1857" s="6"/>
      <c r="BG1857" s="6"/>
      <c r="BH1857" s="6"/>
      <c r="BI1857" s="6"/>
      <c r="BJ1857" s="6"/>
      <c r="BK1857" s="6"/>
      <c r="BL1857" s="6"/>
      <c r="BM1857" s="6"/>
      <c r="BN1857" s="6"/>
      <c r="BO1857" s="6"/>
      <c r="BP1857" s="6"/>
      <c r="BQ1857" s="6"/>
      <c r="BR1857" s="6"/>
      <c r="BS1857" s="6"/>
      <c r="BT1857" s="6"/>
      <c r="BU1857" s="6"/>
      <c r="BV1857" s="6"/>
      <c r="BW1857" s="6"/>
      <c r="BX1857" s="6"/>
      <c r="BY1857" s="6"/>
      <c r="BZ1857" s="6"/>
      <c r="CA1857" s="6"/>
      <c r="CB1857" s="6"/>
      <c r="CC1857" s="6"/>
    </row>
    <row r="1858" spans="2:81" x14ac:dyDescent="0.2">
      <c r="B1858" s="68"/>
      <c r="C1858" s="69"/>
      <c r="D1858" s="70"/>
      <c r="F1858" s="68"/>
      <c r="G1858" s="69"/>
      <c r="H1858" s="70"/>
      <c r="J1858" s="71"/>
      <c r="K1858" s="71"/>
      <c r="L1858" s="67"/>
      <c r="N1858" s="71"/>
      <c r="O1858" s="71"/>
      <c r="P1858" s="67"/>
      <c r="R1858" s="67"/>
      <c r="S1858" s="6"/>
      <c r="T1858" s="6"/>
      <c r="U1858" s="6"/>
      <c r="V1858" s="6"/>
      <c r="W1858" s="6"/>
      <c r="X1858" s="6"/>
      <c r="Y1858" s="6"/>
      <c r="Z1858" s="6"/>
      <c r="AA1858" s="6"/>
      <c r="AB1858" s="6"/>
      <c r="AC1858" s="6"/>
      <c r="AD1858" s="6"/>
      <c r="AE1858" s="6"/>
      <c r="AF1858" s="6"/>
      <c r="AG1858" s="6"/>
      <c r="AH1858" s="6"/>
      <c r="AI1858" s="6"/>
      <c r="AJ1858" s="6"/>
      <c r="AK1858" s="6"/>
      <c r="AL1858" s="6"/>
      <c r="AM1858" s="6"/>
      <c r="AN1858" s="6"/>
      <c r="AO1858" s="6"/>
      <c r="AP1858" s="6"/>
      <c r="AQ1858" s="6"/>
      <c r="AR1858" s="6"/>
      <c r="AS1858" s="6"/>
      <c r="AT1858" s="6"/>
      <c r="AU1858" s="6"/>
      <c r="AV1858" s="6"/>
      <c r="AW1858" s="6"/>
      <c r="AX1858" s="6"/>
      <c r="AY1858" s="6"/>
      <c r="AZ1858" s="6"/>
      <c r="BA1858" s="6"/>
      <c r="BB1858" s="6"/>
      <c r="BC1858" s="6"/>
      <c r="BD1858" s="6"/>
      <c r="BE1858" s="6"/>
      <c r="BF1858" s="6"/>
      <c r="BG1858" s="6"/>
      <c r="BH1858" s="6"/>
      <c r="BI1858" s="6"/>
      <c r="BJ1858" s="6"/>
      <c r="BK1858" s="6"/>
      <c r="BL1858" s="6"/>
      <c r="BM1858" s="6"/>
      <c r="BN1858" s="6"/>
      <c r="BO1858" s="6"/>
      <c r="BP1858" s="6"/>
      <c r="BQ1858" s="6"/>
      <c r="BR1858" s="6"/>
      <c r="BS1858" s="6"/>
      <c r="BT1858" s="6"/>
      <c r="BU1858" s="6"/>
      <c r="BV1858" s="6"/>
      <c r="BW1858" s="6"/>
      <c r="BX1858" s="6"/>
      <c r="BY1858" s="6"/>
      <c r="BZ1858" s="6"/>
      <c r="CA1858" s="6"/>
      <c r="CB1858" s="6"/>
      <c r="CC1858" s="6"/>
    </row>
    <row r="1859" spans="2:81" x14ac:dyDescent="0.2">
      <c r="B1859" s="68"/>
      <c r="C1859" s="69"/>
      <c r="D1859" s="70"/>
      <c r="F1859" s="68"/>
      <c r="G1859" s="69"/>
      <c r="H1859" s="70"/>
      <c r="J1859" s="71"/>
      <c r="K1859" s="71"/>
      <c r="L1859" s="67"/>
      <c r="N1859" s="71"/>
      <c r="O1859" s="71"/>
      <c r="P1859" s="67"/>
      <c r="R1859" s="67"/>
      <c r="S1859" s="6"/>
      <c r="T1859" s="6"/>
      <c r="U1859" s="6"/>
      <c r="V1859" s="6"/>
      <c r="W1859" s="6"/>
      <c r="X1859" s="6"/>
      <c r="Y1859" s="6"/>
      <c r="Z1859" s="6"/>
      <c r="AA1859" s="6"/>
      <c r="AB1859" s="6"/>
      <c r="AC1859" s="6"/>
      <c r="AD1859" s="6"/>
      <c r="AE1859" s="6"/>
      <c r="AF1859" s="6"/>
      <c r="AG1859" s="6"/>
      <c r="AH1859" s="6"/>
      <c r="AI1859" s="6"/>
      <c r="AJ1859" s="6"/>
      <c r="AK1859" s="6"/>
      <c r="AL1859" s="6"/>
      <c r="AM1859" s="6"/>
      <c r="AN1859" s="6"/>
      <c r="AO1859" s="6"/>
      <c r="AP1859" s="6"/>
      <c r="AQ1859" s="6"/>
      <c r="AR1859" s="6"/>
      <c r="AS1859" s="6"/>
      <c r="AT1859" s="6"/>
      <c r="AU1859" s="6"/>
      <c r="AV1859" s="6"/>
      <c r="AW1859" s="6"/>
      <c r="AX1859" s="6"/>
      <c r="AY1859" s="6"/>
      <c r="AZ1859" s="6"/>
      <c r="BA1859" s="6"/>
      <c r="BB1859" s="6"/>
      <c r="BC1859" s="6"/>
      <c r="BD1859" s="6"/>
      <c r="BE1859" s="6"/>
      <c r="BF1859" s="6"/>
      <c r="BG1859" s="6"/>
      <c r="BH1859" s="6"/>
      <c r="BI1859" s="6"/>
      <c r="BJ1859" s="6"/>
      <c r="BK1859" s="6"/>
      <c r="BL1859" s="6"/>
      <c r="BM1859" s="6"/>
      <c r="BN1859" s="6"/>
      <c r="BO1859" s="6"/>
      <c r="BP1859" s="6"/>
      <c r="BQ1859" s="6"/>
      <c r="BR1859" s="6"/>
      <c r="BS1859" s="6"/>
      <c r="BT1859" s="6"/>
      <c r="BU1859" s="6"/>
      <c r="BV1859" s="6"/>
      <c r="BW1859" s="6"/>
      <c r="BX1859" s="6"/>
      <c r="BY1859" s="6"/>
      <c r="BZ1859" s="6"/>
      <c r="CA1859" s="6"/>
      <c r="CB1859" s="6"/>
      <c r="CC1859" s="6"/>
    </row>
    <row r="1860" spans="2:81" x14ac:dyDescent="0.2">
      <c r="B1860" s="68"/>
      <c r="C1860" s="69"/>
      <c r="D1860" s="70"/>
      <c r="F1860" s="68"/>
      <c r="G1860" s="69"/>
      <c r="H1860" s="70"/>
      <c r="J1860" s="71"/>
      <c r="K1860" s="71"/>
      <c r="L1860" s="67"/>
      <c r="N1860" s="71"/>
      <c r="O1860" s="71"/>
      <c r="P1860" s="67"/>
      <c r="R1860" s="67"/>
      <c r="S1860" s="6"/>
      <c r="T1860" s="6"/>
      <c r="U1860" s="6"/>
      <c r="V1860" s="6"/>
      <c r="W1860" s="6"/>
      <c r="X1860" s="6"/>
      <c r="Y1860" s="6"/>
      <c r="Z1860" s="6"/>
      <c r="AA1860" s="6"/>
      <c r="AB1860" s="6"/>
      <c r="AC1860" s="6"/>
      <c r="AD1860" s="6"/>
      <c r="AE1860" s="6"/>
      <c r="AF1860" s="6"/>
      <c r="AG1860" s="6"/>
      <c r="AH1860" s="6"/>
      <c r="AI1860" s="6"/>
      <c r="AJ1860" s="6"/>
      <c r="AK1860" s="6"/>
      <c r="AL1860" s="6"/>
      <c r="AM1860" s="6"/>
      <c r="AN1860" s="6"/>
      <c r="AO1860" s="6"/>
      <c r="AP1860" s="6"/>
      <c r="AQ1860" s="6"/>
      <c r="AR1860" s="6"/>
      <c r="AS1860" s="6"/>
      <c r="AT1860" s="6"/>
      <c r="AU1860" s="6"/>
      <c r="AV1860" s="6"/>
      <c r="AW1860" s="6"/>
      <c r="AX1860" s="6"/>
      <c r="AY1860" s="6"/>
      <c r="AZ1860" s="6"/>
      <c r="BA1860" s="6"/>
      <c r="BB1860" s="6"/>
      <c r="BC1860" s="6"/>
      <c r="BD1860" s="6"/>
      <c r="BE1860" s="6"/>
      <c r="BF1860" s="6"/>
      <c r="BG1860" s="6"/>
      <c r="BH1860" s="6"/>
      <c r="BI1860" s="6"/>
      <c r="BJ1860" s="6"/>
      <c r="BK1860" s="6"/>
      <c r="BL1860" s="6"/>
      <c r="BM1860" s="6"/>
      <c r="BN1860" s="6"/>
      <c r="BO1860" s="6"/>
      <c r="BP1860" s="6"/>
      <c r="BQ1860" s="6"/>
      <c r="BR1860" s="6"/>
      <c r="BS1860" s="6"/>
      <c r="BT1860" s="6"/>
      <c r="BU1860" s="6"/>
      <c r="BV1860" s="6"/>
      <c r="BW1860" s="6"/>
      <c r="BX1860" s="6"/>
      <c r="BY1860" s="6"/>
      <c r="BZ1860" s="6"/>
      <c r="CA1860" s="6"/>
      <c r="CB1860" s="6"/>
      <c r="CC1860" s="6"/>
    </row>
    <row r="1861" spans="2:81" x14ac:dyDescent="0.2">
      <c r="B1861" s="68"/>
      <c r="C1861" s="69"/>
      <c r="D1861" s="70"/>
      <c r="F1861" s="68"/>
      <c r="G1861" s="69"/>
      <c r="H1861" s="70"/>
      <c r="J1861" s="71"/>
      <c r="K1861" s="71"/>
      <c r="L1861" s="67"/>
      <c r="N1861" s="71"/>
      <c r="O1861" s="71"/>
      <c r="P1861" s="67"/>
      <c r="R1861" s="67"/>
      <c r="S1861" s="6"/>
      <c r="T1861" s="6"/>
      <c r="U1861" s="6"/>
      <c r="V1861" s="6"/>
      <c r="W1861" s="6"/>
      <c r="X1861" s="6"/>
      <c r="Y1861" s="6"/>
      <c r="Z1861" s="6"/>
      <c r="AA1861" s="6"/>
      <c r="AB1861" s="6"/>
      <c r="AC1861" s="6"/>
      <c r="AD1861" s="6"/>
      <c r="AE1861" s="6"/>
      <c r="AF1861" s="6"/>
      <c r="AG1861" s="6"/>
      <c r="AH1861" s="6"/>
      <c r="AI1861" s="6"/>
      <c r="AJ1861" s="6"/>
      <c r="AK1861" s="6"/>
      <c r="AL1861" s="6"/>
      <c r="AM1861" s="6"/>
      <c r="AN1861" s="6"/>
      <c r="AO1861" s="6"/>
      <c r="AP1861" s="6"/>
      <c r="AQ1861" s="6"/>
      <c r="AR1861" s="6"/>
      <c r="AS1861" s="6"/>
      <c r="AT1861" s="6"/>
      <c r="AU1861" s="6"/>
      <c r="AV1861" s="6"/>
      <c r="AW1861" s="6"/>
      <c r="AX1861" s="6"/>
      <c r="AY1861" s="6"/>
      <c r="AZ1861" s="6"/>
      <c r="BA1861" s="6"/>
      <c r="BB1861" s="6"/>
      <c r="BC1861" s="6"/>
      <c r="BD1861" s="6"/>
      <c r="BE1861" s="6"/>
      <c r="BF1861" s="6"/>
      <c r="BG1861" s="6"/>
      <c r="BH1861" s="6"/>
      <c r="BI1861" s="6"/>
      <c r="BJ1861" s="6"/>
      <c r="BK1861" s="6"/>
      <c r="BL1861" s="6"/>
      <c r="BM1861" s="6"/>
      <c r="BN1861" s="6"/>
      <c r="BO1861" s="6"/>
      <c r="BP1861" s="6"/>
      <c r="BQ1861" s="6"/>
      <c r="BR1861" s="6"/>
      <c r="BS1861" s="6"/>
      <c r="BT1861" s="6"/>
      <c r="BU1861" s="6"/>
      <c r="BV1861" s="6"/>
      <c r="BW1861" s="6"/>
      <c r="BX1861" s="6"/>
      <c r="BY1861" s="6"/>
      <c r="BZ1861" s="6"/>
      <c r="CA1861" s="6"/>
      <c r="CB1861" s="6"/>
      <c r="CC1861" s="6"/>
    </row>
    <row r="1862" spans="2:81" x14ac:dyDescent="0.2">
      <c r="B1862" s="1"/>
      <c r="C1862" s="2"/>
      <c r="D1862" s="38"/>
      <c r="F1862" s="1"/>
      <c r="G1862" s="2"/>
      <c r="H1862" s="38"/>
      <c r="J1862" s="3"/>
      <c r="K1862" s="3"/>
      <c r="L1862" s="39"/>
      <c r="N1862" s="3"/>
      <c r="O1862" s="3"/>
      <c r="P1862" s="39"/>
      <c r="R1862" s="39"/>
    </row>
    <row r="1863" spans="2:81" x14ac:dyDescent="0.2">
      <c r="B1863" s="1"/>
      <c r="C1863" s="2"/>
      <c r="D1863" s="38"/>
      <c r="F1863" s="1"/>
      <c r="G1863" s="2"/>
      <c r="H1863" s="38"/>
      <c r="J1863" s="3"/>
      <c r="K1863" s="3"/>
      <c r="L1863" s="39"/>
      <c r="N1863" s="3"/>
      <c r="O1863" s="3"/>
      <c r="P1863" s="39"/>
      <c r="R1863" s="39"/>
    </row>
    <row r="1864" spans="2:81" x14ac:dyDescent="0.2">
      <c r="B1864" s="1"/>
      <c r="C1864" s="2"/>
      <c r="D1864" s="38"/>
      <c r="F1864" s="1"/>
      <c r="G1864" s="2"/>
      <c r="H1864" s="38"/>
      <c r="J1864" s="3"/>
      <c r="K1864" s="3"/>
      <c r="L1864" s="39"/>
      <c r="N1864" s="3"/>
      <c r="O1864" s="3"/>
      <c r="P1864" s="39"/>
      <c r="R1864" s="39"/>
    </row>
    <row r="1865" spans="2:81" x14ac:dyDescent="0.2">
      <c r="B1865" s="1"/>
      <c r="C1865" s="2"/>
      <c r="D1865" s="38"/>
      <c r="F1865" s="1"/>
      <c r="G1865" s="2"/>
      <c r="H1865" s="38"/>
      <c r="J1865" s="3"/>
      <c r="K1865" s="3"/>
      <c r="L1865" s="39"/>
      <c r="N1865" s="3"/>
      <c r="O1865" s="3"/>
      <c r="P1865" s="39"/>
      <c r="R1865" s="39"/>
    </row>
    <row r="1866" spans="2:81" x14ac:dyDescent="0.2">
      <c r="B1866" s="1"/>
      <c r="C1866" s="2"/>
      <c r="D1866" s="38"/>
      <c r="F1866" s="1"/>
      <c r="G1866" s="2"/>
      <c r="H1866" s="38"/>
      <c r="J1866" s="3"/>
      <c r="K1866" s="3"/>
      <c r="L1866" s="39"/>
      <c r="N1866" s="3"/>
      <c r="O1866" s="3"/>
      <c r="P1866" s="39"/>
      <c r="R1866" s="39"/>
    </row>
    <row r="1867" spans="2:81" x14ac:dyDescent="0.2">
      <c r="B1867" s="1"/>
      <c r="C1867" s="2"/>
      <c r="D1867" s="38"/>
      <c r="F1867" s="1"/>
      <c r="G1867" s="2"/>
      <c r="H1867" s="38"/>
      <c r="J1867" s="3"/>
      <c r="K1867" s="3"/>
      <c r="L1867" s="39"/>
      <c r="N1867" s="3"/>
      <c r="O1867" s="3"/>
      <c r="P1867" s="39"/>
      <c r="R1867" s="39"/>
    </row>
    <row r="1868" spans="2:81" x14ac:dyDescent="0.2">
      <c r="B1868" s="1"/>
      <c r="C1868" s="2"/>
      <c r="D1868" s="38"/>
      <c r="F1868" s="1"/>
      <c r="G1868" s="2"/>
      <c r="H1868" s="38"/>
      <c r="J1868" s="3"/>
      <c r="K1868" s="3"/>
      <c r="L1868" s="39"/>
      <c r="N1868" s="3"/>
      <c r="O1868" s="3"/>
      <c r="P1868" s="39"/>
      <c r="R1868" s="39"/>
    </row>
    <row r="1869" spans="2:81" x14ac:dyDescent="0.2">
      <c r="B1869" s="1"/>
      <c r="C1869" s="2"/>
      <c r="D1869" s="38"/>
      <c r="F1869" s="1"/>
      <c r="G1869" s="2"/>
      <c r="H1869" s="38"/>
      <c r="J1869" s="3"/>
      <c r="K1869" s="3"/>
      <c r="L1869" s="39"/>
      <c r="N1869" s="3"/>
      <c r="O1869" s="3"/>
      <c r="P1869" s="39"/>
      <c r="R1869" s="39"/>
    </row>
    <row r="1870" spans="2:81" x14ac:dyDescent="0.2">
      <c r="B1870" s="1"/>
      <c r="C1870" s="2"/>
      <c r="D1870" s="38"/>
      <c r="F1870" s="1"/>
      <c r="G1870" s="2"/>
      <c r="H1870" s="38"/>
      <c r="J1870" s="3"/>
      <c r="K1870" s="3"/>
      <c r="L1870" s="39"/>
      <c r="N1870" s="3"/>
      <c r="O1870" s="3"/>
      <c r="P1870" s="39"/>
      <c r="R1870" s="39"/>
    </row>
    <row r="1871" spans="2:81" x14ac:dyDescent="0.2">
      <c r="B1871" s="1"/>
      <c r="C1871" s="2"/>
      <c r="D1871" s="38"/>
      <c r="F1871" s="1"/>
      <c r="G1871" s="2"/>
      <c r="H1871" s="38"/>
      <c r="J1871" s="3"/>
      <c r="K1871" s="3"/>
      <c r="L1871" s="39"/>
      <c r="N1871" s="3"/>
      <c r="O1871" s="3"/>
      <c r="P1871" s="39"/>
      <c r="R1871" s="39"/>
    </row>
    <row r="1872" spans="2:81" x14ac:dyDescent="0.2">
      <c r="B1872" s="1"/>
      <c r="C1872" s="2"/>
      <c r="D1872" s="38"/>
      <c r="F1872" s="1"/>
      <c r="G1872" s="2"/>
      <c r="H1872" s="38"/>
      <c r="J1872" s="3"/>
      <c r="K1872" s="3"/>
      <c r="L1872" s="39"/>
      <c r="N1872" s="3"/>
      <c r="O1872" s="3"/>
      <c r="P1872" s="39"/>
      <c r="R1872" s="39"/>
    </row>
    <row r="1873" spans="2:18" x14ac:dyDescent="0.2">
      <c r="B1873" s="1"/>
      <c r="C1873" s="2"/>
      <c r="D1873" s="38"/>
      <c r="F1873" s="1"/>
      <c r="G1873" s="2"/>
      <c r="H1873" s="38"/>
      <c r="J1873" s="3"/>
      <c r="K1873" s="3"/>
      <c r="L1873" s="39"/>
      <c r="N1873" s="3"/>
      <c r="O1873" s="3"/>
      <c r="P1873" s="39"/>
      <c r="R1873" s="39"/>
    </row>
    <row r="1874" spans="2:18" x14ac:dyDescent="0.2">
      <c r="B1874" s="1"/>
      <c r="C1874" s="2"/>
      <c r="D1874" s="38"/>
      <c r="F1874" s="1"/>
      <c r="G1874" s="2"/>
      <c r="H1874" s="38"/>
      <c r="J1874" s="3"/>
      <c r="K1874" s="3"/>
      <c r="L1874" s="39"/>
      <c r="N1874" s="3"/>
      <c r="O1874" s="3"/>
      <c r="P1874" s="39"/>
      <c r="R1874" s="39"/>
    </row>
    <row r="1875" spans="2:18" x14ac:dyDescent="0.2">
      <c r="B1875" s="1"/>
      <c r="C1875" s="2"/>
      <c r="D1875" s="38"/>
      <c r="F1875" s="1"/>
      <c r="G1875" s="2"/>
      <c r="H1875" s="38"/>
      <c r="J1875" s="3"/>
      <c r="K1875" s="3"/>
      <c r="L1875" s="39"/>
      <c r="N1875" s="3"/>
      <c r="O1875" s="3"/>
      <c r="P1875" s="39"/>
      <c r="R1875" s="39"/>
    </row>
    <row r="1876" spans="2:18" x14ac:dyDescent="0.2">
      <c r="B1876" s="1"/>
      <c r="C1876" s="2"/>
      <c r="D1876" s="38"/>
      <c r="F1876" s="1"/>
      <c r="G1876" s="2"/>
      <c r="H1876" s="38"/>
      <c r="J1876" s="3"/>
      <c r="K1876" s="3"/>
      <c r="L1876" s="39"/>
      <c r="N1876" s="3"/>
      <c r="O1876" s="3"/>
      <c r="P1876" s="39"/>
      <c r="R1876" s="39"/>
    </row>
    <row r="1877" spans="2:18" x14ac:dyDescent="0.2">
      <c r="B1877" s="1"/>
      <c r="C1877" s="2"/>
      <c r="D1877" s="38"/>
      <c r="F1877" s="1"/>
      <c r="G1877" s="2"/>
      <c r="H1877" s="38"/>
      <c r="J1877" s="3"/>
      <c r="K1877" s="3"/>
      <c r="L1877" s="39"/>
      <c r="N1877" s="3"/>
      <c r="O1877" s="3"/>
      <c r="P1877" s="39"/>
      <c r="R1877" s="39"/>
    </row>
    <row r="1878" spans="2:18" x14ac:dyDescent="0.2">
      <c r="B1878" s="1"/>
      <c r="C1878" s="2"/>
      <c r="D1878" s="38"/>
      <c r="F1878" s="1"/>
      <c r="G1878" s="2"/>
      <c r="H1878" s="38"/>
      <c r="J1878" s="3"/>
      <c r="K1878" s="3"/>
      <c r="L1878" s="39"/>
      <c r="N1878" s="3"/>
      <c r="O1878" s="3"/>
      <c r="P1878" s="39"/>
      <c r="R1878" s="39"/>
    </row>
    <row r="1879" spans="2:18" x14ac:dyDescent="0.2">
      <c r="B1879" s="1"/>
      <c r="C1879" s="2"/>
      <c r="D1879" s="38"/>
      <c r="F1879" s="1"/>
      <c r="G1879" s="2"/>
      <c r="H1879" s="38"/>
      <c r="J1879" s="3"/>
      <c r="K1879" s="3"/>
      <c r="L1879" s="39"/>
      <c r="N1879" s="3"/>
      <c r="O1879" s="3"/>
      <c r="P1879" s="39"/>
      <c r="R1879" s="39"/>
    </row>
    <row r="1880" spans="2:18" x14ac:dyDescent="0.2">
      <c r="B1880" s="1"/>
      <c r="C1880" s="2"/>
      <c r="D1880" s="38"/>
      <c r="F1880" s="1"/>
      <c r="G1880" s="2"/>
      <c r="H1880" s="38"/>
      <c r="J1880" s="3"/>
      <c r="K1880" s="3"/>
      <c r="L1880" s="39"/>
      <c r="N1880" s="3"/>
      <c r="O1880" s="3"/>
      <c r="P1880" s="39"/>
      <c r="R1880" s="39"/>
    </row>
    <row r="1881" spans="2:18" x14ac:dyDescent="0.2">
      <c r="B1881" s="1"/>
      <c r="C1881" s="2"/>
      <c r="D1881" s="38"/>
      <c r="F1881" s="1"/>
      <c r="G1881" s="2"/>
      <c r="H1881" s="38"/>
      <c r="J1881" s="3"/>
      <c r="K1881" s="3"/>
      <c r="L1881" s="39"/>
      <c r="N1881" s="3"/>
      <c r="O1881" s="3"/>
      <c r="P1881" s="39"/>
      <c r="R1881" s="39"/>
    </row>
    <row r="1882" spans="2:18" x14ac:dyDescent="0.2">
      <c r="B1882" s="1"/>
      <c r="C1882" s="2"/>
      <c r="D1882" s="38"/>
      <c r="F1882" s="1"/>
      <c r="G1882" s="2"/>
      <c r="H1882" s="38"/>
      <c r="J1882" s="3"/>
      <c r="K1882" s="3"/>
      <c r="L1882" s="39"/>
      <c r="N1882" s="3"/>
      <c r="O1882" s="3"/>
      <c r="P1882" s="39"/>
      <c r="R1882" s="39"/>
    </row>
    <row r="1883" spans="2:18" x14ac:dyDescent="0.2">
      <c r="B1883" s="1"/>
      <c r="C1883" s="2"/>
      <c r="D1883" s="38"/>
      <c r="F1883" s="1"/>
      <c r="G1883" s="2"/>
      <c r="H1883" s="38"/>
      <c r="J1883" s="3"/>
      <c r="K1883" s="3"/>
      <c r="L1883" s="39"/>
      <c r="N1883" s="3"/>
      <c r="O1883" s="3"/>
      <c r="P1883" s="39"/>
      <c r="R1883" s="39"/>
    </row>
    <row r="1884" spans="2:18" x14ac:dyDescent="0.2">
      <c r="B1884" s="1"/>
      <c r="C1884" s="2"/>
      <c r="D1884" s="38"/>
      <c r="F1884" s="1"/>
      <c r="G1884" s="2"/>
      <c r="H1884" s="38"/>
      <c r="J1884" s="3"/>
      <c r="K1884" s="3"/>
      <c r="L1884" s="39"/>
      <c r="N1884" s="3"/>
      <c r="O1884" s="3"/>
      <c r="P1884" s="39"/>
      <c r="R1884" s="39"/>
    </row>
    <row r="1885" spans="2:18" x14ac:dyDescent="0.2">
      <c r="B1885" s="1"/>
      <c r="C1885" s="2"/>
      <c r="D1885" s="38"/>
      <c r="F1885" s="1"/>
      <c r="G1885" s="2"/>
      <c r="H1885" s="38"/>
      <c r="J1885" s="3"/>
      <c r="K1885" s="3"/>
      <c r="L1885" s="39"/>
      <c r="N1885" s="3"/>
      <c r="O1885" s="3"/>
      <c r="P1885" s="39"/>
      <c r="R1885" s="39"/>
    </row>
    <row r="1886" spans="2:18" x14ac:dyDescent="0.2">
      <c r="B1886" s="1"/>
      <c r="C1886" s="2"/>
      <c r="D1886" s="38"/>
      <c r="F1886" s="1"/>
      <c r="G1886" s="2"/>
      <c r="H1886" s="38"/>
      <c r="J1886" s="3"/>
      <c r="K1886" s="3"/>
      <c r="L1886" s="39"/>
      <c r="N1886" s="3"/>
      <c r="O1886" s="3"/>
      <c r="P1886" s="39"/>
      <c r="R1886" s="39"/>
    </row>
    <row r="1887" spans="2:18" x14ac:dyDescent="0.2">
      <c r="B1887" s="1"/>
      <c r="C1887" s="2"/>
      <c r="D1887" s="38"/>
      <c r="F1887" s="1"/>
      <c r="G1887" s="2"/>
      <c r="H1887" s="38"/>
      <c r="J1887" s="3"/>
      <c r="K1887" s="3"/>
      <c r="L1887" s="39"/>
      <c r="N1887" s="3"/>
      <c r="O1887" s="3"/>
      <c r="P1887" s="39"/>
      <c r="R1887" s="39"/>
    </row>
    <row r="1888" spans="2:18" x14ac:dyDescent="0.2">
      <c r="B1888" s="1"/>
      <c r="C1888" s="2"/>
      <c r="D1888" s="38"/>
      <c r="F1888" s="1"/>
      <c r="G1888" s="2"/>
      <c r="H1888" s="38"/>
      <c r="J1888" s="3"/>
      <c r="K1888" s="3"/>
      <c r="L1888" s="39"/>
      <c r="N1888" s="3"/>
      <c r="O1888" s="3"/>
      <c r="P1888" s="39"/>
      <c r="R1888" s="39"/>
    </row>
    <row r="1889" spans="2:18" x14ac:dyDescent="0.2">
      <c r="B1889" s="1"/>
      <c r="C1889" s="2"/>
      <c r="D1889" s="38"/>
      <c r="F1889" s="1"/>
      <c r="G1889" s="2"/>
      <c r="H1889" s="38"/>
      <c r="J1889" s="3"/>
      <c r="K1889" s="3"/>
      <c r="L1889" s="39"/>
      <c r="N1889" s="3"/>
      <c r="O1889" s="3"/>
      <c r="P1889" s="39"/>
      <c r="R1889" s="39"/>
    </row>
    <row r="1890" spans="2:18" x14ac:dyDescent="0.2">
      <c r="B1890" s="1"/>
      <c r="C1890" s="2"/>
      <c r="D1890" s="38"/>
      <c r="F1890" s="1"/>
      <c r="G1890" s="2"/>
      <c r="H1890" s="38"/>
      <c r="J1890" s="3"/>
      <c r="K1890" s="3"/>
      <c r="L1890" s="39"/>
      <c r="N1890" s="3"/>
      <c r="O1890" s="3"/>
      <c r="P1890" s="39"/>
      <c r="R1890" s="39"/>
    </row>
    <row r="1891" spans="2:18" x14ac:dyDescent="0.2">
      <c r="B1891" s="1"/>
      <c r="C1891" s="2"/>
      <c r="D1891" s="38"/>
      <c r="F1891" s="1"/>
      <c r="G1891" s="2"/>
      <c r="H1891" s="38"/>
      <c r="J1891" s="3"/>
      <c r="K1891" s="3"/>
      <c r="L1891" s="39"/>
      <c r="N1891" s="3"/>
      <c r="O1891" s="3"/>
      <c r="P1891" s="39"/>
      <c r="R1891" s="39"/>
    </row>
    <row r="1892" spans="2:18" x14ac:dyDescent="0.2">
      <c r="B1892" s="1"/>
      <c r="C1892" s="2"/>
      <c r="D1892" s="38"/>
      <c r="F1892" s="1"/>
      <c r="G1892" s="2"/>
      <c r="H1892" s="38"/>
      <c r="J1892" s="3"/>
      <c r="K1892" s="3"/>
      <c r="L1892" s="39"/>
      <c r="N1892" s="3"/>
      <c r="O1892" s="3"/>
      <c r="P1892" s="39"/>
      <c r="R1892" s="39"/>
    </row>
    <row r="1893" spans="2:18" x14ac:dyDescent="0.2">
      <c r="B1893" s="1"/>
      <c r="C1893" s="2"/>
      <c r="D1893" s="38"/>
      <c r="F1893" s="1"/>
      <c r="G1893" s="2"/>
      <c r="H1893" s="38"/>
      <c r="J1893" s="3"/>
      <c r="K1893" s="3"/>
      <c r="L1893" s="39"/>
      <c r="N1893" s="3"/>
      <c r="O1893" s="3"/>
      <c r="P1893" s="39"/>
      <c r="R1893" s="39"/>
    </row>
    <row r="1894" spans="2:18" x14ac:dyDescent="0.2">
      <c r="B1894" s="1"/>
      <c r="C1894" s="2"/>
      <c r="D1894" s="38"/>
      <c r="F1894" s="1"/>
      <c r="G1894" s="2"/>
      <c r="H1894" s="38"/>
      <c r="J1894" s="3"/>
      <c r="K1894" s="3"/>
      <c r="L1894" s="39"/>
      <c r="N1894" s="3"/>
      <c r="O1894" s="3"/>
      <c r="P1894" s="39"/>
      <c r="R1894" s="39"/>
    </row>
    <row r="1895" spans="2:18" x14ac:dyDescent="0.2">
      <c r="B1895" s="1"/>
      <c r="C1895" s="2"/>
      <c r="D1895" s="38"/>
      <c r="F1895" s="1"/>
      <c r="G1895" s="2"/>
      <c r="H1895" s="38"/>
      <c r="J1895" s="3"/>
      <c r="K1895" s="3"/>
      <c r="L1895" s="39"/>
      <c r="N1895" s="3"/>
      <c r="O1895" s="3"/>
      <c r="P1895" s="39"/>
      <c r="R1895" s="39"/>
    </row>
    <row r="1896" spans="2:18" x14ac:dyDescent="0.2">
      <c r="B1896" s="1"/>
      <c r="C1896" s="2"/>
      <c r="D1896" s="38"/>
      <c r="F1896" s="1"/>
      <c r="G1896" s="2"/>
      <c r="H1896" s="38"/>
      <c r="J1896" s="3"/>
      <c r="K1896" s="3"/>
      <c r="L1896" s="39"/>
      <c r="N1896" s="3"/>
      <c r="O1896" s="3"/>
      <c r="P1896" s="39"/>
      <c r="R1896" s="39"/>
    </row>
    <row r="1897" spans="2:18" x14ac:dyDescent="0.2">
      <c r="B1897" s="1"/>
      <c r="C1897" s="2"/>
      <c r="D1897" s="38"/>
      <c r="F1897" s="1"/>
      <c r="G1897" s="2"/>
      <c r="H1897" s="38"/>
      <c r="J1897" s="3"/>
      <c r="K1897" s="3"/>
      <c r="L1897" s="39"/>
      <c r="N1897" s="3"/>
      <c r="O1897" s="3"/>
      <c r="P1897" s="39"/>
      <c r="R1897" s="39"/>
    </row>
    <row r="1898" spans="2:18" x14ac:dyDescent="0.2">
      <c r="B1898" s="1"/>
      <c r="C1898" s="2"/>
      <c r="D1898" s="38"/>
      <c r="F1898" s="1"/>
      <c r="G1898" s="2"/>
      <c r="H1898" s="38"/>
      <c r="J1898" s="3"/>
      <c r="K1898" s="3"/>
      <c r="L1898" s="39"/>
      <c r="N1898" s="3"/>
      <c r="O1898" s="3"/>
      <c r="P1898" s="39"/>
      <c r="R1898" s="39"/>
    </row>
    <row r="1899" spans="2:18" x14ac:dyDescent="0.2">
      <c r="B1899" s="1"/>
      <c r="C1899" s="2"/>
      <c r="D1899" s="38"/>
      <c r="F1899" s="1"/>
      <c r="G1899" s="2"/>
      <c r="H1899" s="38"/>
      <c r="J1899" s="3"/>
      <c r="K1899" s="3"/>
      <c r="L1899" s="39"/>
      <c r="N1899" s="3"/>
      <c r="O1899" s="3"/>
      <c r="P1899" s="39"/>
      <c r="R1899" s="39"/>
    </row>
    <row r="1900" spans="2:18" x14ac:dyDescent="0.2">
      <c r="B1900" s="1"/>
      <c r="C1900" s="2"/>
      <c r="D1900" s="38"/>
      <c r="F1900" s="1"/>
      <c r="G1900" s="2"/>
      <c r="H1900" s="38"/>
      <c r="J1900" s="3"/>
      <c r="K1900" s="3"/>
      <c r="L1900" s="39"/>
      <c r="N1900" s="3"/>
      <c r="O1900" s="3"/>
      <c r="P1900" s="39"/>
      <c r="R1900" s="39"/>
    </row>
    <row r="1901" spans="2:18" x14ac:dyDescent="0.2">
      <c r="B1901" s="1"/>
      <c r="C1901" s="2"/>
      <c r="D1901" s="38"/>
      <c r="F1901" s="1"/>
      <c r="G1901" s="2"/>
      <c r="H1901" s="38"/>
      <c r="J1901" s="3"/>
      <c r="K1901" s="3"/>
      <c r="L1901" s="39"/>
      <c r="N1901" s="3"/>
      <c r="O1901" s="3"/>
      <c r="P1901" s="39"/>
      <c r="R1901" s="39"/>
    </row>
    <row r="1902" spans="2:18" x14ac:dyDescent="0.2">
      <c r="B1902" s="1"/>
      <c r="C1902" s="2"/>
      <c r="D1902" s="38"/>
      <c r="F1902" s="1"/>
      <c r="G1902" s="2"/>
      <c r="H1902" s="38"/>
      <c r="J1902" s="3"/>
      <c r="K1902" s="3"/>
      <c r="L1902" s="39"/>
      <c r="N1902" s="3"/>
      <c r="O1902" s="3"/>
      <c r="P1902" s="39"/>
      <c r="R1902" s="39"/>
    </row>
    <row r="1903" spans="2:18" x14ac:dyDescent="0.2">
      <c r="B1903" s="1"/>
      <c r="C1903" s="2"/>
      <c r="D1903" s="38"/>
      <c r="F1903" s="1"/>
      <c r="G1903" s="2"/>
      <c r="H1903" s="38"/>
      <c r="J1903" s="3"/>
      <c r="K1903" s="3"/>
      <c r="L1903" s="39"/>
      <c r="N1903" s="3"/>
      <c r="O1903" s="3"/>
      <c r="P1903" s="39"/>
      <c r="R1903" s="39"/>
    </row>
    <row r="1904" spans="2:18" x14ac:dyDescent="0.2">
      <c r="B1904" s="1"/>
      <c r="C1904" s="2"/>
      <c r="D1904" s="38"/>
      <c r="F1904" s="1"/>
      <c r="G1904" s="2"/>
      <c r="H1904" s="38"/>
      <c r="J1904" s="3"/>
      <c r="K1904" s="3"/>
      <c r="L1904" s="39"/>
      <c r="N1904" s="3"/>
      <c r="O1904" s="3"/>
      <c r="P1904" s="39"/>
      <c r="R1904" s="39"/>
    </row>
    <row r="1905" spans="2:18" x14ac:dyDescent="0.2">
      <c r="B1905" s="1"/>
      <c r="C1905" s="2"/>
      <c r="D1905" s="38"/>
      <c r="F1905" s="1"/>
      <c r="G1905" s="2"/>
      <c r="H1905" s="38"/>
      <c r="J1905" s="3"/>
      <c r="K1905" s="3"/>
      <c r="L1905" s="39"/>
      <c r="N1905" s="3"/>
      <c r="O1905" s="3"/>
      <c r="P1905" s="39"/>
      <c r="R1905" s="39"/>
    </row>
    <row r="1906" spans="2:18" x14ac:dyDescent="0.2">
      <c r="B1906" s="1"/>
      <c r="C1906" s="2"/>
      <c r="D1906" s="38"/>
      <c r="F1906" s="1"/>
      <c r="G1906" s="2"/>
      <c r="H1906" s="38"/>
      <c r="J1906" s="3"/>
      <c r="K1906" s="3"/>
      <c r="L1906" s="39"/>
      <c r="N1906" s="3"/>
      <c r="O1906" s="3"/>
      <c r="P1906" s="39"/>
      <c r="R1906" s="39"/>
    </row>
    <row r="1907" spans="2:18" x14ac:dyDescent="0.2">
      <c r="B1907" s="1"/>
      <c r="C1907" s="2"/>
      <c r="D1907" s="38"/>
      <c r="F1907" s="1"/>
      <c r="G1907" s="2"/>
      <c r="H1907" s="38"/>
      <c r="J1907" s="3"/>
      <c r="K1907" s="3"/>
      <c r="L1907" s="39"/>
      <c r="N1907" s="3"/>
      <c r="O1907" s="3"/>
      <c r="P1907" s="39"/>
      <c r="R1907" s="39"/>
    </row>
    <row r="1908" spans="2:18" x14ac:dyDescent="0.2">
      <c r="B1908" s="1"/>
      <c r="C1908" s="2"/>
      <c r="D1908" s="38"/>
      <c r="F1908" s="1"/>
      <c r="G1908" s="2"/>
      <c r="H1908" s="38"/>
      <c r="J1908" s="3"/>
      <c r="K1908" s="3"/>
      <c r="L1908" s="39"/>
      <c r="N1908" s="3"/>
      <c r="O1908" s="3"/>
      <c r="P1908" s="39"/>
      <c r="R1908" s="39"/>
    </row>
    <row r="1909" spans="2:18" x14ac:dyDescent="0.2">
      <c r="B1909" s="1"/>
      <c r="C1909" s="2"/>
      <c r="D1909" s="38"/>
      <c r="F1909" s="1"/>
      <c r="G1909" s="2"/>
      <c r="H1909" s="38"/>
      <c r="J1909" s="3"/>
      <c r="K1909" s="3"/>
      <c r="L1909" s="39"/>
      <c r="N1909" s="3"/>
      <c r="O1909" s="3"/>
      <c r="P1909" s="39"/>
      <c r="R1909" s="39"/>
    </row>
    <row r="1910" spans="2:18" x14ac:dyDescent="0.2">
      <c r="B1910" s="1"/>
      <c r="C1910" s="2"/>
      <c r="D1910" s="38"/>
      <c r="F1910" s="1"/>
      <c r="G1910" s="2"/>
      <c r="H1910" s="38"/>
      <c r="J1910" s="3"/>
      <c r="K1910" s="3"/>
      <c r="L1910" s="39"/>
      <c r="N1910" s="3"/>
      <c r="O1910" s="3"/>
      <c r="P1910" s="39"/>
      <c r="R1910" s="39"/>
    </row>
    <row r="1911" spans="2:18" x14ac:dyDescent="0.2">
      <c r="B1911" s="1"/>
      <c r="C1911" s="2"/>
      <c r="D1911" s="38"/>
      <c r="F1911" s="1"/>
      <c r="G1911" s="2"/>
      <c r="H1911" s="38"/>
      <c r="J1911" s="3"/>
      <c r="K1911" s="3"/>
      <c r="L1911" s="39"/>
      <c r="N1911" s="3"/>
      <c r="O1911" s="3"/>
      <c r="P1911" s="39"/>
      <c r="R1911" s="39"/>
    </row>
    <row r="1912" spans="2:18" x14ac:dyDescent="0.2">
      <c r="B1912" s="1"/>
      <c r="C1912" s="2"/>
      <c r="D1912" s="38"/>
      <c r="F1912" s="1"/>
      <c r="G1912" s="2"/>
      <c r="H1912" s="38"/>
      <c r="J1912" s="3"/>
      <c r="K1912" s="3"/>
      <c r="L1912" s="39"/>
      <c r="N1912" s="3"/>
      <c r="O1912" s="3"/>
      <c r="P1912" s="39"/>
      <c r="R1912" s="39"/>
    </row>
    <row r="1913" spans="2:18" x14ac:dyDescent="0.2">
      <c r="B1913" s="1"/>
      <c r="C1913" s="2"/>
      <c r="D1913" s="38"/>
      <c r="F1913" s="1"/>
      <c r="G1913" s="2"/>
      <c r="H1913" s="38"/>
      <c r="J1913" s="3"/>
      <c r="K1913" s="3"/>
      <c r="L1913" s="39"/>
      <c r="N1913" s="3"/>
      <c r="O1913" s="3"/>
      <c r="P1913" s="39"/>
      <c r="R1913" s="39"/>
    </row>
    <row r="1914" spans="2:18" x14ac:dyDescent="0.2">
      <c r="B1914" s="1"/>
      <c r="C1914" s="2"/>
      <c r="D1914" s="38"/>
      <c r="F1914" s="1"/>
      <c r="G1914" s="2"/>
      <c r="H1914" s="38"/>
      <c r="J1914" s="3"/>
      <c r="K1914" s="3"/>
      <c r="L1914" s="39"/>
      <c r="N1914" s="3"/>
      <c r="O1914" s="3"/>
      <c r="P1914" s="39"/>
      <c r="R1914" s="39"/>
    </row>
    <row r="1915" spans="2:18" x14ac:dyDescent="0.2">
      <c r="B1915" s="1"/>
      <c r="C1915" s="2"/>
      <c r="D1915" s="38"/>
      <c r="F1915" s="1"/>
      <c r="G1915" s="2"/>
      <c r="H1915" s="38"/>
      <c r="J1915" s="3"/>
      <c r="K1915" s="3"/>
      <c r="L1915" s="39"/>
      <c r="N1915" s="3"/>
      <c r="O1915" s="3"/>
      <c r="P1915" s="39"/>
      <c r="R1915" s="39"/>
    </row>
    <row r="1916" spans="2:18" x14ac:dyDescent="0.2">
      <c r="B1916" s="1"/>
      <c r="C1916" s="2"/>
      <c r="D1916" s="38"/>
      <c r="F1916" s="1"/>
      <c r="G1916" s="2"/>
      <c r="H1916" s="38"/>
      <c r="J1916" s="3"/>
      <c r="K1916" s="3"/>
      <c r="L1916" s="39"/>
      <c r="N1916" s="3"/>
      <c r="O1916" s="3"/>
      <c r="P1916" s="39"/>
      <c r="R1916" s="39"/>
    </row>
    <row r="1917" spans="2:18" x14ac:dyDescent="0.2">
      <c r="B1917" s="1"/>
      <c r="C1917" s="2"/>
      <c r="D1917" s="38"/>
      <c r="F1917" s="1"/>
      <c r="G1917" s="2"/>
      <c r="H1917" s="38"/>
      <c r="J1917" s="3"/>
      <c r="K1917" s="3"/>
      <c r="L1917" s="39"/>
      <c r="N1917" s="3"/>
      <c r="O1917" s="3"/>
      <c r="P1917" s="39"/>
      <c r="R1917" s="39"/>
    </row>
    <row r="1918" spans="2:18" x14ac:dyDescent="0.2">
      <c r="B1918" s="1"/>
      <c r="C1918" s="2"/>
      <c r="D1918" s="38"/>
      <c r="F1918" s="1"/>
      <c r="G1918" s="2"/>
      <c r="H1918" s="38"/>
      <c r="J1918" s="3"/>
      <c r="K1918" s="3"/>
      <c r="L1918" s="39"/>
      <c r="N1918" s="3"/>
      <c r="O1918" s="3"/>
      <c r="P1918" s="39"/>
      <c r="R1918" s="39"/>
    </row>
    <row r="1919" spans="2:18" x14ac:dyDescent="0.2">
      <c r="B1919" s="1"/>
      <c r="C1919" s="2"/>
      <c r="D1919" s="38"/>
      <c r="F1919" s="1"/>
      <c r="G1919" s="2"/>
      <c r="H1919" s="38"/>
      <c r="J1919" s="3"/>
      <c r="K1919" s="3"/>
      <c r="L1919" s="39"/>
      <c r="N1919" s="3"/>
      <c r="O1919" s="3"/>
      <c r="P1919" s="39"/>
      <c r="R1919" s="39"/>
    </row>
    <row r="1920" spans="2:18" x14ac:dyDescent="0.2">
      <c r="B1920" s="1"/>
      <c r="C1920" s="2"/>
      <c r="D1920" s="38"/>
      <c r="F1920" s="1"/>
      <c r="G1920" s="2"/>
      <c r="H1920" s="38"/>
      <c r="J1920" s="3"/>
      <c r="K1920" s="3"/>
      <c r="L1920" s="39"/>
      <c r="N1920" s="3"/>
      <c r="O1920" s="3"/>
      <c r="P1920" s="39"/>
      <c r="R1920" s="39"/>
    </row>
    <row r="1921" spans="2:18" x14ac:dyDescent="0.2">
      <c r="B1921" s="1"/>
      <c r="C1921" s="2"/>
      <c r="D1921" s="38"/>
      <c r="F1921" s="1"/>
      <c r="G1921" s="2"/>
      <c r="H1921" s="38"/>
      <c r="J1921" s="3"/>
      <c r="K1921" s="3"/>
      <c r="L1921" s="39"/>
      <c r="N1921" s="3"/>
      <c r="O1921" s="3"/>
      <c r="P1921" s="39"/>
      <c r="R1921" s="39"/>
    </row>
    <row r="1922" spans="2:18" x14ac:dyDescent="0.2">
      <c r="B1922" s="1"/>
      <c r="C1922" s="2"/>
      <c r="D1922" s="38"/>
      <c r="F1922" s="1"/>
      <c r="G1922" s="2"/>
      <c r="H1922" s="38"/>
      <c r="J1922" s="3"/>
      <c r="K1922" s="3"/>
      <c r="L1922" s="39"/>
      <c r="N1922" s="3"/>
      <c r="O1922" s="3"/>
      <c r="P1922" s="39"/>
      <c r="R1922" s="39"/>
    </row>
    <row r="1923" spans="2:18" x14ac:dyDescent="0.2">
      <c r="B1923" s="1"/>
      <c r="C1923" s="2"/>
      <c r="D1923" s="38"/>
      <c r="F1923" s="1"/>
      <c r="G1923" s="2"/>
      <c r="H1923" s="38"/>
      <c r="J1923" s="3"/>
      <c r="K1923" s="3"/>
      <c r="L1923" s="39"/>
      <c r="N1923" s="3"/>
      <c r="O1923" s="3"/>
      <c r="P1923" s="39"/>
      <c r="R1923" s="39"/>
    </row>
    <row r="1924" spans="2:18" x14ac:dyDescent="0.2">
      <c r="B1924" s="1"/>
      <c r="C1924" s="2"/>
      <c r="D1924" s="38"/>
      <c r="F1924" s="1"/>
      <c r="G1924" s="2"/>
      <c r="H1924" s="38"/>
      <c r="J1924" s="3"/>
      <c r="K1924" s="3"/>
      <c r="L1924" s="39"/>
      <c r="N1924" s="3"/>
      <c r="O1924" s="3"/>
      <c r="P1924" s="39"/>
      <c r="R1924" s="39"/>
    </row>
    <row r="1925" spans="2:18" x14ac:dyDescent="0.2">
      <c r="B1925" s="1"/>
      <c r="C1925" s="2"/>
      <c r="D1925" s="38"/>
      <c r="F1925" s="1"/>
      <c r="G1925" s="2"/>
      <c r="H1925" s="38"/>
      <c r="J1925" s="3"/>
      <c r="K1925" s="3"/>
      <c r="L1925" s="39"/>
      <c r="N1925" s="3"/>
      <c r="O1925" s="3"/>
      <c r="P1925" s="39"/>
      <c r="R1925" s="39"/>
    </row>
    <row r="1926" spans="2:18" x14ac:dyDescent="0.2">
      <c r="B1926" s="1"/>
      <c r="C1926" s="2"/>
      <c r="D1926" s="38"/>
      <c r="F1926" s="1"/>
      <c r="G1926" s="2"/>
      <c r="H1926" s="38"/>
      <c r="J1926" s="3"/>
      <c r="K1926" s="3"/>
      <c r="L1926" s="39"/>
      <c r="N1926" s="3"/>
      <c r="O1926" s="3"/>
      <c r="P1926" s="39"/>
      <c r="R1926" s="39"/>
    </row>
    <row r="1927" spans="2:18" x14ac:dyDescent="0.2">
      <c r="B1927" s="1"/>
      <c r="C1927" s="2"/>
      <c r="D1927" s="38"/>
      <c r="F1927" s="1"/>
      <c r="G1927" s="2"/>
      <c r="H1927" s="38"/>
      <c r="J1927" s="3"/>
      <c r="K1927" s="3"/>
      <c r="L1927" s="39"/>
      <c r="N1927" s="3"/>
      <c r="O1927" s="3"/>
      <c r="P1927" s="39"/>
      <c r="R1927" s="39"/>
    </row>
    <row r="1928" spans="2:18" x14ac:dyDescent="0.2">
      <c r="B1928" s="1"/>
      <c r="C1928" s="2"/>
      <c r="D1928" s="38"/>
      <c r="F1928" s="1"/>
      <c r="G1928" s="2"/>
      <c r="H1928" s="38"/>
      <c r="J1928" s="3"/>
      <c r="K1928" s="3"/>
      <c r="L1928" s="39"/>
      <c r="N1928" s="3"/>
      <c r="O1928" s="3"/>
      <c r="P1928" s="39"/>
      <c r="R1928" s="39"/>
    </row>
    <row r="1929" spans="2:18" x14ac:dyDescent="0.2">
      <c r="B1929" s="1"/>
      <c r="C1929" s="2"/>
      <c r="D1929" s="38"/>
      <c r="F1929" s="1"/>
      <c r="G1929" s="2"/>
      <c r="H1929" s="38"/>
      <c r="J1929" s="3"/>
      <c r="K1929" s="3"/>
      <c r="L1929" s="39"/>
      <c r="N1929" s="3"/>
      <c r="O1929" s="3"/>
      <c r="P1929" s="39"/>
      <c r="R1929" s="39"/>
    </row>
    <row r="1930" spans="2:18" x14ac:dyDescent="0.2">
      <c r="B1930" s="1"/>
      <c r="C1930" s="2"/>
      <c r="D1930" s="38"/>
      <c r="F1930" s="1"/>
      <c r="G1930" s="2"/>
      <c r="H1930" s="38"/>
      <c r="J1930" s="3"/>
      <c r="K1930" s="3"/>
      <c r="L1930" s="39"/>
      <c r="N1930" s="3"/>
      <c r="O1930" s="3"/>
      <c r="P1930" s="39"/>
      <c r="R1930" s="39"/>
    </row>
    <row r="1931" spans="2:18" x14ac:dyDescent="0.2">
      <c r="B1931" s="1"/>
      <c r="C1931" s="2"/>
      <c r="D1931" s="38"/>
      <c r="F1931" s="1"/>
      <c r="G1931" s="2"/>
      <c r="H1931" s="38"/>
      <c r="J1931" s="3"/>
      <c r="K1931" s="3"/>
      <c r="L1931" s="39"/>
      <c r="N1931" s="3"/>
      <c r="O1931" s="3"/>
      <c r="P1931" s="39"/>
      <c r="R1931" s="39"/>
    </row>
    <row r="1932" spans="2:18" x14ac:dyDescent="0.2">
      <c r="B1932" s="1"/>
      <c r="C1932" s="2"/>
      <c r="D1932" s="38"/>
      <c r="F1932" s="1"/>
      <c r="G1932" s="2"/>
      <c r="H1932" s="38"/>
      <c r="J1932" s="3"/>
      <c r="K1932" s="3"/>
      <c r="L1932" s="39"/>
      <c r="N1932" s="3"/>
      <c r="O1932" s="3"/>
      <c r="P1932" s="39"/>
      <c r="R1932" s="39"/>
    </row>
    <row r="1933" spans="2:18" x14ac:dyDescent="0.2">
      <c r="B1933" s="1"/>
      <c r="C1933" s="2"/>
      <c r="D1933" s="38"/>
      <c r="F1933" s="1"/>
      <c r="G1933" s="2"/>
      <c r="H1933" s="38"/>
      <c r="J1933" s="3"/>
      <c r="K1933" s="3"/>
      <c r="L1933" s="39"/>
      <c r="N1933" s="3"/>
      <c r="O1933" s="3"/>
      <c r="P1933" s="39"/>
      <c r="R1933" s="39"/>
    </row>
    <row r="1934" spans="2:18" x14ac:dyDescent="0.2">
      <c r="B1934" s="1"/>
      <c r="C1934" s="2"/>
      <c r="D1934" s="38"/>
      <c r="F1934" s="1"/>
      <c r="G1934" s="2"/>
      <c r="H1934" s="38"/>
      <c r="J1934" s="3"/>
      <c r="K1934" s="3"/>
      <c r="L1934" s="39"/>
      <c r="N1934" s="3"/>
      <c r="O1934" s="3"/>
      <c r="P1934" s="39"/>
      <c r="R1934" s="39"/>
    </row>
    <row r="1935" spans="2:18" x14ac:dyDescent="0.2">
      <c r="B1935" s="1"/>
      <c r="C1935" s="2"/>
      <c r="D1935" s="38"/>
      <c r="F1935" s="1"/>
      <c r="G1935" s="2"/>
      <c r="H1935" s="38"/>
      <c r="J1935" s="3"/>
      <c r="K1935" s="3"/>
      <c r="L1935" s="39"/>
      <c r="N1935" s="3"/>
      <c r="O1935" s="3"/>
      <c r="P1935" s="39"/>
      <c r="R1935" s="39"/>
    </row>
    <row r="1936" spans="2:18" x14ac:dyDescent="0.2">
      <c r="B1936" s="1"/>
      <c r="C1936" s="2"/>
      <c r="D1936" s="38"/>
      <c r="F1936" s="1"/>
      <c r="G1936" s="2"/>
      <c r="H1936" s="38"/>
      <c r="J1936" s="3"/>
      <c r="K1936" s="3"/>
      <c r="L1936" s="39"/>
      <c r="N1936" s="3"/>
      <c r="O1936" s="3"/>
      <c r="P1936" s="39"/>
      <c r="R1936" s="39"/>
    </row>
    <row r="1937" spans="2:18" x14ac:dyDescent="0.2">
      <c r="B1937" s="1"/>
      <c r="C1937" s="2"/>
      <c r="D1937" s="38"/>
      <c r="F1937" s="1"/>
      <c r="G1937" s="2"/>
      <c r="H1937" s="38"/>
      <c r="J1937" s="3"/>
      <c r="K1937" s="3"/>
      <c r="L1937" s="39"/>
      <c r="N1937" s="3"/>
      <c r="O1937" s="3"/>
      <c r="P1937" s="39"/>
      <c r="R1937" s="39"/>
    </row>
    <row r="1938" spans="2:18" x14ac:dyDescent="0.2">
      <c r="B1938" s="1"/>
      <c r="C1938" s="2"/>
      <c r="D1938" s="38"/>
      <c r="F1938" s="1"/>
      <c r="G1938" s="2"/>
      <c r="H1938" s="38"/>
      <c r="J1938" s="3"/>
      <c r="K1938" s="3"/>
      <c r="L1938" s="39"/>
      <c r="N1938" s="3"/>
      <c r="O1938" s="3"/>
      <c r="P1938" s="39"/>
      <c r="R1938" s="39"/>
    </row>
    <row r="1939" spans="2:18" x14ac:dyDescent="0.2">
      <c r="B1939" s="1"/>
      <c r="C1939" s="2"/>
      <c r="D1939" s="38"/>
      <c r="F1939" s="1"/>
      <c r="G1939" s="2"/>
      <c r="H1939" s="38"/>
      <c r="J1939" s="3"/>
      <c r="K1939" s="3"/>
      <c r="L1939" s="39"/>
      <c r="N1939" s="3"/>
      <c r="O1939" s="3"/>
      <c r="P1939" s="39"/>
      <c r="R1939" s="39"/>
    </row>
    <row r="1940" spans="2:18" x14ac:dyDescent="0.2">
      <c r="B1940" s="1"/>
      <c r="C1940" s="2"/>
      <c r="D1940" s="38"/>
      <c r="F1940" s="1"/>
      <c r="G1940" s="2"/>
      <c r="H1940" s="38"/>
      <c r="J1940" s="3"/>
      <c r="K1940" s="3"/>
      <c r="L1940" s="39"/>
      <c r="N1940" s="3"/>
      <c r="O1940" s="3"/>
      <c r="P1940" s="39"/>
      <c r="R1940" s="39"/>
    </row>
    <row r="1941" spans="2:18" x14ac:dyDescent="0.2">
      <c r="B1941" s="1"/>
      <c r="C1941" s="2"/>
      <c r="D1941" s="38"/>
      <c r="F1941" s="1"/>
      <c r="G1941" s="2"/>
      <c r="H1941" s="38"/>
      <c r="J1941" s="3"/>
      <c r="K1941" s="3"/>
      <c r="L1941" s="39"/>
      <c r="N1941" s="3"/>
      <c r="O1941" s="3"/>
      <c r="P1941" s="39"/>
      <c r="R1941" s="39"/>
    </row>
    <row r="1942" spans="2:18" x14ac:dyDescent="0.2">
      <c r="B1942" s="1"/>
      <c r="C1942" s="2"/>
      <c r="D1942" s="38"/>
      <c r="F1942" s="1"/>
      <c r="G1942" s="2"/>
      <c r="H1942" s="38"/>
      <c r="J1942" s="3"/>
      <c r="K1942" s="3"/>
      <c r="L1942" s="39"/>
      <c r="N1942" s="3"/>
      <c r="O1942" s="3"/>
      <c r="P1942" s="39"/>
      <c r="R1942" s="39"/>
    </row>
    <row r="1943" spans="2:18" x14ac:dyDescent="0.2">
      <c r="B1943" s="1"/>
      <c r="C1943" s="2"/>
      <c r="D1943" s="38"/>
      <c r="F1943" s="1"/>
      <c r="G1943" s="2"/>
      <c r="H1943" s="38"/>
      <c r="J1943" s="3"/>
      <c r="K1943" s="3"/>
      <c r="L1943" s="39"/>
      <c r="N1943" s="3"/>
      <c r="O1943" s="3"/>
      <c r="P1943" s="39"/>
      <c r="R1943" s="39"/>
    </row>
    <row r="1944" spans="2:18" x14ac:dyDescent="0.2">
      <c r="B1944" s="1"/>
      <c r="C1944" s="2"/>
      <c r="D1944" s="38"/>
      <c r="F1944" s="1"/>
      <c r="G1944" s="2"/>
      <c r="H1944" s="38"/>
      <c r="J1944" s="3"/>
      <c r="K1944" s="3"/>
      <c r="L1944" s="39"/>
      <c r="N1944" s="3"/>
      <c r="O1944" s="3"/>
      <c r="P1944" s="39"/>
      <c r="R1944" s="39"/>
    </row>
    <row r="1945" spans="2:18" x14ac:dyDescent="0.2">
      <c r="B1945" s="1"/>
      <c r="C1945" s="2"/>
      <c r="D1945" s="38"/>
      <c r="F1945" s="1"/>
      <c r="G1945" s="2"/>
      <c r="H1945" s="38"/>
      <c r="J1945" s="3"/>
      <c r="K1945" s="3"/>
      <c r="L1945" s="39"/>
      <c r="N1945" s="3"/>
      <c r="O1945" s="3"/>
      <c r="P1945" s="39"/>
      <c r="R1945" s="39"/>
    </row>
    <row r="1946" spans="2:18" x14ac:dyDescent="0.2">
      <c r="B1946" s="1"/>
      <c r="C1946" s="2"/>
      <c r="D1946" s="38"/>
      <c r="F1946" s="1"/>
      <c r="G1946" s="2"/>
      <c r="H1946" s="38"/>
      <c r="J1946" s="3"/>
      <c r="K1946" s="3"/>
      <c r="L1946" s="39"/>
      <c r="N1946" s="3"/>
      <c r="O1946" s="3"/>
      <c r="P1946" s="39"/>
      <c r="R1946" s="39"/>
    </row>
    <row r="1947" spans="2:18" x14ac:dyDescent="0.2">
      <c r="B1947" s="1"/>
      <c r="C1947" s="2"/>
      <c r="D1947" s="38"/>
      <c r="F1947" s="1"/>
      <c r="G1947" s="2"/>
      <c r="H1947" s="38"/>
      <c r="J1947" s="3"/>
      <c r="K1947" s="3"/>
      <c r="L1947" s="39"/>
      <c r="N1947" s="3"/>
      <c r="O1947" s="3"/>
      <c r="P1947" s="39"/>
      <c r="R1947" s="39"/>
    </row>
    <row r="1948" spans="2:18" x14ac:dyDescent="0.2">
      <c r="B1948" s="1"/>
      <c r="C1948" s="2"/>
      <c r="D1948" s="38"/>
      <c r="F1948" s="1"/>
      <c r="G1948" s="2"/>
      <c r="H1948" s="38"/>
      <c r="J1948" s="3"/>
      <c r="K1948" s="3"/>
      <c r="L1948" s="39"/>
      <c r="N1948" s="3"/>
      <c r="O1948" s="3"/>
      <c r="P1948" s="39"/>
      <c r="R1948" s="39"/>
    </row>
    <row r="1949" spans="2:18" x14ac:dyDescent="0.2">
      <c r="B1949" s="1"/>
      <c r="C1949" s="2"/>
      <c r="D1949" s="38"/>
      <c r="F1949" s="1"/>
      <c r="G1949" s="2"/>
      <c r="H1949" s="38"/>
      <c r="J1949" s="3"/>
      <c r="K1949" s="3"/>
      <c r="L1949" s="39"/>
      <c r="N1949" s="3"/>
      <c r="O1949" s="3"/>
      <c r="P1949" s="39"/>
      <c r="R1949" s="39"/>
    </row>
    <row r="1950" spans="2:18" x14ac:dyDescent="0.2">
      <c r="B1950" s="1"/>
      <c r="C1950" s="2"/>
      <c r="D1950" s="38"/>
      <c r="F1950" s="1"/>
      <c r="G1950" s="2"/>
      <c r="H1950" s="38"/>
      <c r="J1950" s="3"/>
      <c r="K1950" s="3"/>
      <c r="L1950" s="39"/>
      <c r="N1950" s="3"/>
      <c r="O1950" s="3"/>
      <c r="P1950" s="39"/>
      <c r="R1950" s="39"/>
    </row>
    <row r="1951" spans="2:18" x14ac:dyDescent="0.2">
      <c r="B1951" s="1"/>
      <c r="C1951" s="2"/>
      <c r="D1951" s="38"/>
      <c r="F1951" s="1"/>
      <c r="G1951" s="2"/>
      <c r="H1951" s="38"/>
      <c r="J1951" s="3"/>
      <c r="K1951" s="3"/>
      <c r="L1951" s="39"/>
      <c r="N1951" s="3"/>
      <c r="O1951" s="3"/>
      <c r="P1951" s="39"/>
      <c r="R1951" s="39"/>
    </row>
    <row r="1952" spans="2:18" x14ac:dyDescent="0.2">
      <c r="B1952" s="1"/>
      <c r="C1952" s="2"/>
      <c r="D1952" s="38"/>
      <c r="F1952" s="1"/>
      <c r="G1952" s="2"/>
      <c r="H1952" s="38"/>
      <c r="J1952" s="3"/>
      <c r="K1952" s="3"/>
      <c r="L1952" s="39"/>
      <c r="N1952" s="3"/>
      <c r="O1952" s="3"/>
      <c r="P1952" s="39"/>
      <c r="R1952" s="39"/>
    </row>
    <row r="1953" spans="2:18" x14ac:dyDescent="0.2">
      <c r="B1953" s="1"/>
      <c r="C1953" s="2"/>
      <c r="D1953" s="38"/>
      <c r="F1953" s="1"/>
      <c r="G1953" s="2"/>
      <c r="H1953" s="38"/>
      <c r="J1953" s="3"/>
      <c r="K1953" s="3"/>
      <c r="L1953" s="39"/>
      <c r="N1953" s="3"/>
      <c r="O1953" s="3"/>
      <c r="P1953" s="39"/>
      <c r="R1953" s="39"/>
    </row>
    <row r="1954" spans="2:18" x14ac:dyDescent="0.2">
      <c r="B1954" s="1"/>
      <c r="C1954" s="2"/>
      <c r="D1954" s="38"/>
      <c r="F1954" s="1"/>
      <c r="G1954" s="2"/>
      <c r="H1954" s="38"/>
      <c r="J1954" s="3"/>
      <c r="K1954" s="3"/>
      <c r="L1954" s="39"/>
      <c r="N1954" s="3"/>
      <c r="O1954" s="3"/>
      <c r="P1954" s="39"/>
      <c r="R1954" s="39"/>
    </row>
    <row r="1955" spans="2:18" x14ac:dyDescent="0.2">
      <c r="B1955" s="1"/>
      <c r="C1955" s="2"/>
      <c r="D1955" s="38"/>
      <c r="F1955" s="1"/>
      <c r="G1955" s="2"/>
      <c r="H1955" s="38"/>
      <c r="J1955" s="3"/>
      <c r="K1955" s="3"/>
      <c r="L1955" s="39"/>
      <c r="N1955" s="3"/>
      <c r="O1955" s="3"/>
      <c r="P1955" s="39"/>
      <c r="R1955" s="39"/>
    </row>
    <row r="1956" spans="2:18" x14ac:dyDescent="0.2">
      <c r="B1956" s="1"/>
      <c r="C1956" s="2"/>
      <c r="D1956" s="38"/>
      <c r="F1956" s="1"/>
      <c r="G1956" s="2"/>
      <c r="H1956" s="38"/>
      <c r="J1956" s="3"/>
      <c r="K1956" s="3"/>
      <c r="L1956" s="39"/>
      <c r="N1956" s="3"/>
      <c r="O1956" s="3"/>
      <c r="P1956" s="39"/>
      <c r="R1956" s="39"/>
    </row>
    <row r="1957" spans="2:18" x14ac:dyDescent="0.2">
      <c r="B1957" s="1"/>
      <c r="C1957" s="2"/>
      <c r="D1957" s="38"/>
      <c r="F1957" s="1"/>
      <c r="G1957" s="2"/>
      <c r="H1957" s="38"/>
      <c r="J1957" s="3"/>
      <c r="K1957" s="3"/>
      <c r="L1957" s="39"/>
      <c r="N1957" s="3"/>
      <c r="O1957" s="3"/>
      <c r="P1957" s="39"/>
      <c r="R1957" s="39"/>
    </row>
    <row r="1958" spans="2:18" x14ac:dyDescent="0.2">
      <c r="B1958" s="1"/>
      <c r="C1958" s="2"/>
      <c r="D1958" s="38"/>
      <c r="F1958" s="1"/>
      <c r="G1958" s="2"/>
      <c r="H1958" s="38"/>
      <c r="J1958" s="3"/>
      <c r="K1958" s="3"/>
      <c r="L1958" s="39"/>
      <c r="N1958" s="3"/>
      <c r="O1958" s="3"/>
      <c r="P1958" s="39"/>
      <c r="R1958" s="39"/>
    </row>
    <row r="1959" spans="2:18" x14ac:dyDescent="0.2">
      <c r="B1959" s="1"/>
      <c r="C1959" s="2"/>
      <c r="D1959" s="38"/>
      <c r="F1959" s="1"/>
      <c r="G1959" s="2"/>
      <c r="H1959" s="38"/>
      <c r="J1959" s="3"/>
      <c r="K1959" s="3"/>
      <c r="L1959" s="39"/>
      <c r="N1959" s="3"/>
      <c r="O1959" s="3"/>
      <c r="P1959" s="39"/>
      <c r="R1959" s="39"/>
    </row>
    <row r="1960" spans="2:18" x14ac:dyDescent="0.2">
      <c r="B1960" s="1"/>
      <c r="C1960" s="2"/>
      <c r="D1960" s="38"/>
      <c r="F1960" s="1"/>
      <c r="G1960" s="2"/>
      <c r="H1960" s="38"/>
      <c r="J1960" s="3"/>
      <c r="K1960" s="3"/>
      <c r="L1960" s="39"/>
      <c r="N1960" s="3"/>
      <c r="O1960" s="3"/>
      <c r="P1960" s="39"/>
      <c r="R1960" s="39"/>
    </row>
    <row r="1961" spans="2:18" x14ac:dyDescent="0.2">
      <c r="B1961" s="1"/>
      <c r="C1961" s="2"/>
      <c r="D1961" s="38"/>
      <c r="F1961" s="1"/>
      <c r="G1961" s="2"/>
      <c r="H1961" s="38"/>
      <c r="J1961" s="3"/>
      <c r="K1961" s="3"/>
      <c r="L1961" s="39"/>
      <c r="N1961" s="3"/>
      <c r="O1961" s="3"/>
      <c r="P1961" s="39"/>
      <c r="R1961" s="39"/>
    </row>
    <row r="1962" spans="2:18" x14ac:dyDescent="0.2">
      <c r="B1962" s="1"/>
      <c r="C1962" s="2"/>
      <c r="D1962" s="38"/>
      <c r="F1962" s="1"/>
      <c r="G1962" s="2"/>
      <c r="H1962" s="38"/>
      <c r="J1962" s="3"/>
      <c r="K1962" s="3"/>
      <c r="L1962" s="39"/>
      <c r="N1962" s="3"/>
      <c r="O1962" s="3"/>
      <c r="P1962" s="39"/>
      <c r="R1962" s="39"/>
    </row>
    <row r="1963" spans="2:18" x14ac:dyDescent="0.2">
      <c r="B1963" s="1"/>
      <c r="C1963" s="2"/>
      <c r="D1963" s="38"/>
      <c r="F1963" s="1"/>
      <c r="G1963" s="2"/>
      <c r="H1963" s="38"/>
      <c r="J1963" s="3"/>
      <c r="K1963" s="3"/>
      <c r="L1963" s="39"/>
      <c r="N1963" s="3"/>
      <c r="O1963" s="3"/>
      <c r="P1963" s="39"/>
      <c r="R1963" s="39"/>
    </row>
    <row r="1964" spans="2:18" x14ac:dyDescent="0.2">
      <c r="B1964" s="1"/>
      <c r="C1964" s="2"/>
      <c r="D1964" s="38"/>
      <c r="F1964" s="1"/>
      <c r="G1964" s="2"/>
      <c r="H1964" s="38"/>
      <c r="J1964" s="3"/>
      <c r="K1964" s="3"/>
      <c r="L1964" s="39"/>
      <c r="N1964" s="3"/>
      <c r="O1964" s="3"/>
      <c r="P1964" s="39"/>
      <c r="R1964" s="39"/>
    </row>
    <row r="1965" spans="2:18" x14ac:dyDescent="0.2">
      <c r="B1965" s="1"/>
      <c r="C1965" s="2"/>
      <c r="D1965" s="38"/>
      <c r="F1965" s="1"/>
      <c r="G1965" s="2"/>
      <c r="H1965" s="38"/>
      <c r="J1965" s="3"/>
      <c r="K1965" s="3"/>
      <c r="L1965" s="39"/>
      <c r="N1965" s="3"/>
      <c r="O1965" s="3"/>
      <c r="P1965" s="39"/>
      <c r="R1965" s="39"/>
    </row>
    <row r="1966" spans="2:18" x14ac:dyDescent="0.2">
      <c r="B1966" s="1"/>
      <c r="C1966" s="2"/>
      <c r="D1966" s="38"/>
      <c r="F1966" s="1"/>
      <c r="G1966" s="2"/>
      <c r="H1966" s="38"/>
      <c r="J1966" s="3"/>
      <c r="K1966" s="3"/>
      <c r="L1966" s="39"/>
      <c r="N1966" s="3"/>
      <c r="O1966" s="3"/>
      <c r="P1966" s="39"/>
      <c r="R1966" s="39"/>
    </row>
    <row r="1967" spans="2:18" x14ac:dyDescent="0.2">
      <c r="B1967" s="1"/>
      <c r="C1967" s="2"/>
      <c r="D1967" s="38"/>
      <c r="F1967" s="1"/>
      <c r="G1967" s="2"/>
      <c r="H1967" s="38"/>
      <c r="J1967" s="3"/>
      <c r="K1967" s="3"/>
      <c r="L1967" s="39"/>
      <c r="N1967" s="3"/>
      <c r="O1967" s="3"/>
      <c r="P1967" s="39"/>
      <c r="R1967" s="39"/>
    </row>
    <row r="1968" spans="2:18" x14ac:dyDescent="0.2">
      <c r="B1968" s="1"/>
      <c r="C1968" s="2"/>
      <c r="D1968" s="38"/>
      <c r="F1968" s="1"/>
      <c r="G1968" s="2"/>
      <c r="H1968" s="38"/>
      <c r="J1968" s="3"/>
      <c r="K1968" s="3"/>
      <c r="L1968" s="39"/>
      <c r="N1968" s="3"/>
      <c r="O1968" s="3"/>
      <c r="P1968" s="39"/>
      <c r="R1968" s="39"/>
    </row>
    <row r="1969" spans="2:18" x14ac:dyDescent="0.2">
      <c r="B1969" s="1"/>
      <c r="C1969" s="2"/>
      <c r="D1969" s="38"/>
      <c r="F1969" s="1"/>
      <c r="G1969" s="2"/>
      <c r="H1969" s="38"/>
      <c r="J1969" s="3"/>
      <c r="K1969" s="3"/>
      <c r="L1969" s="39"/>
      <c r="N1969" s="3"/>
      <c r="O1969" s="3"/>
      <c r="P1969" s="39"/>
      <c r="R1969" s="39"/>
    </row>
    <row r="1970" spans="2:18" x14ac:dyDescent="0.2">
      <c r="B1970" s="1"/>
      <c r="C1970" s="2"/>
      <c r="D1970" s="38"/>
      <c r="F1970" s="1"/>
      <c r="G1970" s="2"/>
      <c r="H1970" s="38"/>
      <c r="J1970" s="3"/>
      <c r="K1970" s="3"/>
      <c r="L1970" s="39"/>
      <c r="N1970" s="3"/>
      <c r="O1970" s="3"/>
      <c r="P1970" s="39"/>
      <c r="R1970" s="39"/>
    </row>
    <row r="1971" spans="2:18" x14ac:dyDescent="0.2">
      <c r="B1971" s="1"/>
      <c r="C1971" s="2"/>
      <c r="D1971" s="38"/>
      <c r="F1971" s="1"/>
      <c r="G1971" s="2"/>
      <c r="H1971" s="38"/>
      <c r="J1971" s="3"/>
      <c r="K1971" s="3"/>
      <c r="L1971" s="39"/>
      <c r="N1971" s="3"/>
      <c r="O1971" s="3"/>
      <c r="P1971" s="39"/>
      <c r="R1971" s="39"/>
    </row>
    <row r="1972" spans="2:18" x14ac:dyDescent="0.2">
      <c r="B1972" s="1"/>
      <c r="C1972" s="2"/>
      <c r="D1972" s="38"/>
      <c r="F1972" s="1"/>
      <c r="G1972" s="2"/>
      <c r="H1972" s="38"/>
      <c r="J1972" s="3"/>
      <c r="K1972" s="3"/>
      <c r="L1972" s="39"/>
      <c r="N1972" s="3"/>
      <c r="O1972" s="3"/>
      <c r="P1972" s="39"/>
      <c r="R1972" s="39"/>
    </row>
    <row r="1973" spans="2:18" x14ac:dyDescent="0.2">
      <c r="B1973" s="1"/>
      <c r="C1973" s="2"/>
      <c r="D1973" s="38"/>
      <c r="F1973" s="1"/>
      <c r="G1973" s="2"/>
      <c r="H1973" s="38"/>
      <c r="J1973" s="3"/>
      <c r="K1973" s="3"/>
      <c r="L1973" s="39"/>
      <c r="N1973" s="3"/>
      <c r="O1973" s="3"/>
      <c r="P1973" s="39"/>
      <c r="R1973" s="39"/>
    </row>
    <row r="1974" spans="2:18" x14ac:dyDescent="0.2">
      <c r="B1974" s="1"/>
      <c r="C1974" s="2"/>
      <c r="D1974" s="38"/>
      <c r="F1974" s="1"/>
      <c r="G1974" s="2"/>
      <c r="H1974" s="38"/>
      <c r="J1974" s="3"/>
      <c r="K1974" s="3"/>
      <c r="L1974" s="39"/>
      <c r="N1974" s="3"/>
      <c r="O1974" s="3"/>
      <c r="P1974" s="39"/>
      <c r="R1974" s="39"/>
    </row>
    <row r="1975" spans="2:18" x14ac:dyDescent="0.2">
      <c r="B1975" s="1"/>
      <c r="C1975" s="2"/>
      <c r="D1975" s="38"/>
      <c r="F1975" s="1"/>
      <c r="G1975" s="2"/>
      <c r="H1975" s="38"/>
      <c r="J1975" s="3"/>
      <c r="K1975" s="3"/>
      <c r="L1975" s="39"/>
      <c r="N1975" s="3"/>
      <c r="O1975" s="3"/>
      <c r="P1975" s="39"/>
      <c r="R1975" s="39"/>
    </row>
    <row r="1976" spans="2:18" x14ac:dyDescent="0.2">
      <c r="B1976" s="1"/>
      <c r="C1976" s="2"/>
      <c r="D1976" s="38"/>
      <c r="F1976" s="1"/>
      <c r="G1976" s="2"/>
      <c r="H1976" s="38"/>
      <c r="J1976" s="3"/>
      <c r="K1976" s="3"/>
      <c r="L1976" s="39"/>
      <c r="N1976" s="3"/>
      <c r="O1976" s="3"/>
      <c r="P1976" s="39"/>
      <c r="R1976" s="39"/>
    </row>
    <row r="1977" spans="2:18" x14ac:dyDescent="0.2">
      <c r="B1977" s="1"/>
      <c r="C1977" s="2"/>
      <c r="D1977" s="38"/>
      <c r="F1977" s="1"/>
      <c r="G1977" s="2"/>
      <c r="H1977" s="38"/>
      <c r="J1977" s="3"/>
      <c r="K1977" s="3"/>
      <c r="L1977" s="39"/>
      <c r="N1977" s="3"/>
      <c r="O1977" s="3"/>
      <c r="P1977" s="39"/>
      <c r="R1977" s="39"/>
    </row>
    <row r="1978" spans="2:18" x14ac:dyDescent="0.2">
      <c r="B1978" s="1"/>
      <c r="C1978" s="2"/>
      <c r="D1978" s="38"/>
      <c r="F1978" s="1"/>
      <c r="G1978" s="2"/>
      <c r="H1978" s="38"/>
      <c r="J1978" s="3"/>
      <c r="K1978" s="3"/>
      <c r="L1978" s="39"/>
      <c r="N1978" s="3"/>
      <c r="O1978" s="3"/>
      <c r="P1978" s="39"/>
      <c r="R1978" s="39"/>
    </row>
    <row r="1979" spans="2:18" x14ac:dyDescent="0.2">
      <c r="B1979" s="1"/>
      <c r="C1979" s="2"/>
      <c r="D1979" s="38"/>
      <c r="F1979" s="1"/>
      <c r="G1979" s="2"/>
      <c r="H1979" s="38"/>
      <c r="J1979" s="3"/>
      <c r="K1979" s="3"/>
      <c r="L1979" s="39"/>
      <c r="N1979" s="3"/>
      <c r="O1979" s="3"/>
      <c r="P1979" s="39"/>
      <c r="R1979" s="39"/>
    </row>
    <row r="1980" spans="2:18" x14ac:dyDescent="0.2">
      <c r="B1980" s="1"/>
      <c r="C1980" s="2"/>
      <c r="D1980" s="38"/>
      <c r="F1980" s="1"/>
      <c r="G1980" s="2"/>
      <c r="H1980" s="38"/>
      <c r="J1980" s="3"/>
      <c r="K1980" s="3"/>
      <c r="L1980" s="39"/>
      <c r="N1980" s="3"/>
      <c r="O1980" s="3"/>
      <c r="P1980" s="39"/>
      <c r="R1980" s="39"/>
    </row>
    <row r="1981" spans="2:18" x14ac:dyDescent="0.2">
      <c r="B1981" s="1"/>
      <c r="C1981" s="2"/>
      <c r="D1981" s="38"/>
      <c r="F1981" s="1"/>
      <c r="G1981" s="2"/>
      <c r="H1981" s="38"/>
      <c r="J1981" s="3"/>
      <c r="K1981" s="3"/>
      <c r="L1981" s="39"/>
      <c r="N1981" s="3"/>
      <c r="O1981" s="3"/>
      <c r="P1981" s="39"/>
      <c r="R1981" s="39"/>
    </row>
    <row r="1982" spans="2:18" x14ac:dyDescent="0.2">
      <c r="B1982" s="1"/>
      <c r="C1982" s="2"/>
      <c r="D1982" s="38"/>
      <c r="F1982" s="1"/>
      <c r="G1982" s="2"/>
      <c r="H1982" s="38"/>
      <c r="J1982" s="3"/>
      <c r="K1982" s="3"/>
      <c r="L1982" s="39"/>
      <c r="N1982" s="3"/>
      <c r="O1982" s="3"/>
      <c r="P1982" s="39"/>
      <c r="R1982" s="39"/>
    </row>
    <row r="1983" spans="2:18" x14ac:dyDescent="0.2">
      <c r="B1983" s="1"/>
      <c r="C1983" s="2"/>
      <c r="D1983" s="38"/>
      <c r="F1983" s="1"/>
      <c r="G1983" s="2"/>
      <c r="H1983" s="38"/>
      <c r="J1983" s="3"/>
      <c r="K1983" s="3"/>
      <c r="L1983" s="39"/>
      <c r="N1983" s="3"/>
      <c r="O1983" s="3"/>
      <c r="P1983" s="39"/>
      <c r="R1983" s="39"/>
    </row>
    <row r="1984" spans="2:18" x14ac:dyDescent="0.2">
      <c r="B1984" s="1"/>
      <c r="C1984" s="2"/>
      <c r="D1984" s="38"/>
      <c r="F1984" s="1"/>
      <c r="G1984" s="2"/>
      <c r="H1984" s="38"/>
      <c r="J1984" s="3"/>
      <c r="K1984" s="3"/>
      <c r="L1984" s="39"/>
      <c r="N1984" s="3"/>
      <c r="O1984" s="3"/>
      <c r="P1984" s="39"/>
      <c r="R1984" s="39"/>
    </row>
    <row r="1985" spans="2:18" x14ac:dyDescent="0.2">
      <c r="B1985" s="1"/>
      <c r="C1985" s="2"/>
      <c r="D1985" s="38"/>
      <c r="F1985" s="1"/>
      <c r="G1985" s="2"/>
      <c r="H1985" s="38"/>
      <c r="J1985" s="3"/>
      <c r="K1985" s="3"/>
      <c r="L1985" s="39"/>
      <c r="N1985" s="3"/>
      <c r="O1985" s="3"/>
      <c r="P1985" s="39"/>
      <c r="R1985" s="39"/>
    </row>
    <row r="1986" spans="2:18" x14ac:dyDescent="0.2">
      <c r="B1986" s="1"/>
      <c r="C1986" s="2"/>
      <c r="D1986" s="38"/>
      <c r="F1986" s="1"/>
      <c r="G1986" s="2"/>
      <c r="H1986" s="38"/>
      <c r="J1986" s="3"/>
      <c r="K1986" s="3"/>
      <c r="L1986" s="39"/>
      <c r="N1986" s="3"/>
      <c r="O1986" s="3"/>
      <c r="P1986" s="39"/>
      <c r="R1986" s="39"/>
    </row>
    <row r="1987" spans="2:18" x14ac:dyDescent="0.2">
      <c r="B1987" s="1"/>
      <c r="C1987" s="2"/>
      <c r="D1987" s="38"/>
      <c r="F1987" s="1"/>
      <c r="G1987" s="2"/>
      <c r="H1987" s="38"/>
      <c r="J1987" s="3"/>
      <c r="K1987" s="3"/>
      <c r="L1987" s="39"/>
      <c r="N1987" s="3"/>
      <c r="O1987" s="3"/>
      <c r="P1987" s="39"/>
      <c r="R1987" s="39"/>
    </row>
    <row r="1988" spans="2:18" x14ac:dyDescent="0.2">
      <c r="B1988" s="1"/>
      <c r="C1988" s="2"/>
      <c r="D1988" s="38"/>
      <c r="F1988" s="1"/>
      <c r="G1988" s="2"/>
      <c r="H1988" s="38"/>
      <c r="J1988" s="3"/>
      <c r="K1988" s="3"/>
      <c r="L1988" s="39"/>
      <c r="N1988" s="3"/>
      <c r="O1988" s="3"/>
      <c r="P1988" s="39"/>
      <c r="R1988" s="39"/>
    </row>
    <row r="1989" spans="2:18" x14ac:dyDescent="0.2">
      <c r="B1989" s="1"/>
      <c r="C1989" s="2"/>
      <c r="D1989" s="38"/>
      <c r="F1989" s="1"/>
      <c r="G1989" s="2"/>
      <c r="H1989" s="38"/>
      <c r="J1989" s="3"/>
      <c r="K1989" s="3"/>
      <c r="L1989" s="39"/>
      <c r="N1989" s="3"/>
      <c r="O1989" s="3"/>
      <c r="P1989" s="39"/>
      <c r="R1989" s="39"/>
    </row>
    <row r="1990" spans="2:18" x14ac:dyDescent="0.2">
      <c r="B1990" s="1"/>
      <c r="C1990" s="2"/>
      <c r="D1990" s="38"/>
      <c r="F1990" s="1"/>
      <c r="G1990" s="2"/>
      <c r="H1990" s="38"/>
      <c r="J1990" s="3"/>
      <c r="K1990" s="3"/>
      <c r="L1990" s="39"/>
      <c r="N1990" s="3"/>
      <c r="O1990" s="3"/>
      <c r="P1990" s="39"/>
      <c r="R1990" s="39"/>
    </row>
    <row r="1991" spans="2:18" x14ac:dyDescent="0.2">
      <c r="B1991" s="1"/>
      <c r="C1991" s="2"/>
      <c r="D1991" s="38"/>
      <c r="F1991" s="1"/>
      <c r="G1991" s="2"/>
      <c r="H1991" s="38"/>
      <c r="J1991" s="3"/>
      <c r="K1991" s="3"/>
      <c r="L1991" s="39"/>
      <c r="N1991" s="3"/>
      <c r="O1991" s="3"/>
      <c r="P1991" s="39"/>
      <c r="R1991" s="39"/>
    </row>
    <row r="1992" spans="2:18" x14ac:dyDescent="0.2">
      <c r="B1992" s="1"/>
      <c r="C1992" s="2"/>
      <c r="D1992" s="38"/>
      <c r="F1992" s="1"/>
      <c r="G1992" s="2"/>
      <c r="H1992" s="38"/>
      <c r="J1992" s="3"/>
      <c r="K1992" s="3"/>
      <c r="L1992" s="39"/>
      <c r="N1992" s="3"/>
      <c r="O1992" s="3"/>
      <c r="P1992" s="39"/>
      <c r="R1992" s="39"/>
    </row>
    <row r="1993" spans="2:18" x14ac:dyDescent="0.2">
      <c r="B1993" s="1"/>
      <c r="C1993" s="2"/>
      <c r="D1993" s="38"/>
      <c r="F1993" s="1"/>
      <c r="G1993" s="2"/>
      <c r="H1993" s="38"/>
      <c r="J1993" s="3"/>
      <c r="K1993" s="3"/>
      <c r="L1993" s="39"/>
      <c r="N1993" s="3"/>
      <c r="O1993" s="3"/>
      <c r="P1993" s="39"/>
      <c r="R1993" s="39"/>
    </row>
    <row r="1994" spans="2:18" x14ac:dyDescent="0.2">
      <c r="B1994" s="1"/>
      <c r="C1994" s="2"/>
      <c r="D1994" s="38"/>
      <c r="F1994" s="1"/>
      <c r="G1994" s="2"/>
      <c r="H1994" s="38"/>
      <c r="J1994" s="3"/>
      <c r="K1994" s="3"/>
      <c r="L1994" s="39"/>
      <c r="N1994" s="3"/>
      <c r="O1994" s="3"/>
      <c r="P1994" s="39"/>
      <c r="R1994" s="39"/>
    </row>
    <row r="1995" spans="2:18" x14ac:dyDescent="0.2">
      <c r="B1995" s="1"/>
      <c r="C1995" s="2"/>
      <c r="D1995" s="38"/>
      <c r="F1995" s="1"/>
      <c r="G1995" s="2"/>
      <c r="H1995" s="38"/>
      <c r="J1995" s="3"/>
      <c r="K1995" s="3"/>
      <c r="L1995" s="39"/>
      <c r="N1995" s="3"/>
      <c r="O1995" s="3"/>
      <c r="P1995" s="39"/>
      <c r="R1995" s="39"/>
    </row>
    <row r="1996" spans="2:18" x14ac:dyDescent="0.2">
      <c r="B1996" s="1"/>
      <c r="C1996" s="2"/>
      <c r="D1996" s="38"/>
      <c r="F1996" s="1"/>
      <c r="G1996" s="2"/>
      <c r="H1996" s="38"/>
      <c r="J1996" s="3"/>
      <c r="K1996" s="3"/>
      <c r="L1996" s="39"/>
      <c r="N1996" s="3"/>
      <c r="O1996" s="3"/>
      <c r="P1996" s="39"/>
      <c r="R1996" s="39"/>
    </row>
    <row r="1997" spans="2:18" x14ac:dyDescent="0.2">
      <c r="B1997" s="1"/>
      <c r="C1997" s="2"/>
      <c r="D1997" s="38"/>
      <c r="F1997" s="1"/>
      <c r="G1997" s="2"/>
      <c r="H1997" s="38"/>
      <c r="J1997" s="3"/>
      <c r="K1997" s="3"/>
      <c r="L1997" s="39"/>
      <c r="N1997" s="3"/>
      <c r="O1997" s="3"/>
      <c r="P1997" s="39"/>
      <c r="R1997" s="39"/>
    </row>
    <row r="1998" spans="2:18" x14ac:dyDescent="0.2">
      <c r="B1998" s="1"/>
      <c r="C1998" s="2"/>
      <c r="D1998" s="38"/>
      <c r="F1998" s="1"/>
      <c r="G1998" s="2"/>
      <c r="H1998" s="38"/>
      <c r="J1998" s="3"/>
      <c r="K1998" s="3"/>
      <c r="L1998" s="39"/>
      <c r="N1998" s="3"/>
      <c r="O1998" s="3"/>
      <c r="P1998" s="39"/>
      <c r="R1998" s="39"/>
    </row>
    <row r="1999" spans="2:18" x14ac:dyDescent="0.2">
      <c r="B1999" s="1"/>
      <c r="C1999" s="2"/>
      <c r="D1999" s="38"/>
      <c r="F1999" s="1"/>
      <c r="G1999" s="2"/>
      <c r="H1999" s="38"/>
      <c r="J1999" s="3"/>
      <c r="K1999" s="3"/>
      <c r="L1999" s="39"/>
      <c r="N1999" s="3"/>
      <c r="O1999" s="3"/>
      <c r="P1999" s="39"/>
      <c r="R1999" s="39"/>
    </row>
    <row r="2000" spans="2:18" x14ac:dyDescent="0.2">
      <c r="B2000" s="1"/>
      <c r="C2000" s="2"/>
      <c r="D2000" s="38"/>
      <c r="F2000" s="1"/>
      <c r="G2000" s="2"/>
      <c r="H2000" s="38"/>
      <c r="J2000" s="3"/>
      <c r="K2000" s="3"/>
      <c r="L2000" s="39"/>
      <c r="N2000" s="3"/>
      <c r="O2000" s="3"/>
      <c r="P2000" s="39"/>
      <c r="R2000" s="39"/>
    </row>
    <row r="2001" spans="2:18" x14ac:dyDescent="0.2">
      <c r="B2001" s="1"/>
      <c r="C2001" s="2"/>
      <c r="D2001" s="38"/>
      <c r="F2001" s="1"/>
      <c r="G2001" s="2"/>
      <c r="H2001" s="38"/>
      <c r="J2001" s="3"/>
      <c r="K2001" s="3"/>
      <c r="L2001" s="39"/>
      <c r="N2001" s="3"/>
      <c r="O2001" s="3"/>
      <c r="P2001" s="39"/>
      <c r="R2001" s="39"/>
    </row>
    <row r="2002" spans="2:18" x14ac:dyDescent="0.2">
      <c r="B2002" s="1"/>
      <c r="C2002" s="2"/>
      <c r="D2002" s="38"/>
      <c r="F2002" s="1"/>
      <c r="G2002" s="2"/>
      <c r="H2002" s="38"/>
      <c r="J2002" s="3"/>
      <c r="K2002" s="3"/>
      <c r="L2002" s="39"/>
      <c r="N2002" s="3"/>
      <c r="O2002" s="3"/>
      <c r="P2002" s="39"/>
      <c r="R2002" s="39"/>
    </row>
    <row r="2003" spans="2:18" x14ac:dyDescent="0.2">
      <c r="B2003" s="1"/>
      <c r="C2003" s="2"/>
      <c r="D2003" s="38"/>
      <c r="F2003" s="1"/>
      <c r="G2003" s="2"/>
      <c r="H2003" s="38"/>
      <c r="J2003" s="3"/>
      <c r="K2003" s="3"/>
      <c r="L2003" s="39"/>
      <c r="N2003" s="3"/>
      <c r="O2003" s="3"/>
      <c r="P2003" s="39"/>
      <c r="R2003" s="39"/>
    </row>
    <row r="2004" spans="2:18" x14ac:dyDescent="0.2">
      <c r="B2004" s="1"/>
      <c r="C2004" s="2"/>
      <c r="D2004" s="38"/>
      <c r="F2004" s="1"/>
      <c r="G2004" s="2"/>
      <c r="H2004" s="38"/>
      <c r="J2004" s="3"/>
      <c r="K2004" s="3"/>
      <c r="L2004" s="39"/>
      <c r="N2004" s="3"/>
      <c r="O2004" s="3"/>
      <c r="P2004" s="39"/>
      <c r="R2004" s="39"/>
    </row>
    <row r="2005" spans="2:18" x14ac:dyDescent="0.2">
      <c r="B2005" s="1"/>
      <c r="C2005" s="2"/>
      <c r="D2005" s="38"/>
      <c r="F2005" s="1"/>
      <c r="G2005" s="2"/>
      <c r="H2005" s="38"/>
      <c r="J2005" s="3"/>
      <c r="K2005" s="3"/>
      <c r="L2005" s="39"/>
      <c r="N2005" s="3"/>
      <c r="O2005" s="3"/>
      <c r="P2005" s="39"/>
      <c r="R2005" s="39"/>
    </row>
    <row r="2006" spans="2:18" x14ac:dyDescent="0.2">
      <c r="B2006" s="1"/>
      <c r="C2006" s="2"/>
      <c r="D2006" s="38"/>
      <c r="F2006" s="1"/>
      <c r="G2006" s="2"/>
      <c r="H2006" s="38"/>
      <c r="J2006" s="3"/>
      <c r="K2006" s="3"/>
      <c r="L2006" s="39"/>
      <c r="N2006" s="3"/>
      <c r="O2006" s="3"/>
      <c r="P2006" s="39"/>
      <c r="R2006" s="39"/>
    </row>
    <row r="2007" spans="2:18" x14ac:dyDescent="0.2">
      <c r="B2007" s="1"/>
      <c r="C2007" s="2"/>
      <c r="D2007" s="38"/>
      <c r="F2007" s="1"/>
      <c r="G2007" s="2"/>
      <c r="H2007" s="38"/>
      <c r="J2007" s="3"/>
      <c r="K2007" s="3"/>
      <c r="L2007" s="39"/>
      <c r="N2007" s="3"/>
      <c r="O2007" s="3"/>
      <c r="P2007" s="39"/>
      <c r="R2007" s="39"/>
    </row>
    <row r="2008" spans="2:18" x14ac:dyDescent="0.2">
      <c r="B2008" s="1"/>
      <c r="C2008" s="2"/>
      <c r="D2008" s="38"/>
      <c r="F2008" s="1"/>
      <c r="G2008" s="2"/>
      <c r="H2008" s="38"/>
      <c r="J2008" s="3"/>
      <c r="K2008" s="3"/>
      <c r="L2008" s="39"/>
      <c r="N2008" s="3"/>
      <c r="O2008" s="3"/>
      <c r="P2008" s="39"/>
      <c r="R2008" s="39"/>
    </row>
    <row r="2009" spans="2:18" x14ac:dyDescent="0.2">
      <c r="B2009" s="1"/>
      <c r="C2009" s="2"/>
      <c r="D2009" s="38"/>
      <c r="F2009" s="1"/>
      <c r="G2009" s="2"/>
      <c r="H2009" s="38"/>
      <c r="J2009" s="3"/>
      <c r="K2009" s="3"/>
      <c r="L2009" s="39"/>
      <c r="N2009" s="3"/>
      <c r="O2009" s="3"/>
      <c r="P2009" s="39"/>
      <c r="R2009" s="39"/>
    </row>
    <row r="2010" spans="2:18" x14ac:dyDescent="0.2">
      <c r="B2010" s="1"/>
      <c r="C2010" s="2"/>
      <c r="D2010" s="38"/>
      <c r="F2010" s="1"/>
      <c r="G2010" s="2"/>
      <c r="H2010" s="38"/>
      <c r="J2010" s="3"/>
      <c r="K2010" s="3"/>
      <c r="L2010" s="39"/>
      <c r="N2010" s="3"/>
      <c r="O2010" s="3"/>
      <c r="P2010" s="39"/>
      <c r="R2010" s="39"/>
    </row>
    <row r="2011" spans="2:18" x14ac:dyDescent="0.2">
      <c r="B2011" s="1"/>
      <c r="C2011" s="2"/>
      <c r="D2011" s="38"/>
      <c r="F2011" s="1"/>
      <c r="G2011" s="2"/>
      <c r="H2011" s="38"/>
      <c r="J2011" s="3"/>
      <c r="K2011" s="3"/>
      <c r="L2011" s="39"/>
      <c r="N2011" s="3"/>
      <c r="O2011" s="3"/>
      <c r="P2011" s="39"/>
      <c r="R2011" s="39"/>
    </row>
    <row r="2012" spans="2:18" x14ac:dyDescent="0.2">
      <c r="B2012" s="1"/>
      <c r="C2012" s="2"/>
      <c r="D2012" s="38"/>
      <c r="F2012" s="1"/>
      <c r="G2012" s="2"/>
      <c r="H2012" s="38"/>
      <c r="J2012" s="3"/>
      <c r="K2012" s="3"/>
      <c r="L2012" s="39"/>
      <c r="N2012" s="3"/>
      <c r="O2012" s="3"/>
      <c r="P2012" s="39"/>
      <c r="R2012" s="39"/>
    </row>
    <row r="2013" spans="2:18" x14ac:dyDescent="0.2">
      <c r="B2013" s="1"/>
      <c r="C2013" s="2"/>
      <c r="D2013" s="38"/>
      <c r="F2013" s="1"/>
      <c r="G2013" s="2"/>
      <c r="H2013" s="38"/>
      <c r="J2013" s="3"/>
      <c r="K2013" s="3"/>
      <c r="L2013" s="39"/>
      <c r="N2013" s="3"/>
      <c r="O2013" s="3"/>
      <c r="P2013" s="39"/>
      <c r="R2013" s="39"/>
    </row>
    <row r="2014" spans="2:18" x14ac:dyDescent="0.2">
      <c r="B2014" s="1"/>
      <c r="C2014" s="2"/>
      <c r="D2014" s="38"/>
      <c r="F2014" s="1"/>
      <c r="G2014" s="2"/>
      <c r="H2014" s="38"/>
      <c r="J2014" s="3"/>
      <c r="K2014" s="3"/>
      <c r="L2014" s="39"/>
      <c r="N2014" s="3"/>
      <c r="O2014" s="3"/>
      <c r="P2014" s="39"/>
      <c r="R2014" s="39"/>
    </row>
    <row r="2015" spans="2:18" x14ac:dyDescent="0.2">
      <c r="B2015" s="1"/>
      <c r="C2015" s="2"/>
      <c r="D2015" s="38"/>
      <c r="F2015" s="1"/>
      <c r="G2015" s="2"/>
      <c r="H2015" s="38"/>
      <c r="J2015" s="3"/>
      <c r="K2015" s="3"/>
      <c r="L2015" s="39"/>
      <c r="N2015" s="3"/>
      <c r="O2015" s="3"/>
      <c r="P2015" s="39"/>
      <c r="R2015" s="39"/>
    </row>
    <row r="2016" spans="2:18" x14ac:dyDescent="0.2">
      <c r="B2016" s="1"/>
      <c r="C2016" s="2"/>
      <c r="D2016" s="38"/>
      <c r="F2016" s="1"/>
      <c r="G2016" s="2"/>
      <c r="H2016" s="38"/>
      <c r="J2016" s="3"/>
      <c r="K2016" s="3"/>
      <c r="L2016" s="39"/>
      <c r="N2016" s="3"/>
      <c r="O2016" s="3"/>
      <c r="P2016" s="39"/>
      <c r="R2016" s="39"/>
    </row>
    <row r="2017" spans="2:18" x14ac:dyDescent="0.2">
      <c r="B2017" s="1"/>
      <c r="C2017" s="2"/>
      <c r="D2017" s="38"/>
      <c r="F2017" s="1"/>
      <c r="G2017" s="2"/>
      <c r="H2017" s="38"/>
      <c r="J2017" s="3"/>
      <c r="K2017" s="3"/>
      <c r="L2017" s="39"/>
      <c r="N2017" s="3"/>
      <c r="O2017" s="3"/>
      <c r="P2017" s="39"/>
      <c r="R2017" s="39"/>
    </row>
    <row r="2018" spans="2:18" x14ac:dyDescent="0.2">
      <c r="B2018" s="1"/>
      <c r="C2018" s="2"/>
      <c r="D2018" s="38"/>
      <c r="F2018" s="1"/>
      <c r="G2018" s="2"/>
      <c r="H2018" s="38"/>
      <c r="J2018" s="3"/>
      <c r="K2018" s="3"/>
      <c r="L2018" s="39"/>
      <c r="N2018" s="3"/>
      <c r="O2018" s="3"/>
      <c r="P2018" s="39"/>
      <c r="R2018" s="39"/>
    </row>
    <row r="2019" spans="2:18" x14ac:dyDescent="0.2">
      <c r="B2019" s="1"/>
      <c r="C2019" s="2"/>
      <c r="D2019" s="38"/>
      <c r="F2019" s="1"/>
      <c r="G2019" s="2"/>
      <c r="H2019" s="38"/>
      <c r="J2019" s="3"/>
      <c r="K2019" s="3"/>
      <c r="L2019" s="39"/>
      <c r="N2019" s="3"/>
      <c r="O2019" s="3"/>
      <c r="P2019" s="39"/>
      <c r="R2019" s="39"/>
    </row>
    <row r="2020" spans="2:18" x14ac:dyDescent="0.2">
      <c r="B2020" s="1"/>
      <c r="C2020" s="2"/>
      <c r="D2020" s="38"/>
      <c r="F2020" s="1"/>
      <c r="G2020" s="2"/>
      <c r="H2020" s="38"/>
      <c r="J2020" s="3"/>
      <c r="K2020" s="3"/>
      <c r="L2020" s="39"/>
      <c r="N2020" s="3"/>
      <c r="O2020" s="3"/>
      <c r="P2020" s="39"/>
      <c r="R2020" s="39"/>
    </row>
    <row r="2021" spans="2:18" x14ac:dyDescent="0.2">
      <c r="B2021" s="1"/>
      <c r="C2021" s="2"/>
      <c r="D2021" s="38"/>
      <c r="F2021" s="1"/>
      <c r="G2021" s="2"/>
      <c r="H2021" s="38"/>
      <c r="J2021" s="3"/>
      <c r="K2021" s="3"/>
      <c r="L2021" s="39"/>
      <c r="N2021" s="3"/>
      <c r="O2021" s="3"/>
      <c r="P2021" s="39"/>
      <c r="R2021" s="39"/>
    </row>
    <row r="2022" spans="2:18" x14ac:dyDescent="0.2">
      <c r="B2022" s="1"/>
      <c r="C2022" s="2"/>
      <c r="D2022" s="38"/>
      <c r="F2022" s="1"/>
      <c r="G2022" s="2"/>
      <c r="H2022" s="38"/>
      <c r="J2022" s="3"/>
      <c r="K2022" s="3"/>
      <c r="L2022" s="39"/>
      <c r="N2022" s="3"/>
      <c r="O2022" s="3"/>
      <c r="P2022" s="39"/>
      <c r="R2022" s="39"/>
    </row>
    <row r="2023" spans="2:18" x14ac:dyDescent="0.2">
      <c r="B2023" s="1"/>
      <c r="C2023" s="2"/>
      <c r="D2023" s="38"/>
      <c r="F2023" s="1"/>
      <c r="G2023" s="2"/>
      <c r="H2023" s="38"/>
      <c r="J2023" s="3"/>
      <c r="K2023" s="3"/>
      <c r="L2023" s="39"/>
      <c r="N2023" s="3"/>
      <c r="O2023" s="3"/>
      <c r="P2023" s="39"/>
      <c r="R2023" s="39"/>
    </row>
    <row r="2024" spans="2:18" x14ac:dyDescent="0.2">
      <c r="B2024" s="1"/>
      <c r="C2024" s="2"/>
      <c r="D2024" s="38"/>
      <c r="F2024" s="1"/>
      <c r="G2024" s="2"/>
      <c r="H2024" s="38"/>
      <c r="J2024" s="3"/>
      <c r="K2024" s="3"/>
      <c r="L2024" s="39"/>
      <c r="N2024" s="3"/>
      <c r="O2024" s="3"/>
      <c r="P2024" s="39"/>
      <c r="R2024" s="39"/>
    </row>
    <row r="2025" spans="2:18" x14ac:dyDescent="0.2">
      <c r="B2025" s="1"/>
      <c r="C2025" s="2"/>
      <c r="D2025" s="38"/>
      <c r="F2025" s="1"/>
      <c r="G2025" s="2"/>
      <c r="H2025" s="38"/>
      <c r="J2025" s="3"/>
      <c r="K2025" s="3"/>
      <c r="L2025" s="39"/>
      <c r="N2025" s="3"/>
      <c r="O2025" s="3"/>
      <c r="P2025" s="39"/>
      <c r="R2025" s="39"/>
    </row>
    <row r="2026" spans="2:18" x14ac:dyDescent="0.2">
      <c r="B2026" s="1"/>
      <c r="C2026" s="2"/>
      <c r="D2026" s="38"/>
      <c r="F2026" s="1"/>
      <c r="G2026" s="2"/>
      <c r="H2026" s="38"/>
      <c r="J2026" s="3"/>
      <c r="K2026" s="3"/>
      <c r="L2026" s="39"/>
      <c r="N2026" s="3"/>
      <c r="O2026" s="3"/>
      <c r="P2026" s="39"/>
      <c r="R2026" s="39"/>
    </row>
    <row r="2027" spans="2:18" x14ac:dyDescent="0.2">
      <c r="B2027" s="1"/>
      <c r="C2027" s="2"/>
      <c r="D2027" s="38"/>
      <c r="F2027" s="1"/>
      <c r="G2027" s="2"/>
      <c r="H2027" s="38"/>
      <c r="J2027" s="3"/>
      <c r="K2027" s="3"/>
      <c r="L2027" s="39"/>
      <c r="N2027" s="3"/>
      <c r="O2027" s="3"/>
      <c r="P2027" s="39"/>
      <c r="R2027" s="39"/>
    </row>
    <row r="2028" spans="2:18" x14ac:dyDescent="0.2">
      <c r="B2028" s="1"/>
      <c r="C2028" s="2"/>
      <c r="D2028" s="38"/>
      <c r="F2028" s="1"/>
      <c r="G2028" s="2"/>
      <c r="H2028" s="38"/>
      <c r="J2028" s="3"/>
      <c r="K2028" s="3"/>
      <c r="L2028" s="39"/>
      <c r="N2028" s="3"/>
      <c r="O2028" s="3"/>
      <c r="P2028" s="39"/>
      <c r="R2028" s="39"/>
    </row>
    <row r="2029" spans="2:18" x14ac:dyDescent="0.2">
      <c r="B2029" s="1"/>
      <c r="C2029" s="2"/>
      <c r="D2029" s="38"/>
      <c r="F2029" s="1"/>
      <c r="G2029" s="2"/>
      <c r="H2029" s="38"/>
      <c r="J2029" s="3"/>
      <c r="K2029" s="3"/>
      <c r="L2029" s="39"/>
      <c r="N2029" s="3"/>
      <c r="O2029" s="3"/>
      <c r="P2029" s="39"/>
      <c r="R2029" s="39"/>
    </row>
    <row r="2030" spans="2:18" x14ac:dyDescent="0.2">
      <c r="B2030" s="1"/>
      <c r="C2030" s="2"/>
      <c r="D2030" s="38"/>
      <c r="F2030" s="1"/>
      <c r="G2030" s="2"/>
      <c r="H2030" s="38"/>
      <c r="J2030" s="3"/>
      <c r="K2030" s="3"/>
      <c r="L2030" s="39"/>
      <c r="N2030" s="3"/>
      <c r="O2030" s="3"/>
      <c r="P2030" s="39"/>
      <c r="R2030" s="39"/>
    </row>
    <row r="2031" spans="2:18" x14ac:dyDescent="0.2">
      <c r="B2031" s="1"/>
      <c r="C2031" s="2"/>
      <c r="D2031" s="38"/>
      <c r="F2031" s="1"/>
      <c r="G2031" s="2"/>
      <c r="H2031" s="38"/>
      <c r="J2031" s="3"/>
      <c r="K2031" s="3"/>
      <c r="L2031" s="39"/>
      <c r="N2031" s="3"/>
      <c r="O2031" s="3"/>
      <c r="P2031" s="39"/>
      <c r="R2031" s="39"/>
    </row>
    <row r="2032" spans="2:18" x14ac:dyDescent="0.2">
      <c r="B2032" s="1"/>
      <c r="C2032" s="2"/>
      <c r="D2032" s="38"/>
      <c r="F2032" s="1"/>
      <c r="G2032" s="2"/>
      <c r="H2032" s="38"/>
      <c r="J2032" s="3"/>
      <c r="K2032" s="3"/>
      <c r="L2032" s="39"/>
      <c r="N2032" s="3"/>
      <c r="O2032" s="3"/>
      <c r="P2032" s="39"/>
      <c r="R2032" s="39"/>
    </row>
    <row r="2033" spans="2:18" x14ac:dyDescent="0.2">
      <c r="B2033" s="1"/>
      <c r="C2033" s="2"/>
      <c r="D2033" s="38"/>
      <c r="F2033" s="1"/>
      <c r="G2033" s="2"/>
      <c r="H2033" s="38"/>
      <c r="J2033" s="3"/>
      <c r="K2033" s="3"/>
      <c r="L2033" s="39"/>
      <c r="N2033" s="3"/>
      <c r="O2033" s="3"/>
      <c r="P2033" s="39"/>
      <c r="R2033" s="39"/>
    </row>
    <row r="2034" spans="2:18" x14ac:dyDescent="0.2">
      <c r="B2034" s="1"/>
      <c r="C2034" s="2"/>
      <c r="D2034" s="38"/>
      <c r="F2034" s="1"/>
      <c r="G2034" s="2"/>
      <c r="H2034" s="38"/>
      <c r="J2034" s="3"/>
      <c r="K2034" s="3"/>
      <c r="L2034" s="39"/>
      <c r="N2034" s="3"/>
      <c r="O2034" s="3"/>
      <c r="P2034" s="39"/>
      <c r="R2034" s="39"/>
    </row>
    <row r="2035" spans="2:18" x14ac:dyDescent="0.2">
      <c r="B2035" s="1"/>
      <c r="C2035" s="2"/>
      <c r="D2035" s="38"/>
      <c r="F2035" s="1"/>
      <c r="G2035" s="2"/>
      <c r="H2035" s="38"/>
      <c r="J2035" s="3"/>
      <c r="K2035" s="3"/>
      <c r="L2035" s="39"/>
      <c r="N2035" s="3"/>
      <c r="O2035" s="3"/>
      <c r="P2035" s="39"/>
      <c r="R2035" s="39"/>
    </row>
    <row r="2036" spans="2:18" x14ac:dyDescent="0.2">
      <c r="B2036" s="1"/>
      <c r="C2036" s="2"/>
      <c r="D2036" s="38"/>
      <c r="F2036" s="1"/>
      <c r="G2036" s="2"/>
      <c r="H2036" s="38"/>
      <c r="J2036" s="3"/>
      <c r="K2036" s="3"/>
      <c r="L2036" s="39"/>
      <c r="N2036" s="3"/>
      <c r="O2036" s="3"/>
      <c r="P2036" s="39"/>
      <c r="R2036" s="39"/>
    </row>
    <row r="2037" spans="2:18" x14ac:dyDescent="0.2">
      <c r="B2037" s="1"/>
      <c r="C2037" s="2"/>
      <c r="D2037" s="38"/>
      <c r="F2037" s="1"/>
      <c r="G2037" s="2"/>
      <c r="H2037" s="38"/>
      <c r="J2037" s="3"/>
      <c r="K2037" s="3"/>
      <c r="L2037" s="39"/>
      <c r="N2037" s="3"/>
      <c r="O2037" s="3"/>
      <c r="P2037" s="39"/>
      <c r="R2037" s="39"/>
    </row>
    <row r="2038" spans="2:18" x14ac:dyDescent="0.2">
      <c r="B2038" s="1"/>
      <c r="C2038" s="2"/>
      <c r="D2038" s="38"/>
      <c r="F2038" s="1"/>
      <c r="G2038" s="2"/>
      <c r="H2038" s="38"/>
      <c r="J2038" s="3"/>
      <c r="K2038" s="3"/>
      <c r="L2038" s="39"/>
      <c r="N2038" s="3"/>
      <c r="O2038" s="3"/>
      <c r="P2038" s="39"/>
      <c r="R2038" s="39"/>
    </row>
    <row r="2039" spans="2:18" x14ac:dyDescent="0.2">
      <c r="B2039" s="1"/>
      <c r="C2039" s="2"/>
      <c r="D2039" s="38"/>
      <c r="F2039" s="1"/>
      <c r="G2039" s="2"/>
      <c r="H2039" s="38"/>
      <c r="J2039" s="3"/>
      <c r="K2039" s="3"/>
      <c r="L2039" s="39"/>
      <c r="N2039" s="3"/>
      <c r="O2039" s="3"/>
      <c r="P2039" s="39"/>
      <c r="R2039" s="39"/>
    </row>
    <row r="2040" spans="2:18" x14ac:dyDescent="0.2">
      <c r="B2040" s="1"/>
      <c r="C2040" s="2"/>
      <c r="D2040" s="38"/>
      <c r="F2040" s="1"/>
      <c r="G2040" s="2"/>
      <c r="H2040" s="38"/>
      <c r="J2040" s="3"/>
      <c r="K2040" s="3"/>
      <c r="L2040" s="39"/>
      <c r="N2040" s="3"/>
      <c r="O2040" s="3"/>
      <c r="P2040" s="39"/>
      <c r="R2040" s="39"/>
    </row>
    <row r="2041" spans="2:18" x14ac:dyDescent="0.2">
      <c r="B2041" s="1"/>
      <c r="C2041" s="2"/>
      <c r="D2041" s="38"/>
      <c r="F2041" s="1"/>
      <c r="G2041" s="2"/>
      <c r="H2041" s="38"/>
      <c r="J2041" s="3"/>
      <c r="K2041" s="3"/>
      <c r="L2041" s="39"/>
      <c r="N2041" s="3"/>
      <c r="O2041" s="3"/>
      <c r="P2041" s="39"/>
      <c r="R2041" s="39"/>
    </row>
    <row r="2042" spans="2:18" x14ac:dyDescent="0.2">
      <c r="B2042" s="1"/>
      <c r="C2042" s="2"/>
      <c r="D2042" s="38"/>
      <c r="F2042" s="1"/>
      <c r="G2042" s="2"/>
      <c r="H2042" s="38"/>
      <c r="J2042" s="3"/>
      <c r="K2042" s="3"/>
      <c r="L2042" s="39"/>
      <c r="N2042" s="3"/>
      <c r="O2042" s="3"/>
      <c r="P2042" s="39"/>
      <c r="R2042" s="39"/>
    </row>
    <row r="2043" spans="2:18" x14ac:dyDescent="0.2">
      <c r="B2043" s="1"/>
      <c r="C2043" s="2"/>
      <c r="D2043" s="38"/>
      <c r="F2043" s="1"/>
      <c r="G2043" s="2"/>
      <c r="H2043" s="38"/>
      <c r="J2043" s="3"/>
      <c r="K2043" s="3"/>
      <c r="L2043" s="39"/>
      <c r="N2043" s="3"/>
      <c r="O2043" s="3"/>
      <c r="P2043" s="39"/>
      <c r="R2043" s="39"/>
    </row>
    <row r="2044" spans="2:18" x14ac:dyDescent="0.2">
      <c r="B2044" s="1"/>
      <c r="C2044" s="2"/>
      <c r="D2044" s="38"/>
      <c r="F2044" s="1"/>
      <c r="G2044" s="2"/>
      <c r="H2044" s="38"/>
      <c r="J2044" s="3"/>
      <c r="K2044" s="3"/>
      <c r="L2044" s="39"/>
      <c r="N2044" s="3"/>
      <c r="O2044" s="3"/>
      <c r="P2044" s="39"/>
      <c r="R2044" s="39"/>
    </row>
    <row r="2045" spans="2:18" x14ac:dyDescent="0.2">
      <c r="B2045" s="1"/>
      <c r="C2045" s="2"/>
      <c r="D2045" s="38"/>
      <c r="F2045" s="1"/>
      <c r="G2045" s="2"/>
      <c r="H2045" s="38"/>
      <c r="J2045" s="3"/>
      <c r="K2045" s="3"/>
      <c r="L2045" s="39"/>
      <c r="N2045" s="3"/>
      <c r="O2045" s="3"/>
      <c r="P2045" s="39"/>
      <c r="R2045" s="39"/>
    </row>
    <row r="2046" spans="2:18" x14ac:dyDescent="0.2">
      <c r="B2046" s="1"/>
      <c r="C2046" s="2"/>
      <c r="D2046" s="38"/>
      <c r="F2046" s="1"/>
      <c r="G2046" s="2"/>
      <c r="H2046" s="38"/>
      <c r="J2046" s="3"/>
      <c r="K2046" s="3"/>
      <c r="L2046" s="39"/>
      <c r="N2046" s="3"/>
      <c r="O2046" s="3"/>
      <c r="P2046" s="39"/>
      <c r="R2046" s="39"/>
    </row>
    <row r="2047" spans="2:18" x14ac:dyDescent="0.2">
      <c r="B2047" s="1"/>
      <c r="C2047" s="2"/>
      <c r="D2047" s="38"/>
      <c r="F2047" s="1"/>
      <c r="G2047" s="2"/>
      <c r="H2047" s="38"/>
      <c r="J2047" s="3"/>
      <c r="K2047" s="3"/>
      <c r="L2047" s="39"/>
      <c r="N2047" s="3"/>
      <c r="O2047" s="3"/>
      <c r="P2047" s="39"/>
      <c r="R2047" s="39"/>
    </row>
    <row r="2048" spans="2:18" x14ac:dyDescent="0.2">
      <c r="B2048" s="1"/>
      <c r="C2048" s="2"/>
      <c r="D2048" s="38"/>
      <c r="F2048" s="1"/>
      <c r="G2048" s="2"/>
      <c r="H2048" s="38"/>
      <c r="J2048" s="3"/>
      <c r="K2048" s="3"/>
      <c r="L2048" s="39"/>
      <c r="N2048" s="3"/>
      <c r="O2048" s="3"/>
      <c r="P2048" s="39"/>
      <c r="R2048" s="39"/>
    </row>
    <row r="2049" spans="2:18" x14ac:dyDescent="0.2">
      <c r="B2049" s="1"/>
      <c r="C2049" s="2"/>
      <c r="D2049" s="38"/>
      <c r="F2049" s="1"/>
      <c r="G2049" s="2"/>
      <c r="H2049" s="38"/>
      <c r="J2049" s="3"/>
      <c r="K2049" s="3"/>
      <c r="L2049" s="39"/>
      <c r="N2049" s="3"/>
      <c r="O2049" s="3"/>
      <c r="P2049" s="39"/>
      <c r="R2049" s="39"/>
    </row>
    <row r="2050" spans="2:18" x14ac:dyDescent="0.2">
      <c r="B2050" s="1"/>
      <c r="C2050" s="2"/>
      <c r="D2050" s="38"/>
      <c r="F2050" s="1"/>
      <c r="G2050" s="2"/>
      <c r="H2050" s="38"/>
      <c r="J2050" s="3"/>
      <c r="K2050" s="3"/>
      <c r="L2050" s="39"/>
      <c r="N2050" s="3"/>
      <c r="O2050" s="3"/>
      <c r="P2050" s="39"/>
      <c r="R2050" s="39"/>
    </row>
    <row r="2051" spans="2:18" x14ac:dyDescent="0.2">
      <c r="B2051" s="1"/>
      <c r="C2051" s="2"/>
      <c r="D2051" s="38"/>
      <c r="F2051" s="1"/>
      <c r="G2051" s="2"/>
      <c r="H2051" s="38"/>
      <c r="J2051" s="3"/>
      <c r="K2051" s="3"/>
      <c r="L2051" s="39"/>
      <c r="N2051" s="3"/>
      <c r="O2051" s="3"/>
      <c r="P2051" s="39"/>
      <c r="R2051" s="39"/>
    </row>
    <row r="2052" spans="2:18" x14ac:dyDescent="0.2">
      <c r="B2052" s="1"/>
      <c r="C2052" s="2"/>
      <c r="D2052" s="38"/>
      <c r="F2052" s="1"/>
      <c r="G2052" s="2"/>
      <c r="H2052" s="38"/>
      <c r="J2052" s="3"/>
      <c r="K2052" s="3"/>
      <c r="L2052" s="39"/>
      <c r="N2052" s="3"/>
      <c r="O2052" s="3"/>
      <c r="P2052" s="39"/>
      <c r="R2052" s="39"/>
    </row>
    <row r="2053" spans="2:18" x14ac:dyDescent="0.2">
      <c r="B2053" s="1"/>
      <c r="C2053" s="2"/>
      <c r="D2053" s="38"/>
      <c r="F2053" s="1"/>
      <c r="G2053" s="2"/>
      <c r="H2053" s="38"/>
      <c r="J2053" s="3"/>
      <c r="K2053" s="3"/>
      <c r="L2053" s="39"/>
      <c r="N2053" s="3"/>
      <c r="O2053" s="3"/>
      <c r="P2053" s="39"/>
      <c r="R2053" s="39"/>
    </row>
    <row r="2054" spans="2:18" x14ac:dyDescent="0.2">
      <c r="B2054" s="1"/>
      <c r="C2054" s="2"/>
      <c r="D2054" s="38"/>
      <c r="F2054" s="1"/>
      <c r="G2054" s="2"/>
      <c r="H2054" s="38"/>
      <c r="J2054" s="3"/>
      <c r="K2054" s="3"/>
      <c r="L2054" s="39"/>
      <c r="N2054" s="3"/>
      <c r="O2054" s="3"/>
      <c r="P2054" s="39"/>
      <c r="R2054" s="39"/>
    </row>
    <row r="2055" spans="2:18" x14ac:dyDescent="0.2">
      <c r="B2055" s="1"/>
      <c r="C2055" s="2"/>
      <c r="D2055" s="38"/>
      <c r="F2055" s="1"/>
      <c r="G2055" s="2"/>
      <c r="H2055" s="38"/>
      <c r="J2055" s="3"/>
      <c r="K2055" s="3"/>
      <c r="L2055" s="39"/>
      <c r="N2055" s="3"/>
      <c r="O2055" s="3"/>
      <c r="P2055" s="39"/>
      <c r="R2055" s="39"/>
    </row>
    <row r="2056" spans="2:18" x14ac:dyDescent="0.2">
      <c r="B2056" s="1"/>
      <c r="C2056" s="2"/>
      <c r="D2056" s="38"/>
      <c r="F2056" s="1"/>
      <c r="G2056" s="2"/>
      <c r="H2056" s="38"/>
      <c r="J2056" s="3"/>
      <c r="K2056" s="3"/>
      <c r="L2056" s="39"/>
      <c r="N2056" s="3"/>
      <c r="O2056" s="3"/>
      <c r="P2056" s="39"/>
      <c r="R2056" s="39"/>
    </row>
    <row r="2057" spans="2:18" x14ac:dyDescent="0.2">
      <c r="B2057" s="1"/>
      <c r="C2057" s="2"/>
      <c r="D2057" s="38"/>
      <c r="F2057" s="1"/>
      <c r="G2057" s="2"/>
      <c r="H2057" s="38"/>
      <c r="J2057" s="3"/>
      <c r="K2057" s="3"/>
      <c r="L2057" s="39"/>
      <c r="N2057" s="3"/>
      <c r="O2057" s="3"/>
      <c r="P2057" s="39"/>
      <c r="R2057" s="39"/>
    </row>
    <row r="2058" spans="2:18" x14ac:dyDescent="0.2">
      <c r="B2058" s="1"/>
      <c r="C2058" s="2"/>
      <c r="D2058" s="38"/>
      <c r="F2058" s="1"/>
      <c r="G2058" s="2"/>
      <c r="H2058" s="38"/>
      <c r="J2058" s="3"/>
      <c r="K2058" s="3"/>
      <c r="L2058" s="39"/>
      <c r="N2058" s="3"/>
      <c r="O2058" s="3"/>
      <c r="P2058" s="39"/>
      <c r="R2058" s="39"/>
    </row>
    <row r="2059" spans="2:18" x14ac:dyDescent="0.2">
      <c r="B2059" s="1"/>
      <c r="C2059" s="2"/>
      <c r="D2059" s="38"/>
      <c r="F2059" s="1"/>
      <c r="G2059" s="2"/>
      <c r="H2059" s="38"/>
      <c r="J2059" s="3"/>
      <c r="K2059" s="3"/>
      <c r="L2059" s="39"/>
      <c r="N2059" s="3"/>
      <c r="O2059" s="3"/>
      <c r="P2059" s="39"/>
      <c r="R2059" s="39"/>
    </row>
    <row r="2060" spans="2:18" x14ac:dyDescent="0.2">
      <c r="B2060" s="1"/>
      <c r="C2060" s="2"/>
      <c r="D2060" s="38"/>
      <c r="F2060" s="1"/>
      <c r="G2060" s="2"/>
      <c r="H2060" s="38"/>
      <c r="J2060" s="3"/>
      <c r="K2060" s="3"/>
      <c r="L2060" s="39"/>
      <c r="N2060" s="3"/>
      <c r="O2060" s="3"/>
      <c r="P2060" s="39"/>
      <c r="R2060" s="39"/>
    </row>
    <row r="2061" spans="2:18" x14ac:dyDescent="0.2">
      <c r="B2061" s="1"/>
      <c r="C2061" s="2"/>
      <c r="D2061" s="38"/>
      <c r="F2061" s="1"/>
      <c r="G2061" s="2"/>
      <c r="H2061" s="38"/>
      <c r="J2061" s="3"/>
      <c r="K2061" s="3"/>
      <c r="L2061" s="39"/>
      <c r="N2061" s="3"/>
      <c r="O2061" s="3"/>
      <c r="P2061" s="39"/>
      <c r="R2061" s="39"/>
    </row>
    <row r="2062" spans="2:18" x14ac:dyDescent="0.2">
      <c r="B2062" s="1"/>
      <c r="C2062" s="2"/>
      <c r="D2062" s="38"/>
      <c r="F2062" s="1"/>
      <c r="G2062" s="2"/>
      <c r="H2062" s="38"/>
      <c r="J2062" s="3"/>
      <c r="K2062" s="3"/>
      <c r="L2062" s="39"/>
      <c r="N2062" s="3"/>
      <c r="O2062" s="3"/>
      <c r="P2062" s="39"/>
      <c r="R2062" s="39"/>
    </row>
    <row r="2063" spans="2:18" x14ac:dyDescent="0.2">
      <c r="B2063" s="1"/>
      <c r="C2063" s="2"/>
      <c r="D2063" s="38"/>
      <c r="F2063" s="1"/>
      <c r="G2063" s="2"/>
      <c r="H2063" s="38"/>
      <c r="J2063" s="3"/>
      <c r="K2063" s="3"/>
      <c r="L2063" s="39"/>
      <c r="N2063" s="3"/>
      <c r="O2063" s="3"/>
      <c r="P2063" s="39"/>
      <c r="R2063" s="39"/>
    </row>
    <row r="2064" spans="2:18" x14ac:dyDescent="0.2">
      <c r="B2064" s="1"/>
      <c r="C2064" s="2"/>
      <c r="D2064" s="38"/>
      <c r="F2064" s="1"/>
      <c r="G2064" s="2"/>
      <c r="H2064" s="38"/>
      <c r="J2064" s="3"/>
      <c r="K2064" s="3"/>
      <c r="L2064" s="39"/>
      <c r="N2064" s="3"/>
      <c r="O2064" s="3"/>
      <c r="P2064" s="39"/>
      <c r="R2064" s="39"/>
    </row>
    <row r="2065" spans="2:18" x14ac:dyDescent="0.2">
      <c r="B2065" s="1"/>
      <c r="C2065" s="2"/>
      <c r="D2065" s="38"/>
      <c r="F2065" s="1"/>
      <c r="G2065" s="2"/>
      <c r="H2065" s="38"/>
      <c r="J2065" s="3"/>
      <c r="K2065" s="3"/>
      <c r="L2065" s="39"/>
      <c r="N2065" s="3"/>
      <c r="O2065" s="3"/>
      <c r="P2065" s="39"/>
      <c r="R2065" s="39"/>
    </row>
    <row r="2066" spans="2:18" x14ac:dyDescent="0.2">
      <c r="B2066" s="1"/>
      <c r="C2066" s="2"/>
      <c r="D2066" s="38"/>
      <c r="F2066" s="1"/>
      <c r="G2066" s="2"/>
      <c r="H2066" s="38"/>
      <c r="J2066" s="3"/>
      <c r="K2066" s="3"/>
      <c r="L2066" s="39"/>
      <c r="N2066" s="3"/>
      <c r="O2066" s="3"/>
      <c r="P2066" s="39"/>
      <c r="R2066" s="39"/>
    </row>
    <row r="2067" spans="2:18" x14ac:dyDescent="0.2">
      <c r="B2067" s="1"/>
      <c r="C2067" s="2"/>
      <c r="D2067" s="38"/>
      <c r="F2067" s="1"/>
      <c r="G2067" s="2"/>
      <c r="H2067" s="38"/>
      <c r="J2067" s="3"/>
      <c r="K2067" s="3"/>
      <c r="L2067" s="39"/>
      <c r="N2067" s="3"/>
      <c r="O2067" s="3"/>
      <c r="P2067" s="39"/>
      <c r="R2067" s="39"/>
    </row>
    <row r="2068" spans="2:18" x14ac:dyDescent="0.2">
      <c r="B2068" s="1"/>
      <c r="C2068" s="2"/>
      <c r="D2068" s="38"/>
      <c r="F2068" s="1"/>
      <c r="G2068" s="2"/>
      <c r="H2068" s="38"/>
      <c r="J2068" s="3"/>
      <c r="K2068" s="3"/>
      <c r="L2068" s="39"/>
      <c r="N2068" s="3"/>
      <c r="O2068" s="3"/>
      <c r="P2068" s="39"/>
      <c r="R2068" s="39"/>
    </row>
    <row r="2069" spans="2:18" x14ac:dyDescent="0.2">
      <c r="B2069" s="1"/>
      <c r="C2069" s="2"/>
      <c r="D2069" s="38"/>
      <c r="F2069" s="1"/>
      <c r="G2069" s="2"/>
      <c r="H2069" s="38"/>
      <c r="J2069" s="3"/>
      <c r="K2069" s="3"/>
      <c r="L2069" s="39"/>
      <c r="N2069" s="3"/>
      <c r="O2069" s="3"/>
      <c r="P2069" s="39"/>
      <c r="R2069" s="39"/>
    </row>
    <row r="2070" spans="2:18" x14ac:dyDescent="0.2">
      <c r="B2070" s="1"/>
      <c r="C2070" s="2"/>
      <c r="D2070" s="38"/>
      <c r="F2070" s="1"/>
      <c r="G2070" s="2"/>
      <c r="H2070" s="38"/>
      <c r="J2070" s="3"/>
      <c r="K2070" s="3"/>
      <c r="L2070" s="39"/>
      <c r="N2070" s="3"/>
      <c r="O2070" s="3"/>
      <c r="P2070" s="39"/>
      <c r="R2070" s="39"/>
    </row>
    <row r="2071" spans="2:18" x14ac:dyDescent="0.2">
      <c r="B2071" s="1"/>
      <c r="C2071" s="2"/>
      <c r="D2071" s="38"/>
      <c r="F2071" s="1"/>
      <c r="G2071" s="2"/>
      <c r="H2071" s="38"/>
      <c r="J2071" s="3"/>
      <c r="K2071" s="3"/>
      <c r="L2071" s="39"/>
      <c r="N2071" s="3"/>
      <c r="O2071" s="3"/>
      <c r="P2071" s="39"/>
      <c r="R2071" s="39"/>
    </row>
    <row r="2072" spans="2:18" x14ac:dyDescent="0.2">
      <c r="B2072" s="1"/>
      <c r="C2072" s="2"/>
      <c r="D2072" s="38"/>
      <c r="F2072" s="1"/>
      <c r="G2072" s="2"/>
      <c r="H2072" s="38"/>
      <c r="J2072" s="3"/>
      <c r="K2072" s="3"/>
      <c r="L2072" s="39"/>
      <c r="N2072" s="3"/>
      <c r="O2072" s="3"/>
      <c r="P2072" s="39"/>
      <c r="R2072" s="39"/>
    </row>
    <row r="2073" spans="2:18" x14ac:dyDescent="0.2">
      <c r="B2073" s="1"/>
      <c r="C2073" s="2"/>
      <c r="D2073" s="38"/>
      <c r="F2073" s="1"/>
      <c r="G2073" s="2"/>
      <c r="H2073" s="38"/>
      <c r="J2073" s="3"/>
      <c r="K2073" s="3"/>
      <c r="L2073" s="39"/>
      <c r="N2073" s="3"/>
      <c r="O2073" s="3"/>
      <c r="P2073" s="39"/>
      <c r="R2073" s="39"/>
    </row>
    <row r="2074" spans="2:18" x14ac:dyDescent="0.2">
      <c r="B2074" s="1"/>
      <c r="C2074" s="2"/>
      <c r="D2074" s="38"/>
      <c r="F2074" s="1"/>
      <c r="G2074" s="2"/>
      <c r="H2074" s="38"/>
      <c r="J2074" s="3"/>
      <c r="K2074" s="3"/>
      <c r="L2074" s="39"/>
      <c r="N2074" s="3"/>
      <c r="O2074" s="3"/>
      <c r="P2074" s="39"/>
      <c r="R2074" s="39"/>
    </row>
    <row r="2075" spans="2:18" x14ac:dyDescent="0.2">
      <c r="B2075" s="1"/>
      <c r="C2075" s="2"/>
      <c r="D2075" s="38"/>
      <c r="F2075" s="1"/>
      <c r="G2075" s="2"/>
      <c r="H2075" s="38"/>
      <c r="J2075" s="3"/>
      <c r="K2075" s="3"/>
      <c r="L2075" s="39"/>
      <c r="N2075" s="3"/>
      <c r="O2075" s="3"/>
      <c r="P2075" s="39"/>
      <c r="R2075" s="39"/>
    </row>
    <row r="2076" spans="2:18" x14ac:dyDescent="0.2">
      <c r="B2076" s="1"/>
      <c r="C2076" s="2"/>
      <c r="D2076" s="38"/>
      <c r="F2076" s="1"/>
      <c r="G2076" s="2"/>
      <c r="H2076" s="38"/>
      <c r="J2076" s="3"/>
      <c r="K2076" s="3"/>
      <c r="L2076" s="39"/>
      <c r="N2076" s="3"/>
      <c r="O2076" s="3"/>
      <c r="P2076" s="39"/>
      <c r="R2076" s="39"/>
    </row>
    <row r="2077" spans="2:18" x14ac:dyDescent="0.2">
      <c r="B2077" s="1"/>
      <c r="C2077" s="2"/>
      <c r="D2077" s="38"/>
      <c r="F2077" s="1"/>
      <c r="G2077" s="2"/>
      <c r="H2077" s="38"/>
      <c r="J2077" s="3"/>
      <c r="K2077" s="3"/>
      <c r="L2077" s="39"/>
      <c r="N2077" s="3"/>
      <c r="O2077" s="3"/>
      <c r="P2077" s="39"/>
      <c r="R2077" s="39"/>
    </row>
    <row r="2078" spans="2:18" x14ac:dyDescent="0.2">
      <c r="B2078" s="1"/>
      <c r="C2078" s="2"/>
      <c r="D2078" s="38"/>
      <c r="F2078" s="1"/>
      <c r="G2078" s="2"/>
      <c r="H2078" s="38"/>
      <c r="J2078" s="3"/>
      <c r="K2078" s="3"/>
      <c r="L2078" s="39"/>
      <c r="N2078" s="3"/>
      <c r="O2078" s="3"/>
      <c r="P2078" s="39"/>
      <c r="R2078" s="39"/>
    </row>
    <row r="2079" spans="2:18" x14ac:dyDescent="0.2">
      <c r="B2079" s="1"/>
      <c r="C2079" s="2"/>
      <c r="D2079" s="38"/>
      <c r="F2079" s="1"/>
      <c r="G2079" s="2"/>
      <c r="H2079" s="38"/>
      <c r="J2079" s="3"/>
      <c r="K2079" s="3"/>
      <c r="L2079" s="39"/>
      <c r="N2079" s="3"/>
      <c r="O2079" s="3"/>
      <c r="P2079" s="39"/>
      <c r="R2079" s="39"/>
    </row>
    <row r="2080" spans="2:18" x14ac:dyDescent="0.2">
      <c r="B2080" s="1"/>
      <c r="C2080" s="2"/>
      <c r="D2080" s="38"/>
      <c r="F2080" s="1"/>
      <c r="G2080" s="2"/>
      <c r="H2080" s="38"/>
      <c r="J2080" s="3"/>
      <c r="K2080" s="3"/>
      <c r="L2080" s="39"/>
      <c r="N2080" s="3"/>
      <c r="O2080" s="3"/>
      <c r="P2080" s="39"/>
      <c r="R2080" s="39"/>
    </row>
    <row r="2081" spans="2:18" x14ac:dyDescent="0.2">
      <c r="B2081" s="1"/>
      <c r="C2081" s="2"/>
      <c r="D2081" s="38"/>
      <c r="F2081" s="1"/>
      <c r="G2081" s="2"/>
      <c r="H2081" s="38"/>
      <c r="J2081" s="3"/>
      <c r="K2081" s="3"/>
      <c r="L2081" s="39"/>
      <c r="N2081" s="3"/>
      <c r="O2081" s="3"/>
      <c r="P2081" s="39"/>
      <c r="R2081" s="39"/>
    </row>
    <row r="2082" spans="2:18" x14ac:dyDescent="0.2">
      <c r="B2082" s="1"/>
      <c r="C2082" s="2"/>
      <c r="D2082" s="38"/>
      <c r="F2082" s="1"/>
      <c r="G2082" s="2"/>
      <c r="H2082" s="38"/>
      <c r="J2082" s="3"/>
      <c r="K2082" s="3"/>
      <c r="L2082" s="39"/>
      <c r="N2082" s="3"/>
      <c r="O2082" s="3"/>
      <c r="P2082" s="39"/>
      <c r="R2082" s="39"/>
    </row>
    <row r="2083" spans="2:18" x14ac:dyDescent="0.2">
      <c r="B2083" s="1"/>
      <c r="C2083" s="2"/>
      <c r="D2083" s="38"/>
      <c r="F2083" s="1"/>
      <c r="G2083" s="2"/>
      <c r="H2083" s="38"/>
      <c r="J2083" s="3"/>
      <c r="K2083" s="3"/>
      <c r="L2083" s="39"/>
      <c r="N2083" s="3"/>
      <c r="O2083" s="3"/>
      <c r="P2083" s="39"/>
      <c r="R2083" s="39"/>
    </row>
    <row r="2084" spans="2:18" x14ac:dyDescent="0.2">
      <c r="B2084" s="1"/>
      <c r="C2084" s="2"/>
      <c r="D2084" s="38"/>
      <c r="F2084" s="1"/>
      <c r="G2084" s="2"/>
      <c r="H2084" s="38"/>
      <c r="J2084" s="3"/>
      <c r="K2084" s="3"/>
      <c r="L2084" s="39"/>
      <c r="N2084" s="3"/>
      <c r="O2084" s="3"/>
      <c r="P2084" s="39"/>
      <c r="R2084" s="39"/>
    </row>
    <row r="2085" spans="2:18" x14ac:dyDescent="0.2">
      <c r="B2085" s="1"/>
      <c r="C2085" s="2"/>
      <c r="D2085" s="38"/>
      <c r="F2085" s="1"/>
      <c r="G2085" s="2"/>
      <c r="H2085" s="38"/>
      <c r="J2085" s="3"/>
      <c r="K2085" s="3"/>
      <c r="L2085" s="39"/>
      <c r="N2085" s="3"/>
      <c r="O2085" s="3"/>
      <c r="P2085" s="39"/>
      <c r="R2085" s="39"/>
    </row>
    <row r="2086" spans="2:18" x14ac:dyDescent="0.2">
      <c r="B2086" s="1"/>
      <c r="C2086" s="2"/>
      <c r="D2086" s="38"/>
      <c r="F2086" s="1"/>
      <c r="G2086" s="2"/>
      <c r="H2086" s="38"/>
      <c r="J2086" s="3"/>
      <c r="K2086" s="3"/>
      <c r="L2086" s="39"/>
      <c r="N2086" s="3"/>
      <c r="O2086" s="3"/>
      <c r="P2086" s="39"/>
      <c r="R2086" s="39"/>
    </row>
    <row r="2087" spans="2:18" x14ac:dyDescent="0.2">
      <c r="B2087" s="1"/>
      <c r="C2087" s="2"/>
      <c r="D2087" s="38"/>
      <c r="F2087" s="1"/>
      <c r="G2087" s="2"/>
      <c r="H2087" s="38"/>
      <c r="J2087" s="3"/>
      <c r="K2087" s="3"/>
      <c r="L2087" s="39"/>
      <c r="N2087" s="3"/>
      <c r="O2087" s="3"/>
      <c r="P2087" s="39"/>
      <c r="R2087" s="39"/>
    </row>
    <row r="2088" spans="2:18" x14ac:dyDescent="0.2">
      <c r="B2088" s="1"/>
      <c r="C2088" s="2"/>
      <c r="D2088" s="38"/>
      <c r="F2088" s="1"/>
      <c r="G2088" s="2"/>
      <c r="H2088" s="38"/>
      <c r="J2088" s="3"/>
      <c r="K2088" s="3"/>
      <c r="L2088" s="39"/>
      <c r="N2088" s="3"/>
      <c r="O2088" s="3"/>
      <c r="P2088" s="39"/>
      <c r="R2088" s="39"/>
    </row>
    <row r="2089" spans="2:18" x14ac:dyDescent="0.2">
      <c r="B2089" s="1"/>
      <c r="C2089" s="2"/>
      <c r="D2089" s="38"/>
      <c r="F2089" s="1"/>
      <c r="G2089" s="2"/>
      <c r="H2089" s="38"/>
      <c r="J2089" s="3"/>
      <c r="K2089" s="3"/>
      <c r="L2089" s="39"/>
      <c r="N2089" s="3"/>
      <c r="O2089" s="3"/>
      <c r="P2089" s="39"/>
      <c r="R2089" s="39"/>
    </row>
    <row r="2090" spans="2:18" x14ac:dyDescent="0.2">
      <c r="B2090" s="1"/>
      <c r="C2090" s="2"/>
      <c r="D2090" s="38"/>
      <c r="F2090" s="1"/>
      <c r="G2090" s="2"/>
      <c r="H2090" s="38"/>
      <c r="J2090" s="3"/>
      <c r="K2090" s="3"/>
      <c r="L2090" s="39"/>
      <c r="N2090" s="3"/>
      <c r="O2090" s="3"/>
      <c r="P2090" s="39"/>
      <c r="R2090" s="39"/>
    </row>
    <row r="2091" spans="2:18" x14ac:dyDescent="0.2">
      <c r="B2091" s="1"/>
      <c r="C2091" s="2"/>
      <c r="D2091" s="38"/>
      <c r="F2091" s="1"/>
      <c r="G2091" s="2"/>
      <c r="H2091" s="38"/>
      <c r="J2091" s="3"/>
      <c r="K2091" s="3"/>
      <c r="L2091" s="39"/>
      <c r="N2091" s="3"/>
      <c r="O2091" s="3"/>
      <c r="P2091" s="39"/>
      <c r="R2091" s="39"/>
    </row>
    <row r="2092" spans="2:18" x14ac:dyDescent="0.2">
      <c r="B2092" s="1"/>
      <c r="C2092" s="2"/>
      <c r="D2092" s="38"/>
      <c r="F2092" s="1"/>
      <c r="G2092" s="2"/>
      <c r="H2092" s="38"/>
      <c r="J2092" s="3"/>
      <c r="K2092" s="3"/>
      <c r="L2092" s="39"/>
      <c r="N2092" s="3"/>
      <c r="O2092" s="3"/>
      <c r="P2092" s="39"/>
      <c r="R2092" s="39"/>
    </row>
    <row r="2093" spans="2:18" x14ac:dyDescent="0.2">
      <c r="B2093" s="1"/>
      <c r="C2093" s="2"/>
      <c r="D2093" s="38"/>
      <c r="F2093" s="1"/>
      <c r="G2093" s="2"/>
      <c r="H2093" s="38"/>
      <c r="J2093" s="3"/>
      <c r="K2093" s="3"/>
      <c r="L2093" s="39"/>
      <c r="N2093" s="3"/>
      <c r="O2093" s="3"/>
      <c r="P2093" s="39"/>
      <c r="R2093" s="39"/>
    </row>
    <row r="2094" spans="2:18" x14ac:dyDescent="0.2">
      <c r="B2094" s="1"/>
      <c r="C2094" s="2"/>
      <c r="D2094" s="38"/>
      <c r="F2094" s="1"/>
      <c r="G2094" s="2"/>
      <c r="H2094" s="38"/>
      <c r="J2094" s="3"/>
      <c r="K2094" s="3"/>
      <c r="L2094" s="39"/>
      <c r="N2094" s="3"/>
      <c r="O2094" s="3"/>
      <c r="P2094" s="39"/>
      <c r="R2094" s="39"/>
    </row>
    <row r="2095" spans="2:18" x14ac:dyDescent="0.2">
      <c r="B2095" s="1"/>
      <c r="C2095" s="2"/>
      <c r="D2095" s="38"/>
      <c r="F2095" s="1"/>
      <c r="G2095" s="2"/>
      <c r="H2095" s="38"/>
      <c r="J2095" s="3"/>
      <c r="K2095" s="3"/>
      <c r="L2095" s="39"/>
      <c r="N2095" s="3"/>
      <c r="O2095" s="3"/>
      <c r="P2095" s="39"/>
      <c r="R2095" s="39"/>
    </row>
    <row r="2096" spans="2:18" x14ac:dyDescent="0.2">
      <c r="B2096" s="1"/>
      <c r="C2096" s="2"/>
      <c r="D2096" s="38"/>
      <c r="F2096" s="1"/>
      <c r="G2096" s="2"/>
      <c r="H2096" s="38"/>
      <c r="J2096" s="3"/>
      <c r="K2096" s="3"/>
      <c r="L2096" s="39"/>
      <c r="N2096" s="3"/>
      <c r="O2096" s="3"/>
      <c r="P2096" s="39"/>
      <c r="R2096" s="39"/>
    </row>
    <row r="2097" spans="2:18" x14ac:dyDescent="0.2">
      <c r="B2097" s="1"/>
      <c r="C2097" s="2"/>
      <c r="D2097" s="38"/>
      <c r="F2097" s="1"/>
      <c r="G2097" s="2"/>
      <c r="H2097" s="38"/>
      <c r="J2097" s="3"/>
      <c r="K2097" s="3"/>
      <c r="L2097" s="39"/>
      <c r="N2097" s="3"/>
      <c r="O2097" s="3"/>
      <c r="P2097" s="39"/>
      <c r="R2097" s="39"/>
    </row>
    <row r="2098" spans="2:18" x14ac:dyDescent="0.2">
      <c r="B2098" s="1"/>
      <c r="C2098" s="2"/>
      <c r="D2098" s="38"/>
      <c r="F2098" s="1"/>
      <c r="G2098" s="2"/>
      <c r="H2098" s="38"/>
      <c r="J2098" s="3"/>
      <c r="K2098" s="3"/>
      <c r="L2098" s="39"/>
      <c r="N2098" s="3"/>
      <c r="O2098" s="3"/>
      <c r="P2098" s="39"/>
      <c r="R2098" s="39"/>
    </row>
    <row r="2099" spans="2:18" x14ac:dyDescent="0.2">
      <c r="B2099" s="1"/>
      <c r="C2099" s="2"/>
      <c r="D2099" s="38"/>
      <c r="F2099" s="1"/>
      <c r="G2099" s="2"/>
      <c r="H2099" s="38"/>
      <c r="J2099" s="3"/>
      <c r="K2099" s="3"/>
      <c r="L2099" s="39"/>
      <c r="N2099" s="3"/>
      <c r="O2099" s="3"/>
      <c r="P2099" s="39"/>
      <c r="R2099" s="39"/>
    </row>
    <row r="2100" spans="2:18" x14ac:dyDescent="0.2">
      <c r="B2100" s="1"/>
      <c r="C2100" s="2"/>
      <c r="D2100" s="38"/>
      <c r="F2100" s="1"/>
      <c r="G2100" s="2"/>
      <c r="H2100" s="38"/>
      <c r="J2100" s="3"/>
      <c r="K2100" s="3"/>
      <c r="L2100" s="39"/>
      <c r="N2100" s="3"/>
      <c r="O2100" s="3"/>
      <c r="P2100" s="39"/>
      <c r="R2100" s="39"/>
    </row>
    <row r="2101" spans="2:18" x14ac:dyDescent="0.2">
      <c r="B2101" s="1"/>
      <c r="C2101" s="2"/>
      <c r="D2101" s="38"/>
      <c r="F2101" s="1"/>
      <c r="G2101" s="2"/>
      <c r="H2101" s="38"/>
      <c r="J2101" s="3"/>
      <c r="K2101" s="3"/>
      <c r="L2101" s="39"/>
      <c r="N2101" s="3"/>
      <c r="O2101" s="3"/>
      <c r="P2101" s="39"/>
      <c r="R2101" s="39"/>
    </row>
    <row r="2102" spans="2:18" x14ac:dyDescent="0.2">
      <c r="B2102" s="1"/>
      <c r="C2102" s="2"/>
      <c r="D2102" s="38"/>
      <c r="F2102" s="1"/>
      <c r="G2102" s="2"/>
      <c r="H2102" s="38"/>
      <c r="J2102" s="3"/>
      <c r="K2102" s="3"/>
      <c r="L2102" s="39"/>
      <c r="N2102" s="3"/>
      <c r="O2102" s="3"/>
      <c r="P2102" s="39"/>
      <c r="R2102" s="39"/>
    </row>
    <row r="2103" spans="2:18" x14ac:dyDescent="0.2">
      <c r="B2103" s="1"/>
      <c r="C2103" s="2"/>
      <c r="D2103" s="38"/>
      <c r="F2103" s="1"/>
      <c r="G2103" s="2"/>
      <c r="H2103" s="38"/>
      <c r="J2103" s="3"/>
      <c r="K2103" s="3"/>
      <c r="L2103" s="39"/>
      <c r="N2103" s="3"/>
      <c r="O2103" s="3"/>
      <c r="P2103" s="39"/>
      <c r="R2103" s="39"/>
    </row>
    <row r="2104" spans="2:18" x14ac:dyDescent="0.2">
      <c r="B2104" s="1"/>
      <c r="C2104" s="2"/>
      <c r="D2104" s="38"/>
      <c r="F2104" s="1"/>
      <c r="G2104" s="2"/>
      <c r="H2104" s="38"/>
      <c r="J2104" s="3"/>
      <c r="K2104" s="3"/>
      <c r="L2104" s="39"/>
      <c r="N2104" s="3"/>
      <c r="O2104" s="3"/>
      <c r="P2104" s="39"/>
      <c r="R2104" s="39"/>
    </row>
    <row r="2105" spans="2:18" x14ac:dyDescent="0.2">
      <c r="B2105" s="1"/>
      <c r="C2105" s="2"/>
      <c r="D2105" s="38"/>
      <c r="F2105" s="1"/>
      <c r="G2105" s="2"/>
      <c r="H2105" s="38"/>
      <c r="J2105" s="3"/>
      <c r="K2105" s="3"/>
      <c r="L2105" s="39"/>
      <c r="N2105" s="3"/>
      <c r="O2105" s="3"/>
      <c r="P2105" s="39"/>
      <c r="R2105" s="39"/>
    </row>
    <row r="2106" spans="2:18" x14ac:dyDescent="0.2">
      <c r="B2106" s="1"/>
      <c r="C2106" s="2"/>
      <c r="D2106" s="38"/>
      <c r="F2106" s="1"/>
      <c r="G2106" s="2"/>
      <c r="H2106" s="38"/>
      <c r="J2106" s="3"/>
      <c r="K2106" s="3"/>
      <c r="L2106" s="39"/>
      <c r="N2106" s="3"/>
      <c r="O2106" s="3"/>
      <c r="P2106" s="39"/>
      <c r="R2106" s="39"/>
    </row>
    <row r="2107" spans="2:18" x14ac:dyDescent="0.2">
      <c r="B2107" s="1"/>
      <c r="C2107" s="2"/>
      <c r="D2107" s="38"/>
      <c r="F2107" s="1"/>
      <c r="G2107" s="2"/>
      <c r="H2107" s="38"/>
      <c r="J2107" s="3"/>
      <c r="K2107" s="3"/>
      <c r="L2107" s="39"/>
      <c r="N2107" s="3"/>
      <c r="O2107" s="3"/>
      <c r="P2107" s="39"/>
      <c r="R2107" s="39"/>
    </row>
    <row r="2108" spans="2:18" x14ac:dyDescent="0.2">
      <c r="B2108" s="1"/>
      <c r="C2108" s="2"/>
      <c r="D2108" s="38"/>
      <c r="F2108" s="1"/>
      <c r="G2108" s="2"/>
      <c r="H2108" s="38"/>
      <c r="J2108" s="3"/>
      <c r="K2108" s="3"/>
      <c r="L2108" s="39"/>
      <c r="N2108" s="3"/>
      <c r="O2108" s="3"/>
      <c r="P2108" s="39"/>
      <c r="R2108" s="39"/>
    </row>
    <row r="2109" spans="2:18" x14ac:dyDescent="0.2">
      <c r="B2109" s="1"/>
      <c r="C2109" s="2"/>
      <c r="D2109" s="38"/>
      <c r="F2109" s="1"/>
      <c r="G2109" s="2"/>
      <c r="H2109" s="38"/>
      <c r="J2109" s="3"/>
      <c r="K2109" s="3"/>
      <c r="L2109" s="39"/>
      <c r="N2109" s="3"/>
      <c r="O2109" s="3"/>
      <c r="P2109" s="39"/>
      <c r="R2109" s="39"/>
    </row>
    <row r="2110" spans="2:18" x14ac:dyDescent="0.2">
      <c r="B2110" s="1"/>
      <c r="C2110" s="2"/>
      <c r="D2110" s="38"/>
      <c r="F2110" s="1"/>
      <c r="G2110" s="2"/>
      <c r="H2110" s="38"/>
      <c r="J2110" s="3"/>
      <c r="K2110" s="3"/>
      <c r="L2110" s="39"/>
      <c r="N2110" s="3"/>
      <c r="O2110" s="3"/>
      <c r="P2110" s="39"/>
      <c r="R2110" s="39"/>
    </row>
    <row r="2111" spans="2:18" x14ac:dyDescent="0.2">
      <c r="B2111" s="1"/>
      <c r="C2111" s="2"/>
      <c r="D2111" s="38"/>
      <c r="F2111" s="1"/>
      <c r="G2111" s="2"/>
      <c r="H2111" s="38"/>
      <c r="J2111" s="3"/>
      <c r="K2111" s="3"/>
      <c r="L2111" s="39"/>
      <c r="N2111" s="3"/>
      <c r="O2111" s="3"/>
      <c r="P2111" s="39"/>
      <c r="R2111" s="39"/>
    </row>
    <row r="2112" spans="2:18" x14ac:dyDescent="0.2">
      <c r="B2112" s="1"/>
      <c r="C2112" s="2"/>
      <c r="D2112" s="38"/>
      <c r="F2112" s="1"/>
      <c r="G2112" s="2"/>
      <c r="H2112" s="38"/>
      <c r="J2112" s="3"/>
      <c r="K2112" s="3"/>
      <c r="L2112" s="39"/>
      <c r="N2112" s="3"/>
      <c r="O2112" s="3"/>
      <c r="P2112" s="39"/>
      <c r="R2112" s="39"/>
    </row>
    <row r="2113" spans="2:18" x14ac:dyDescent="0.2">
      <c r="B2113" s="1"/>
      <c r="C2113" s="2"/>
      <c r="D2113" s="38"/>
      <c r="F2113" s="1"/>
      <c r="G2113" s="2"/>
      <c r="H2113" s="38"/>
      <c r="J2113" s="3"/>
      <c r="K2113" s="3"/>
      <c r="L2113" s="39"/>
      <c r="N2113" s="3"/>
      <c r="O2113" s="3"/>
      <c r="P2113" s="39"/>
      <c r="R2113" s="39"/>
    </row>
    <row r="2114" spans="2:18" x14ac:dyDescent="0.2">
      <c r="B2114" s="1"/>
      <c r="C2114" s="2"/>
      <c r="D2114" s="38"/>
      <c r="F2114" s="1"/>
      <c r="G2114" s="2"/>
      <c r="H2114" s="38"/>
      <c r="J2114" s="3"/>
      <c r="K2114" s="3"/>
      <c r="L2114" s="39"/>
      <c r="N2114" s="3"/>
      <c r="O2114" s="3"/>
      <c r="P2114" s="39"/>
      <c r="R2114" s="39"/>
    </row>
    <row r="2115" spans="2:18" x14ac:dyDescent="0.2">
      <c r="B2115" s="1"/>
      <c r="C2115" s="2"/>
      <c r="D2115" s="38"/>
      <c r="F2115" s="1"/>
      <c r="G2115" s="2"/>
      <c r="H2115" s="38"/>
      <c r="J2115" s="3"/>
      <c r="K2115" s="3"/>
      <c r="L2115" s="39"/>
      <c r="N2115" s="3"/>
      <c r="O2115" s="3"/>
      <c r="P2115" s="39"/>
      <c r="R2115" s="39"/>
    </row>
    <row r="2116" spans="2:18" x14ac:dyDescent="0.2">
      <c r="B2116" s="1"/>
      <c r="C2116" s="2"/>
      <c r="D2116" s="38"/>
      <c r="F2116" s="1"/>
      <c r="G2116" s="2"/>
      <c r="H2116" s="38"/>
      <c r="J2116" s="3"/>
      <c r="K2116" s="3"/>
      <c r="L2116" s="39"/>
      <c r="N2116" s="3"/>
      <c r="O2116" s="3"/>
      <c r="P2116" s="39"/>
      <c r="R2116" s="39"/>
    </row>
    <row r="2117" spans="2:18" x14ac:dyDescent="0.2">
      <c r="B2117" s="1"/>
      <c r="C2117" s="2"/>
      <c r="D2117" s="38"/>
      <c r="F2117" s="1"/>
      <c r="G2117" s="2"/>
      <c r="H2117" s="38"/>
      <c r="J2117" s="3"/>
      <c r="K2117" s="3"/>
      <c r="L2117" s="39"/>
      <c r="N2117" s="3"/>
      <c r="O2117" s="3"/>
      <c r="P2117" s="39"/>
      <c r="R2117" s="39"/>
    </row>
    <row r="2118" spans="2:18" x14ac:dyDescent="0.2">
      <c r="B2118" s="1"/>
      <c r="C2118" s="2"/>
      <c r="D2118" s="38"/>
      <c r="F2118" s="1"/>
      <c r="G2118" s="2"/>
      <c r="H2118" s="38"/>
      <c r="J2118" s="3"/>
      <c r="K2118" s="3"/>
      <c r="L2118" s="39"/>
      <c r="N2118" s="3"/>
      <c r="O2118" s="3"/>
      <c r="P2118" s="39"/>
      <c r="R2118" s="39"/>
    </row>
    <row r="2119" spans="2:18" x14ac:dyDescent="0.2">
      <c r="B2119" s="1"/>
      <c r="C2119" s="2"/>
      <c r="D2119" s="38"/>
      <c r="F2119" s="1"/>
      <c r="G2119" s="2"/>
      <c r="H2119" s="38"/>
      <c r="J2119" s="3"/>
      <c r="K2119" s="3"/>
      <c r="L2119" s="39"/>
      <c r="N2119" s="3"/>
      <c r="O2119" s="3"/>
      <c r="P2119" s="39"/>
      <c r="R2119" s="39"/>
    </row>
    <row r="2120" spans="2:18" x14ac:dyDescent="0.2">
      <c r="B2120" s="1"/>
      <c r="C2120" s="2"/>
      <c r="D2120" s="38"/>
      <c r="F2120" s="1"/>
      <c r="G2120" s="2"/>
      <c r="H2120" s="38"/>
      <c r="J2120" s="3"/>
      <c r="K2120" s="3"/>
      <c r="L2120" s="39"/>
      <c r="N2120" s="3"/>
      <c r="O2120" s="3"/>
      <c r="P2120" s="39"/>
      <c r="R2120" s="39"/>
    </row>
    <row r="2121" spans="2:18" x14ac:dyDescent="0.2">
      <c r="B2121" s="1"/>
      <c r="C2121" s="2"/>
      <c r="D2121" s="38"/>
      <c r="F2121" s="1"/>
      <c r="G2121" s="2"/>
      <c r="H2121" s="38"/>
      <c r="J2121" s="3"/>
      <c r="K2121" s="3"/>
      <c r="L2121" s="39"/>
      <c r="N2121" s="3"/>
      <c r="O2121" s="3"/>
      <c r="P2121" s="39"/>
      <c r="R2121" s="39"/>
    </row>
    <row r="2122" spans="2:18" x14ac:dyDescent="0.2">
      <c r="B2122" s="1"/>
      <c r="C2122" s="2"/>
      <c r="D2122" s="38"/>
      <c r="F2122" s="1"/>
      <c r="G2122" s="2"/>
      <c r="H2122" s="38"/>
      <c r="J2122" s="3"/>
      <c r="K2122" s="3"/>
      <c r="L2122" s="39"/>
      <c r="N2122" s="3"/>
      <c r="O2122" s="3"/>
      <c r="P2122" s="39"/>
      <c r="R2122" s="39"/>
    </row>
    <row r="2123" spans="2:18" x14ac:dyDescent="0.2">
      <c r="B2123" s="1"/>
      <c r="C2123" s="2"/>
      <c r="D2123" s="38"/>
      <c r="F2123" s="1"/>
      <c r="G2123" s="2"/>
      <c r="H2123" s="38"/>
      <c r="J2123" s="3"/>
      <c r="K2123" s="3"/>
      <c r="L2123" s="39"/>
      <c r="N2123" s="3"/>
      <c r="O2123" s="3"/>
      <c r="P2123" s="39"/>
      <c r="R2123" s="39"/>
    </row>
    <row r="2124" spans="2:18" x14ac:dyDescent="0.2">
      <c r="B2124" s="1"/>
      <c r="C2124" s="2"/>
      <c r="D2124" s="38"/>
      <c r="F2124" s="1"/>
      <c r="G2124" s="2"/>
      <c r="H2124" s="38"/>
      <c r="J2124" s="3"/>
      <c r="K2124" s="3"/>
      <c r="L2124" s="39"/>
      <c r="N2124" s="3"/>
      <c r="O2124" s="3"/>
      <c r="P2124" s="39"/>
      <c r="R2124" s="39"/>
    </row>
    <row r="2125" spans="2:18" x14ac:dyDescent="0.2">
      <c r="B2125" s="1"/>
      <c r="C2125" s="2"/>
      <c r="D2125" s="38"/>
      <c r="F2125" s="1"/>
      <c r="G2125" s="2"/>
      <c r="H2125" s="38"/>
      <c r="J2125" s="3"/>
      <c r="K2125" s="3"/>
      <c r="L2125" s="39"/>
      <c r="N2125" s="3"/>
      <c r="O2125" s="3"/>
      <c r="P2125" s="39"/>
      <c r="R2125" s="39"/>
    </row>
    <row r="2126" spans="2:18" x14ac:dyDescent="0.2">
      <c r="B2126" s="1"/>
      <c r="C2126" s="2"/>
      <c r="D2126" s="38"/>
      <c r="F2126" s="1"/>
      <c r="G2126" s="2"/>
      <c r="H2126" s="38"/>
      <c r="J2126" s="3"/>
      <c r="K2126" s="3"/>
      <c r="L2126" s="39"/>
      <c r="N2126" s="3"/>
      <c r="O2126" s="3"/>
      <c r="P2126" s="39"/>
      <c r="R2126" s="39"/>
    </row>
    <row r="2127" spans="2:18" x14ac:dyDescent="0.2">
      <c r="B2127" s="1"/>
      <c r="C2127" s="2"/>
      <c r="D2127" s="38"/>
      <c r="F2127" s="1"/>
      <c r="G2127" s="2"/>
      <c r="H2127" s="38"/>
      <c r="J2127" s="3"/>
      <c r="K2127" s="3"/>
      <c r="L2127" s="39"/>
      <c r="N2127" s="3"/>
      <c r="O2127" s="3"/>
      <c r="P2127" s="39"/>
      <c r="R2127" s="39"/>
    </row>
    <row r="2128" spans="2:18" x14ac:dyDescent="0.2">
      <c r="B2128" s="1"/>
      <c r="C2128" s="2"/>
      <c r="D2128" s="38"/>
      <c r="F2128" s="1"/>
      <c r="G2128" s="2"/>
      <c r="H2128" s="38"/>
      <c r="J2128" s="3"/>
      <c r="K2128" s="3"/>
      <c r="L2128" s="39"/>
      <c r="N2128" s="3"/>
      <c r="O2128" s="3"/>
      <c r="P2128" s="39"/>
      <c r="R2128" s="39"/>
    </row>
    <row r="2129" spans="2:18" x14ac:dyDescent="0.2">
      <c r="B2129" s="1"/>
      <c r="C2129" s="2"/>
      <c r="D2129" s="38"/>
      <c r="F2129" s="1"/>
      <c r="G2129" s="2"/>
      <c r="H2129" s="38"/>
      <c r="J2129" s="3"/>
      <c r="K2129" s="3"/>
      <c r="L2129" s="39"/>
      <c r="N2129" s="3"/>
      <c r="O2129" s="3"/>
      <c r="P2129" s="39"/>
      <c r="R2129" s="39"/>
    </row>
    <row r="2130" spans="2:18" x14ac:dyDescent="0.2">
      <c r="B2130" s="1"/>
      <c r="C2130" s="2"/>
      <c r="D2130" s="38"/>
      <c r="F2130" s="1"/>
      <c r="G2130" s="2"/>
      <c r="H2130" s="38"/>
      <c r="J2130" s="3"/>
      <c r="K2130" s="3"/>
      <c r="L2130" s="39"/>
      <c r="N2130" s="3"/>
      <c r="O2130" s="3"/>
      <c r="P2130" s="39"/>
      <c r="R2130" s="39"/>
    </row>
    <row r="2131" spans="2:18" x14ac:dyDescent="0.2">
      <c r="B2131" s="1"/>
      <c r="C2131" s="2"/>
      <c r="D2131" s="38"/>
      <c r="F2131" s="1"/>
      <c r="G2131" s="2"/>
      <c r="H2131" s="38"/>
      <c r="J2131" s="3"/>
      <c r="K2131" s="3"/>
      <c r="L2131" s="39"/>
      <c r="N2131" s="3"/>
      <c r="O2131" s="3"/>
      <c r="P2131" s="39"/>
      <c r="R2131" s="39"/>
    </row>
    <row r="2132" spans="2:18" x14ac:dyDescent="0.2">
      <c r="B2132" s="1"/>
      <c r="C2132" s="2"/>
      <c r="D2132" s="38"/>
      <c r="F2132" s="1"/>
      <c r="G2132" s="2"/>
      <c r="H2132" s="38"/>
      <c r="J2132" s="3"/>
      <c r="K2132" s="3"/>
      <c r="L2132" s="39"/>
      <c r="N2132" s="3"/>
      <c r="O2132" s="3"/>
      <c r="P2132" s="39"/>
      <c r="R2132" s="39"/>
    </row>
    <row r="2133" spans="2:18" x14ac:dyDescent="0.2">
      <c r="B2133" s="1"/>
      <c r="C2133" s="2"/>
      <c r="D2133" s="38"/>
      <c r="F2133" s="1"/>
      <c r="G2133" s="2"/>
      <c r="H2133" s="38"/>
      <c r="J2133" s="3"/>
      <c r="K2133" s="3"/>
      <c r="L2133" s="39"/>
      <c r="N2133" s="3"/>
      <c r="O2133" s="3"/>
      <c r="P2133" s="39"/>
      <c r="R2133" s="39"/>
    </row>
    <row r="2134" spans="2:18" x14ac:dyDescent="0.2">
      <c r="B2134" s="1"/>
      <c r="C2134" s="2"/>
      <c r="D2134" s="38"/>
      <c r="F2134" s="1"/>
      <c r="G2134" s="2"/>
      <c r="H2134" s="38"/>
      <c r="J2134" s="3"/>
      <c r="K2134" s="3"/>
      <c r="L2134" s="39"/>
      <c r="N2134" s="3"/>
      <c r="O2134" s="3"/>
      <c r="P2134" s="39"/>
      <c r="R2134" s="39"/>
    </row>
    <row r="2135" spans="2:18" x14ac:dyDescent="0.2">
      <c r="B2135" s="1"/>
      <c r="C2135" s="2"/>
      <c r="D2135" s="38"/>
      <c r="F2135" s="1"/>
      <c r="G2135" s="2"/>
      <c r="H2135" s="38"/>
      <c r="J2135" s="3"/>
      <c r="K2135" s="3"/>
      <c r="L2135" s="39"/>
      <c r="N2135" s="3"/>
      <c r="O2135" s="3"/>
      <c r="P2135" s="39"/>
      <c r="R2135" s="39"/>
    </row>
    <row r="2136" spans="2:18" x14ac:dyDescent="0.2">
      <c r="B2136" s="1"/>
      <c r="C2136" s="2"/>
      <c r="D2136" s="38"/>
      <c r="F2136" s="1"/>
      <c r="G2136" s="2"/>
      <c r="H2136" s="38"/>
      <c r="J2136" s="3"/>
      <c r="K2136" s="3"/>
      <c r="L2136" s="39"/>
      <c r="N2136" s="3"/>
      <c r="O2136" s="3"/>
      <c r="P2136" s="39"/>
      <c r="R2136" s="39"/>
    </row>
    <row r="2137" spans="2:18" x14ac:dyDescent="0.2">
      <c r="B2137" s="1"/>
      <c r="C2137" s="2"/>
      <c r="D2137" s="38"/>
      <c r="F2137" s="1"/>
      <c r="G2137" s="2"/>
      <c r="H2137" s="38"/>
      <c r="J2137" s="3"/>
      <c r="K2137" s="3"/>
      <c r="L2137" s="39"/>
      <c r="N2137" s="3"/>
      <c r="O2137" s="3"/>
      <c r="P2137" s="39"/>
      <c r="R2137" s="39"/>
    </row>
    <row r="2138" spans="2:18" x14ac:dyDescent="0.2">
      <c r="B2138" s="1"/>
      <c r="C2138" s="2"/>
      <c r="D2138" s="38"/>
      <c r="F2138" s="1"/>
      <c r="G2138" s="2"/>
      <c r="H2138" s="38"/>
      <c r="J2138" s="3"/>
      <c r="K2138" s="3"/>
      <c r="L2138" s="39"/>
      <c r="N2138" s="3"/>
      <c r="O2138" s="3"/>
      <c r="P2138" s="39"/>
      <c r="R2138" s="39"/>
    </row>
    <row r="2139" spans="2:18" x14ac:dyDescent="0.2">
      <c r="B2139" s="1"/>
      <c r="C2139" s="2"/>
      <c r="D2139" s="38"/>
      <c r="F2139" s="1"/>
      <c r="G2139" s="2"/>
      <c r="H2139" s="38"/>
      <c r="J2139" s="3"/>
      <c r="K2139" s="3"/>
      <c r="L2139" s="39"/>
      <c r="N2139" s="3"/>
      <c r="O2139" s="3"/>
      <c r="P2139" s="39"/>
      <c r="R2139" s="39"/>
    </row>
    <row r="2140" spans="2:18" x14ac:dyDescent="0.2">
      <c r="B2140" s="1"/>
      <c r="C2140" s="2"/>
      <c r="D2140" s="38"/>
      <c r="F2140" s="1"/>
      <c r="G2140" s="2"/>
      <c r="H2140" s="38"/>
      <c r="J2140" s="3"/>
      <c r="K2140" s="3"/>
      <c r="L2140" s="39"/>
      <c r="N2140" s="3"/>
      <c r="O2140" s="3"/>
      <c r="P2140" s="39"/>
      <c r="R2140" s="39"/>
    </row>
    <row r="2141" spans="2:18" x14ac:dyDescent="0.2">
      <c r="B2141" s="1"/>
      <c r="C2141" s="2"/>
      <c r="D2141" s="38"/>
      <c r="F2141" s="1"/>
      <c r="G2141" s="2"/>
      <c r="H2141" s="38"/>
      <c r="J2141" s="3"/>
      <c r="K2141" s="3"/>
      <c r="L2141" s="39"/>
      <c r="N2141" s="3"/>
      <c r="O2141" s="3"/>
      <c r="P2141" s="39"/>
      <c r="R2141" s="39"/>
    </row>
    <row r="2142" spans="2:18" x14ac:dyDescent="0.2">
      <c r="B2142" s="1"/>
      <c r="C2142" s="2"/>
      <c r="D2142" s="38"/>
      <c r="F2142" s="1"/>
      <c r="G2142" s="2"/>
      <c r="H2142" s="38"/>
      <c r="J2142" s="3"/>
      <c r="K2142" s="3"/>
      <c r="L2142" s="39"/>
      <c r="N2142" s="3"/>
      <c r="O2142" s="3"/>
      <c r="P2142" s="39"/>
      <c r="R2142" s="39"/>
    </row>
    <row r="2143" spans="2:18" x14ac:dyDescent="0.2">
      <c r="B2143" s="1"/>
      <c r="C2143" s="2"/>
      <c r="D2143" s="38"/>
      <c r="F2143" s="1"/>
      <c r="G2143" s="2"/>
      <c r="H2143" s="38"/>
      <c r="J2143" s="3"/>
      <c r="K2143" s="3"/>
      <c r="L2143" s="39"/>
      <c r="N2143" s="3"/>
      <c r="O2143" s="3"/>
      <c r="P2143" s="39"/>
      <c r="R2143" s="39"/>
    </row>
    <row r="2144" spans="2:18" x14ac:dyDescent="0.2">
      <c r="B2144" s="1"/>
      <c r="C2144" s="2"/>
      <c r="D2144" s="38"/>
      <c r="F2144" s="1"/>
      <c r="G2144" s="2"/>
      <c r="H2144" s="38"/>
      <c r="J2144" s="3"/>
      <c r="K2144" s="3"/>
      <c r="L2144" s="39"/>
      <c r="N2144" s="3"/>
      <c r="O2144" s="3"/>
      <c r="P2144" s="39"/>
      <c r="R2144" s="39"/>
    </row>
    <row r="2145" spans="2:18" x14ac:dyDescent="0.2">
      <c r="B2145" s="1"/>
      <c r="C2145" s="2"/>
      <c r="D2145" s="38"/>
      <c r="F2145" s="1"/>
      <c r="G2145" s="2"/>
      <c r="H2145" s="38"/>
      <c r="J2145" s="3"/>
      <c r="K2145" s="3"/>
      <c r="L2145" s="39"/>
      <c r="N2145" s="3"/>
      <c r="O2145" s="3"/>
      <c r="P2145" s="39"/>
      <c r="R2145" s="39"/>
    </row>
    <row r="2146" spans="2:18" x14ac:dyDescent="0.2">
      <c r="B2146" s="1"/>
      <c r="C2146" s="2"/>
      <c r="D2146" s="38"/>
      <c r="F2146" s="1"/>
      <c r="G2146" s="2"/>
      <c r="H2146" s="38"/>
      <c r="J2146" s="3"/>
      <c r="K2146" s="3"/>
      <c r="L2146" s="39"/>
      <c r="N2146" s="3"/>
      <c r="O2146" s="3"/>
      <c r="P2146" s="39"/>
      <c r="R2146" s="39"/>
    </row>
    <row r="2147" spans="2:18" x14ac:dyDescent="0.2">
      <c r="B2147" s="1"/>
      <c r="C2147" s="2"/>
      <c r="D2147" s="38"/>
      <c r="F2147" s="1"/>
      <c r="G2147" s="2"/>
      <c r="H2147" s="38"/>
      <c r="J2147" s="3"/>
      <c r="K2147" s="3"/>
      <c r="L2147" s="39"/>
      <c r="N2147" s="3"/>
      <c r="O2147" s="3"/>
      <c r="P2147" s="39"/>
      <c r="R2147" s="39"/>
    </row>
    <row r="2148" spans="2:18" x14ac:dyDescent="0.2">
      <c r="B2148" s="1"/>
      <c r="C2148" s="2"/>
      <c r="D2148" s="38"/>
      <c r="F2148" s="1"/>
      <c r="G2148" s="2"/>
      <c r="H2148" s="38"/>
      <c r="J2148" s="3"/>
      <c r="K2148" s="3"/>
      <c r="L2148" s="39"/>
      <c r="N2148" s="3"/>
      <c r="O2148" s="3"/>
      <c r="P2148" s="39"/>
      <c r="R2148" s="39"/>
    </row>
    <row r="2149" spans="2:18" x14ac:dyDescent="0.2">
      <c r="B2149" s="1"/>
      <c r="C2149" s="2"/>
      <c r="D2149" s="38"/>
      <c r="F2149" s="1"/>
      <c r="G2149" s="2"/>
      <c r="H2149" s="38"/>
      <c r="J2149" s="3"/>
      <c r="K2149" s="3"/>
      <c r="L2149" s="39"/>
      <c r="N2149" s="3"/>
      <c r="O2149" s="3"/>
      <c r="P2149" s="39"/>
      <c r="R2149" s="39"/>
    </row>
    <row r="2150" spans="2:18" x14ac:dyDescent="0.2">
      <c r="B2150" s="1"/>
      <c r="C2150" s="2"/>
      <c r="D2150" s="38"/>
      <c r="F2150" s="1"/>
      <c r="G2150" s="2"/>
      <c r="H2150" s="38"/>
      <c r="J2150" s="3"/>
      <c r="K2150" s="3"/>
      <c r="L2150" s="39"/>
      <c r="N2150" s="3"/>
      <c r="O2150" s="3"/>
      <c r="P2150" s="39"/>
      <c r="R2150" s="39"/>
    </row>
    <row r="2151" spans="2:18" x14ac:dyDescent="0.2">
      <c r="B2151" s="1"/>
      <c r="C2151" s="2"/>
      <c r="D2151" s="38"/>
      <c r="F2151" s="1"/>
      <c r="G2151" s="2"/>
      <c r="H2151" s="38"/>
      <c r="J2151" s="3"/>
      <c r="K2151" s="3"/>
      <c r="L2151" s="39"/>
      <c r="N2151" s="3"/>
      <c r="O2151" s="3"/>
      <c r="P2151" s="39"/>
      <c r="R2151" s="39"/>
    </row>
    <row r="2152" spans="2:18" x14ac:dyDescent="0.2">
      <c r="B2152" s="1"/>
      <c r="C2152" s="2"/>
      <c r="D2152" s="38"/>
      <c r="F2152" s="1"/>
      <c r="G2152" s="2"/>
      <c r="H2152" s="38"/>
      <c r="J2152" s="3"/>
      <c r="K2152" s="3"/>
      <c r="L2152" s="39"/>
      <c r="N2152" s="3"/>
      <c r="O2152" s="3"/>
      <c r="P2152" s="39"/>
      <c r="R2152" s="39"/>
    </row>
    <row r="2153" spans="2:18" x14ac:dyDescent="0.2">
      <c r="B2153" s="1"/>
      <c r="C2153" s="2"/>
      <c r="D2153" s="38"/>
      <c r="F2153" s="1"/>
      <c r="G2153" s="2"/>
      <c r="H2153" s="38"/>
      <c r="J2153" s="3"/>
      <c r="K2153" s="3"/>
      <c r="L2153" s="39"/>
      <c r="N2153" s="3"/>
      <c r="O2153" s="3"/>
      <c r="P2153" s="39"/>
      <c r="R2153" s="39"/>
    </row>
    <row r="2154" spans="2:18" x14ac:dyDescent="0.2">
      <c r="B2154" s="1"/>
      <c r="C2154" s="2"/>
      <c r="D2154" s="38"/>
      <c r="F2154" s="1"/>
      <c r="G2154" s="2"/>
      <c r="H2154" s="38"/>
      <c r="J2154" s="3"/>
      <c r="K2154" s="3"/>
      <c r="L2154" s="39"/>
      <c r="N2154" s="3"/>
      <c r="O2154" s="3"/>
      <c r="P2154" s="39"/>
      <c r="R2154" s="39"/>
    </row>
    <row r="2155" spans="2:18" x14ac:dyDescent="0.2">
      <c r="B2155" s="1"/>
      <c r="C2155" s="2"/>
      <c r="D2155" s="38"/>
      <c r="F2155" s="1"/>
      <c r="G2155" s="2"/>
      <c r="H2155" s="38"/>
      <c r="J2155" s="3"/>
      <c r="K2155" s="3"/>
      <c r="L2155" s="39"/>
      <c r="N2155" s="3"/>
      <c r="O2155" s="3"/>
      <c r="P2155" s="39"/>
      <c r="R2155" s="39"/>
    </row>
    <row r="2156" spans="2:18" x14ac:dyDescent="0.2">
      <c r="B2156" s="1"/>
      <c r="C2156" s="2"/>
      <c r="D2156" s="38"/>
      <c r="F2156" s="1"/>
      <c r="G2156" s="2"/>
      <c r="H2156" s="38"/>
      <c r="J2156" s="3"/>
      <c r="K2156" s="3"/>
      <c r="L2156" s="39"/>
      <c r="N2156" s="3"/>
      <c r="O2156" s="3"/>
      <c r="P2156" s="39"/>
      <c r="R2156" s="39"/>
    </row>
    <row r="2157" spans="2:18" x14ac:dyDescent="0.2">
      <c r="B2157" s="1"/>
      <c r="C2157" s="2"/>
      <c r="D2157" s="38"/>
      <c r="F2157" s="1"/>
      <c r="G2157" s="2"/>
      <c r="H2157" s="38"/>
      <c r="J2157" s="3"/>
      <c r="K2157" s="3"/>
      <c r="L2157" s="39"/>
      <c r="N2157" s="3"/>
      <c r="O2157" s="3"/>
      <c r="P2157" s="39"/>
      <c r="R2157" s="39"/>
    </row>
    <row r="2158" spans="2:18" x14ac:dyDescent="0.2">
      <c r="B2158" s="1"/>
      <c r="C2158" s="2"/>
      <c r="D2158" s="38"/>
      <c r="F2158" s="1"/>
      <c r="G2158" s="2"/>
      <c r="H2158" s="38"/>
      <c r="J2158" s="3"/>
      <c r="K2158" s="3"/>
      <c r="L2158" s="39"/>
      <c r="N2158" s="3"/>
      <c r="O2158" s="3"/>
      <c r="P2158" s="39"/>
      <c r="R2158" s="39"/>
    </row>
    <row r="2159" spans="2:18" x14ac:dyDescent="0.2">
      <c r="B2159" s="1"/>
      <c r="C2159" s="2"/>
      <c r="D2159" s="38"/>
      <c r="F2159" s="1"/>
      <c r="G2159" s="2"/>
      <c r="H2159" s="38"/>
      <c r="J2159" s="3"/>
      <c r="K2159" s="3"/>
      <c r="L2159" s="39"/>
      <c r="N2159" s="3"/>
      <c r="O2159" s="3"/>
      <c r="P2159" s="39"/>
      <c r="R2159" s="39"/>
    </row>
    <row r="2160" spans="2:18" x14ac:dyDescent="0.2">
      <c r="B2160" s="1"/>
      <c r="C2160" s="2"/>
      <c r="D2160" s="38"/>
      <c r="F2160" s="1"/>
      <c r="G2160" s="2"/>
      <c r="H2160" s="38"/>
      <c r="J2160" s="3"/>
      <c r="K2160" s="3"/>
      <c r="L2160" s="39"/>
      <c r="N2160" s="3"/>
      <c r="O2160" s="3"/>
      <c r="P2160" s="39"/>
      <c r="R2160" s="39"/>
    </row>
    <row r="2161" spans="2:18" x14ac:dyDescent="0.2">
      <c r="B2161" s="1"/>
      <c r="C2161" s="2"/>
      <c r="D2161" s="38"/>
      <c r="F2161" s="1"/>
      <c r="G2161" s="2"/>
      <c r="H2161" s="38"/>
      <c r="J2161" s="3"/>
      <c r="K2161" s="3"/>
      <c r="L2161" s="39"/>
      <c r="N2161" s="3"/>
      <c r="O2161" s="3"/>
      <c r="P2161" s="39"/>
      <c r="R2161" s="39"/>
    </row>
    <row r="2162" spans="2:18" x14ac:dyDescent="0.2">
      <c r="B2162" s="1"/>
      <c r="C2162" s="2"/>
      <c r="D2162" s="38"/>
      <c r="F2162" s="1"/>
      <c r="G2162" s="2"/>
      <c r="H2162" s="38"/>
      <c r="J2162" s="3"/>
      <c r="K2162" s="3"/>
      <c r="L2162" s="39"/>
      <c r="N2162" s="3"/>
      <c r="O2162" s="3"/>
      <c r="P2162" s="39"/>
      <c r="R2162" s="39"/>
    </row>
    <row r="2163" spans="2:18" x14ac:dyDescent="0.2">
      <c r="B2163" s="1"/>
      <c r="C2163" s="2"/>
      <c r="D2163" s="38"/>
      <c r="F2163" s="1"/>
      <c r="G2163" s="2"/>
      <c r="H2163" s="38"/>
      <c r="J2163" s="3"/>
      <c r="K2163" s="3"/>
      <c r="L2163" s="39"/>
      <c r="N2163" s="3"/>
      <c r="O2163" s="3"/>
      <c r="P2163" s="39"/>
      <c r="R2163" s="39"/>
    </row>
    <row r="2164" spans="2:18" x14ac:dyDescent="0.2">
      <c r="B2164" s="1"/>
      <c r="C2164" s="2"/>
      <c r="D2164" s="38"/>
      <c r="F2164" s="1"/>
      <c r="G2164" s="2"/>
      <c r="H2164" s="38"/>
      <c r="J2164" s="3"/>
      <c r="K2164" s="3"/>
      <c r="L2164" s="39"/>
      <c r="N2164" s="3"/>
      <c r="O2164" s="3"/>
      <c r="P2164" s="39"/>
      <c r="R2164" s="39"/>
    </row>
    <row r="2165" spans="2:18" x14ac:dyDescent="0.2">
      <c r="B2165" s="1"/>
      <c r="C2165" s="2"/>
      <c r="D2165" s="38"/>
      <c r="F2165" s="1"/>
      <c r="G2165" s="2"/>
      <c r="H2165" s="38"/>
      <c r="J2165" s="3"/>
      <c r="K2165" s="3"/>
      <c r="L2165" s="39"/>
      <c r="N2165" s="3"/>
      <c r="O2165" s="3"/>
      <c r="P2165" s="39"/>
      <c r="R2165" s="39"/>
    </row>
    <row r="2166" spans="2:18" x14ac:dyDescent="0.2">
      <c r="B2166" s="1"/>
      <c r="C2166" s="2"/>
      <c r="D2166" s="38"/>
      <c r="F2166" s="1"/>
      <c r="G2166" s="2"/>
      <c r="H2166" s="38"/>
      <c r="J2166" s="3"/>
      <c r="K2166" s="3"/>
      <c r="L2166" s="39"/>
      <c r="N2166" s="3"/>
      <c r="O2166" s="3"/>
      <c r="P2166" s="39"/>
      <c r="R2166" s="39"/>
    </row>
    <row r="2167" spans="2:18" x14ac:dyDescent="0.2">
      <c r="B2167" s="1"/>
      <c r="C2167" s="2"/>
      <c r="D2167" s="38"/>
      <c r="F2167" s="1"/>
      <c r="G2167" s="2"/>
      <c r="H2167" s="38"/>
      <c r="J2167" s="3"/>
      <c r="K2167" s="3"/>
      <c r="L2167" s="39"/>
      <c r="N2167" s="3"/>
      <c r="O2167" s="3"/>
      <c r="P2167" s="39"/>
      <c r="R2167" s="39"/>
    </row>
    <row r="2168" spans="2:18" x14ac:dyDescent="0.2">
      <c r="B2168" s="1"/>
      <c r="C2168" s="2"/>
      <c r="D2168" s="38"/>
      <c r="F2168" s="1"/>
      <c r="G2168" s="2"/>
      <c r="H2168" s="38"/>
      <c r="J2168" s="3"/>
      <c r="K2168" s="3"/>
      <c r="L2168" s="39"/>
      <c r="N2168" s="3"/>
      <c r="O2168" s="3"/>
      <c r="P2168" s="39"/>
      <c r="R2168" s="39"/>
    </row>
    <row r="2169" spans="2:18" x14ac:dyDescent="0.2">
      <c r="B2169" s="1"/>
      <c r="C2169" s="2"/>
      <c r="D2169" s="38"/>
      <c r="F2169" s="1"/>
      <c r="G2169" s="2"/>
      <c r="H2169" s="38"/>
      <c r="J2169" s="3"/>
      <c r="K2169" s="3"/>
      <c r="L2169" s="39"/>
      <c r="N2169" s="3"/>
      <c r="O2169" s="3"/>
      <c r="P2169" s="39"/>
      <c r="R2169" s="39"/>
    </row>
    <row r="2170" spans="2:18" x14ac:dyDescent="0.2">
      <c r="B2170" s="1"/>
      <c r="C2170" s="2"/>
      <c r="D2170" s="38"/>
      <c r="F2170" s="1"/>
      <c r="G2170" s="2"/>
      <c r="H2170" s="38"/>
      <c r="J2170" s="3"/>
      <c r="K2170" s="3"/>
      <c r="L2170" s="39"/>
      <c r="N2170" s="3"/>
      <c r="O2170" s="3"/>
      <c r="P2170" s="39"/>
      <c r="R2170" s="39"/>
    </row>
    <row r="2171" spans="2:18" x14ac:dyDescent="0.2">
      <c r="B2171" s="1"/>
      <c r="C2171" s="2"/>
      <c r="D2171" s="38"/>
      <c r="F2171" s="1"/>
      <c r="G2171" s="2"/>
      <c r="H2171" s="38"/>
      <c r="J2171" s="3"/>
      <c r="K2171" s="3"/>
      <c r="L2171" s="39"/>
      <c r="N2171" s="3"/>
      <c r="O2171" s="3"/>
      <c r="P2171" s="39"/>
      <c r="R2171" s="39"/>
    </row>
    <row r="2172" spans="2:18" x14ac:dyDescent="0.2">
      <c r="B2172" s="1"/>
      <c r="C2172" s="2"/>
      <c r="D2172" s="38"/>
      <c r="F2172" s="1"/>
      <c r="G2172" s="2"/>
      <c r="H2172" s="38"/>
      <c r="J2172" s="3"/>
      <c r="K2172" s="3"/>
      <c r="L2172" s="39"/>
      <c r="N2172" s="3"/>
      <c r="O2172" s="3"/>
      <c r="P2172" s="39"/>
      <c r="R2172" s="39"/>
    </row>
    <row r="2173" spans="2:18" x14ac:dyDescent="0.2">
      <c r="B2173" s="1"/>
      <c r="C2173" s="2"/>
      <c r="D2173" s="38"/>
      <c r="F2173" s="1"/>
      <c r="G2173" s="2"/>
      <c r="H2173" s="38"/>
      <c r="J2173" s="3"/>
      <c r="K2173" s="3"/>
      <c r="L2173" s="39"/>
      <c r="N2173" s="3"/>
      <c r="O2173" s="3"/>
      <c r="P2173" s="39"/>
      <c r="R2173" s="39"/>
    </row>
    <row r="2174" spans="2:18" x14ac:dyDescent="0.2">
      <c r="B2174" s="1"/>
      <c r="C2174" s="2"/>
      <c r="D2174" s="38"/>
      <c r="F2174" s="1"/>
      <c r="G2174" s="2"/>
      <c r="H2174" s="38"/>
      <c r="J2174" s="3"/>
      <c r="K2174" s="3"/>
      <c r="L2174" s="39"/>
      <c r="N2174" s="3"/>
      <c r="O2174" s="3"/>
      <c r="P2174" s="39"/>
      <c r="R2174" s="39"/>
    </row>
    <row r="2175" spans="2:18" x14ac:dyDescent="0.2">
      <c r="B2175" s="1"/>
      <c r="C2175" s="2"/>
      <c r="D2175" s="38"/>
      <c r="F2175" s="1"/>
      <c r="G2175" s="2"/>
      <c r="H2175" s="38"/>
      <c r="J2175" s="3"/>
      <c r="K2175" s="3"/>
      <c r="L2175" s="39"/>
      <c r="N2175" s="3"/>
      <c r="O2175" s="3"/>
      <c r="P2175" s="39"/>
      <c r="R2175" s="39"/>
    </row>
    <row r="2176" spans="2:18" x14ac:dyDescent="0.2">
      <c r="B2176" s="1"/>
      <c r="C2176" s="2"/>
      <c r="D2176" s="38"/>
      <c r="F2176" s="1"/>
      <c r="G2176" s="2"/>
      <c r="H2176" s="38"/>
      <c r="J2176" s="3"/>
      <c r="K2176" s="3"/>
      <c r="L2176" s="39"/>
      <c r="N2176" s="3"/>
      <c r="O2176" s="3"/>
      <c r="P2176" s="39"/>
      <c r="R2176" s="39"/>
    </row>
    <row r="2177" spans="2:18" x14ac:dyDescent="0.2">
      <c r="B2177" s="1"/>
      <c r="C2177" s="2"/>
      <c r="D2177" s="38"/>
      <c r="F2177" s="1"/>
      <c r="G2177" s="2"/>
      <c r="H2177" s="38"/>
      <c r="J2177" s="3"/>
      <c r="K2177" s="3"/>
      <c r="L2177" s="39"/>
      <c r="N2177" s="3"/>
      <c r="O2177" s="3"/>
      <c r="P2177" s="39"/>
      <c r="R2177" s="39"/>
    </row>
    <row r="2178" spans="2:18" x14ac:dyDescent="0.2">
      <c r="B2178" s="1"/>
      <c r="C2178" s="2"/>
      <c r="D2178" s="38"/>
      <c r="F2178" s="1"/>
      <c r="G2178" s="2"/>
      <c r="H2178" s="38"/>
      <c r="J2178" s="3"/>
      <c r="K2178" s="3"/>
      <c r="L2178" s="39"/>
      <c r="N2178" s="3"/>
      <c r="O2178" s="3"/>
      <c r="P2178" s="39"/>
      <c r="R2178" s="39"/>
    </row>
    <row r="2179" spans="2:18" x14ac:dyDescent="0.2">
      <c r="B2179" s="1"/>
      <c r="C2179" s="2"/>
      <c r="D2179" s="38"/>
      <c r="F2179" s="1"/>
      <c r="G2179" s="2"/>
      <c r="H2179" s="38"/>
      <c r="J2179" s="3"/>
      <c r="K2179" s="3"/>
      <c r="L2179" s="39"/>
      <c r="N2179" s="3"/>
      <c r="O2179" s="3"/>
      <c r="P2179" s="39"/>
      <c r="R2179" s="39"/>
    </row>
    <row r="2180" spans="2:18" x14ac:dyDescent="0.2">
      <c r="B2180" s="1"/>
      <c r="C2180" s="2"/>
      <c r="D2180" s="38"/>
      <c r="F2180" s="1"/>
      <c r="G2180" s="2"/>
      <c r="H2180" s="38"/>
      <c r="J2180" s="3"/>
      <c r="K2180" s="3"/>
      <c r="L2180" s="39"/>
      <c r="N2180" s="3"/>
      <c r="O2180" s="3"/>
      <c r="P2180" s="39"/>
      <c r="R2180" s="39"/>
    </row>
    <row r="2181" spans="2:18" x14ac:dyDescent="0.2">
      <c r="B2181" s="1"/>
      <c r="C2181" s="2"/>
      <c r="D2181" s="38"/>
      <c r="F2181" s="1"/>
      <c r="G2181" s="2"/>
      <c r="H2181" s="38"/>
      <c r="J2181" s="3"/>
      <c r="K2181" s="3"/>
      <c r="L2181" s="39"/>
      <c r="N2181" s="3"/>
      <c r="O2181" s="3"/>
      <c r="P2181" s="39"/>
      <c r="R2181" s="39"/>
    </row>
    <row r="2182" spans="2:18" x14ac:dyDescent="0.2">
      <c r="B2182" s="1"/>
      <c r="C2182" s="2"/>
      <c r="D2182" s="38"/>
      <c r="F2182" s="1"/>
      <c r="G2182" s="2"/>
      <c r="H2182" s="38"/>
      <c r="J2182" s="3"/>
      <c r="K2182" s="3"/>
      <c r="L2182" s="39"/>
      <c r="N2182" s="3"/>
      <c r="O2182" s="3"/>
      <c r="P2182" s="39"/>
      <c r="R2182" s="39"/>
    </row>
    <row r="2183" spans="2:18" x14ac:dyDescent="0.2">
      <c r="B2183" s="1"/>
      <c r="C2183" s="2"/>
      <c r="D2183" s="38"/>
      <c r="F2183" s="1"/>
      <c r="G2183" s="2"/>
      <c r="H2183" s="38"/>
      <c r="J2183" s="3"/>
      <c r="K2183" s="3"/>
      <c r="L2183" s="39"/>
      <c r="N2183" s="3"/>
      <c r="O2183" s="3"/>
      <c r="P2183" s="39"/>
      <c r="R2183" s="39"/>
    </row>
    <row r="2184" spans="2:18" x14ac:dyDescent="0.2">
      <c r="B2184" s="1"/>
      <c r="C2184" s="2"/>
      <c r="D2184" s="38"/>
      <c r="F2184" s="1"/>
      <c r="G2184" s="2"/>
      <c r="H2184" s="38"/>
      <c r="J2184" s="3"/>
      <c r="K2184" s="3"/>
      <c r="L2184" s="39"/>
      <c r="N2184" s="3"/>
      <c r="O2184" s="3"/>
      <c r="P2184" s="39"/>
      <c r="R2184" s="39"/>
    </row>
    <row r="2185" spans="2:18" x14ac:dyDescent="0.2">
      <c r="B2185" s="1"/>
      <c r="C2185" s="2"/>
      <c r="D2185" s="38"/>
      <c r="F2185" s="1"/>
      <c r="G2185" s="2"/>
      <c r="H2185" s="38"/>
      <c r="J2185" s="3"/>
      <c r="K2185" s="3"/>
      <c r="L2185" s="39"/>
      <c r="N2185" s="3"/>
      <c r="O2185" s="3"/>
      <c r="P2185" s="39"/>
      <c r="R2185" s="39"/>
    </row>
    <row r="2186" spans="2:18" x14ac:dyDescent="0.2">
      <c r="B2186" s="1"/>
      <c r="C2186" s="2"/>
      <c r="D2186" s="38"/>
      <c r="F2186" s="1"/>
      <c r="G2186" s="2"/>
      <c r="H2186" s="38"/>
      <c r="J2186" s="3"/>
      <c r="K2186" s="3"/>
      <c r="L2186" s="39"/>
      <c r="N2186" s="3"/>
      <c r="O2186" s="3"/>
      <c r="P2186" s="39"/>
      <c r="R2186" s="39"/>
    </row>
    <row r="2187" spans="2:18" x14ac:dyDescent="0.2">
      <c r="B2187" s="1"/>
      <c r="C2187" s="2"/>
      <c r="D2187" s="38"/>
      <c r="F2187" s="1"/>
      <c r="G2187" s="2"/>
      <c r="H2187" s="38"/>
      <c r="J2187" s="3"/>
      <c r="K2187" s="3"/>
      <c r="L2187" s="39"/>
      <c r="N2187" s="3"/>
      <c r="O2187" s="3"/>
      <c r="P2187" s="39"/>
      <c r="R2187" s="39"/>
    </row>
    <row r="2188" spans="2:18" x14ac:dyDescent="0.2">
      <c r="B2188" s="1"/>
      <c r="C2188" s="2"/>
      <c r="D2188" s="38"/>
      <c r="F2188" s="1"/>
      <c r="G2188" s="2"/>
      <c r="H2188" s="38"/>
      <c r="J2188" s="3"/>
      <c r="K2188" s="3"/>
      <c r="L2188" s="39"/>
      <c r="N2188" s="3"/>
      <c r="O2188" s="3"/>
      <c r="P2188" s="39"/>
      <c r="R2188" s="39"/>
    </row>
    <row r="2189" spans="2:18" x14ac:dyDescent="0.2">
      <c r="B2189" s="1"/>
      <c r="C2189" s="2"/>
      <c r="D2189" s="38"/>
      <c r="F2189" s="1"/>
      <c r="G2189" s="2"/>
      <c r="H2189" s="38"/>
      <c r="J2189" s="3"/>
      <c r="K2189" s="3"/>
      <c r="L2189" s="39"/>
      <c r="N2189" s="3"/>
      <c r="O2189" s="3"/>
      <c r="P2189" s="39"/>
      <c r="R2189" s="39"/>
    </row>
    <row r="2190" spans="2:18" x14ac:dyDescent="0.2">
      <c r="B2190" s="1"/>
      <c r="C2190" s="2"/>
      <c r="D2190" s="38"/>
      <c r="F2190" s="1"/>
      <c r="G2190" s="2"/>
      <c r="H2190" s="38"/>
      <c r="J2190" s="3"/>
      <c r="K2190" s="3"/>
      <c r="L2190" s="39"/>
      <c r="N2190" s="3"/>
      <c r="O2190" s="3"/>
      <c r="P2190" s="39"/>
      <c r="R2190" s="39"/>
    </row>
    <row r="2191" spans="2:18" x14ac:dyDescent="0.2">
      <c r="B2191" s="1"/>
      <c r="C2191" s="2"/>
      <c r="D2191" s="38"/>
      <c r="F2191" s="1"/>
      <c r="G2191" s="2"/>
      <c r="H2191" s="38"/>
      <c r="J2191" s="3"/>
      <c r="K2191" s="3"/>
      <c r="L2191" s="39"/>
      <c r="N2191" s="3"/>
      <c r="O2191" s="3"/>
      <c r="P2191" s="39"/>
      <c r="R2191" s="39"/>
    </row>
    <row r="2192" spans="2:18" x14ac:dyDescent="0.2">
      <c r="B2192" s="1"/>
      <c r="C2192" s="2"/>
      <c r="D2192" s="38"/>
      <c r="F2192" s="1"/>
      <c r="G2192" s="2"/>
      <c r="H2192" s="38"/>
      <c r="J2192" s="3"/>
      <c r="K2192" s="3"/>
      <c r="L2192" s="39"/>
      <c r="N2192" s="3"/>
      <c r="O2192" s="3"/>
      <c r="P2192" s="39"/>
      <c r="R2192" s="39"/>
    </row>
    <row r="2193" spans="2:18" x14ac:dyDescent="0.2">
      <c r="B2193" s="1"/>
      <c r="C2193" s="2"/>
      <c r="D2193" s="38"/>
      <c r="F2193" s="1"/>
      <c r="G2193" s="2"/>
      <c r="H2193" s="38"/>
      <c r="J2193" s="3"/>
      <c r="K2193" s="3"/>
      <c r="L2193" s="39"/>
      <c r="N2193" s="3"/>
      <c r="O2193" s="3"/>
      <c r="P2193" s="39"/>
      <c r="R2193" s="39"/>
    </row>
    <row r="2194" spans="2:18" x14ac:dyDescent="0.2">
      <c r="B2194" s="1"/>
      <c r="C2194" s="2"/>
      <c r="D2194" s="38"/>
      <c r="F2194" s="1"/>
      <c r="G2194" s="2"/>
      <c r="H2194" s="38"/>
      <c r="J2194" s="3"/>
      <c r="K2194" s="3"/>
      <c r="L2194" s="39"/>
      <c r="N2194" s="3"/>
      <c r="O2194" s="3"/>
      <c r="P2194" s="39"/>
      <c r="R2194" s="39"/>
    </row>
    <row r="2195" spans="2:18" x14ac:dyDescent="0.2">
      <c r="B2195" s="1"/>
      <c r="C2195" s="2"/>
      <c r="D2195" s="38"/>
      <c r="F2195" s="1"/>
      <c r="G2195" s="2"/>
      <c r="H2195" s="38"/>
      <c r="J2195" s="3"/>
      <c r="K2195" s="3"/>
      <c r="L2195" s="39"/>
      <c r="N2195" s="3"/>
      <c r="O2195" s="3"/>
      <c r="P2195" s="39"/>
      <c r="R2195" s="39"/>
    </row>
    <row r="2196" spans="2:18" x14ac:dyDescent="0.2">
      <c r="B2196" s="1"/>
      <c r="C2196" s="2"/>
      <c r="D2196" s="38"/>
      <c r="F2196" s="1"/>
      <c r="G2196" s="2"/>
      <c r="H2196" s="38"/>
      <c r="J2196" s="3"/>
      <c r="K2196" s="3"/>
      <c r="L2196" s="39"/>
      <c r="N2196" s="3"/>
      <c r="O2196" s="3"/>
      <c r="P2196" s="39"/>
      <c r="R2196" s="39"/>
    </row>
    <row r="2197" spans="2:18" x14ac:dyDescent="0.2">
      <c r="B2197" s="1"/>
      <c r="C2197" s="2"/>
      <c r="D2197" s="38"/>
      <c r="F2197" s="1"/>
      <c r="G2197" s="2"/>
      <c r="H2197" s="38"/>
      <c r="J2197" s="3"/>
      <c r="K2197" s="3"/>
      <c r="L2197" s="39"/>
      <c r="N2197" s="3"/>
      <c r="O2197" s="3"/>
      <c r="P2197" s="39"/>
      <c r="R2197" s="39"/>
    </row>
    <row r="2198" spans="2:18" x14ac:dyDescent="0.2">
      <c r="B2198" s="1"/>
      <c r="C2198" s="2"/>
      <c r="D2198" s="38"/>
      <c r="F2198" s="1"/>
      <c r="G2198" s="2"/>
      <c r="H2198" s="38"/>
      <c r="J2198" s="3"/>
      <c r="K2198" s="3"/>
      <c r="L2198" s="39"/>
      <c r="N2198" s="3"/>
      <c r="O2198" s="3"/>
      <c r="P2198" s="39"/>
      <c r="R2198" s="39"/>
    </row>
    <row r="2199" spans="2:18" x14ac:dyDescent="0.2">
      <c r="B2199" s="1"/>
      <c r="C2199" s="2"/>
      <c r="D2199" s="38"/>
      <c r="F2199" s="1"/>
      <c r="G2199" s="2"/>
      <c r="H2199" s="38"/>
      <c r="J2199" s="3"/>
      <c r="K2199" s="3"/>
      <c r="L2199" s="39"/>
      <c r="N2199" s="3"/>
      <c r="O2199" s="3"/>
      <c r="P2199" s="39"/>
      <c r="R2199" s="39"/>
    </row>
    <row r="2200" spans="2:18" x14ac:dyDescent="0.2">
      <c r="B2200" s="1"/>
      <c r="C2200" s="2"/>
      <c r="D2200" s="38"/>
      <c r="F2200" s="1"/>
      <c r="G2200" s="2"/>
      <c r="H2200" s="38"/>
      <c r="J2200" s="3"/>
      <c r="K2200" s="3"/>
      <c r="L2200" s="39"/>
      <c r="N2200" s="3"/>
      <c r="O2200" s="3"/>
      <c r="P2200" s="39"/>
      <c r="R2200" s="39"/>
    </row>
    <row r="2201" spans="2:18" x14ac:dyDescent="0.2">
      <c r="B2201" s="1"/>
      <c r="C2201" s="2"/>
      <c r="D2201" s="38"/>
      <c r="F2201" s="1"/>
      <c r="G2201" s="2"/>
      <c r="H2201" s="38"/>
      <c r="J2201" s="3"/>
      <c r="K2201" s="3"/>
      <c r="L2201" s="39"/>
      <c r="N2201" s="3"/>
      <c r="O2201" s="3"/>
      <c r="P2201" s="39"/>
      <c r="R2201" s="39"/>
    </row>
    <row r="2202" spans="2:18" x14ac:dyDescent="0.2">
      <c r="B2202" s="1"/>
      <c r="C2202" s="2"/>
      <c r="D2202" s="38"/>
      <c r="F2202" s="1"/>
      <c r="G2202" s="2"/>
      <c r="H2202" s="38"/>
      <c r="J2202" s="3"/>
      <c r="K2202" s="3"/>
      <c r="L2202" s="39"/>
      <c r="N2202" s="3"/>
      <c r="O2202" s="3"/>
      <c r="P2202" s="39"/>
      <c r="R2202" s="39"/>
    </row>
    <row r="2203" spans="2:18" x14ac:dyDescent="0.2">
      <c r="B2203" s="1"/>
      <c r="C2203" s="2"/>
      <c r="D2203" s="38"/>
      <c r="F2203" s="1"/>
      <c r="G2203" s="2"/>
      <c r="H2203" s="38"/>
      <c r="J2203" s="3"/>
      <c r="K2203" s="3"/>
      <c r="L2203" s="39"/>
      <c r="N2203" s="3"/>
      <c r="O2203" s="3"/>
      <c r="P2203" s="39"/>
      <c r="R2203" s="39"/>
    </row>
    <row r="2204" spans="2:18" x14ac:dyDescent="0.2">
      <c r="B2204" s="1"/>
      <c r="C2204" s="2"/>
      <c r="D2204" s="38"/>
      <c r="F2204" s="1"/>
      <c r="G2204" s="2"/>
      <c r="H2204" s="38"/>
      <c r="J2204" s="3"/>
      <c r="K2204" s="3"/>
      <c r="L2204" s="39"/>
      <c r="N2204" s="3"/>
      <c r="O2204" s="3"/>
      <c r="P2204" s="39"/>
      <c r="R2204" s="39"/>
    </row>
    <row r="2205" spans="2:18" x14ac:dyDescent="0.2">
      <c r="B2205" s="1"/>
      <c r="C2205" s="2"/>
      <c r="D2205" s="38"/>
      <c r="F2205" s="1"/>
      <c r="G2205" s="2"/>
      <c r="H2205" s="38"/>
      <c r="J2205" s="3"/>
      <c r="K2205" s="3"/>
      <c r="L2205" s="39"/>
      <c r="N2205" s="3"/>
      <c r="O2205" s="3"/>
      <c r="P2205" s="39"/>
      <c r="R2205" s="39"/>
    </row>
    <row r="2206" spans="2:18" x14ac:dyDescent="0.2">
      <c r="B2206" s="1"/>
      <c r="C2206" s="2"/>
      <c r="D2206" s="38"/>
      <c r="F2206" s="1"/>
      <c r="G2206" s="2"/>
      <c r="H2206" s="38"/>
      <c r="J2206" s="3"/>
      <c r="K2206" s="3"/>
      <c r="L2206" s="39"/>
      <c r="N2206" s="3"/>
      <c r="O2206" s="3"/>
      <c r="P2206" s="39"/>
      <c r="R2206" s="39"/>
    </row>
    <row r="2207" spans="2:18" x14ac:dyDescent="0.2">
      <c r="B2207" s="1"/>
      <c r="C2207" s="2"/>
      <c r="D2207" s="38"/>
      <c r="F2207" s="1"/>
      <c r="G2207" s="2"/>
      <c r="H2207" s="38"/>
      <c r="J2207" s="3"/>
      <c r="K2207" s="3"/>
      <c r="L2207" s="39"/>
      <c r="N2207" s="3"/>
      <c r="O2207" s="3"/>
      <c r="P2207" s="39"/>
      <c r="R2207" s="39"/>
    </row>
    <row r="2208" spans="2:18" x14ac:dyDescent="0.2">
      <c r="B2208" s="1"/>
      <c r="C2208" s="2"/>
      <c r="D2208" s="38"/>
      <c r="F2208" s="1"/>
      <c r="G2208" s="2"/>
      <c r="H2208" s="38"/>
      <c r="J2208" s="3"/>
      <c r="K2208" s="3"/>
      <c r="L2208" s="39"/>
      <c r="N2208" s="3"/>
      <c r="O2208" s="3"/>
      <c r="P2208" s="39"/>
      <c r="R2208" s="39"/>
    </row>
    <row r="2209" spans="2:18" x14ac:dyDescent="0.2">
      <c r="B2209" s="1"/>
      <c r="C2209" s="2"/>
      <c r="D2209" s="38"/>
      <c r="F2209" s="1"/>
      <c r="G2209" s="2"/>
      <c r="H2209" s="38"/>
      <c r="J2209" s="3"/>
      <c r="K2209" s="3"/>
      <c r="L2209" s="39"/>
      <c r="N2209" s="3"/>
      <c r="O2209" s="3"/>
      <c r="P2209" s="39"/>
      <c r="R2209" s="39"/>
    </row>
    <row r="2210" spans="2:18" x14ac:dyDescent="0.2">
      <c r="B2210" s="1"/>
      <c r="C2210" s="2"/>
      <c r="D2210" s="38"/>
      <c r="F2210" s="1"/>
      <c r="G2210" s="2"/>
      <c r="H2210" s="38"/>
      <c r="J2210" s="3"/>
      <c r="K2210" s="3"/>
      <c r="L2210" s="39"/>
      <c r="N2210" s="3"/>
      <c r="O2210" s="3"/>
      <c r="P2210" s="39"/>
      <c r="R2210" s="39"/>
    </row>
    <row r="2211" spans="2:18" x14ac:dyDescent="0.2">
      <c r="B2211" s="1"/>
      <c r="C2211" s="2"/>
      <c r="D2211" s="38"/>
      <c r="F2211" s="1"/>
      <c r="G2211" s="2"/>
      <c r="H2211" s="38"/>
      <c r="J2211" s="3"/>
      <c r="K2211" s="3"/>
      <c r="L2211" s="39"/>
      <c r="N2211" s="3"/>
      <c r="O2211" s="3"/>
      <c r="P2211" s="39"/>
      <c r="R2211" s="39"/>
    </row>
    <row r="2212" spans="2:18" x14ac:dyDescent="0.2">
      <c r="B2212" s="1"/>
      <c r="C2212" s="2"/>
      <c r="D2212" s="38"/>
      <c r="F2212" s="1"/>
      <c r="G2212" s="2"/>
      <c r="H2212" s="38"/>
      <c r="J2212" s="3"/>
      <c r="K2212" s="3"/>
      <c r="L2212" s="39"/>
      <c r="N2212" s="3"/>
      <c r="O2212" s="3"/>
      <c r="P2212" s="39"/>
      <c r="R2212" s="39"/>
    </row>
    <row r="2213" spans="2:18" x14ac:dyDescent="0.2">
      <c r="B2213" s="1"/>
      <c r="C2213" s="2"/>
      <c r="D2213" s="38"/>
      <c r="F2213" s="1"/>
      <c r="G2213" s="2"/>
      <c r="H2213" s="38"/>
      <c r="J2213" s="3"/>
      <c r="K2213" s="3"/>
      <c r="L2213" s="39"/>
      <c r="N2213" s="3"/>
      <c r="O2213" s="3"/>
      <c r="P2213" s="39"/>
      <c r="R2213" s="39"/>
    </row>
    <row r="2214" spans="2:18" x14ac:dyDescent="0.2">
      <c r="B2214" s="1"/>
      <c r="C2214" s="2"/>
      <c r="D2214" s="38"/>
      <c r="F2214" s="1"/>
      <c r="G2214" s="2"/>
      <c r="H2214" s="38"/>
      <c r="J2214" s="3"/>
      <c r="K2214" s="3"/>
      <c r="L2214" s="39"/>
      <c r="N2214" s="3"/>
      <c r="O2214" s="3"/>
      <c r="P2214" s="39"/>
      <c r="R2214" s="39"/>
    </row>
    <row r="2215" spans="2:18" x14ac:dyDescent="0.2">
      <c r="B2215" s="1"/>
      <c r="C2215" s="2"/>
      <c r="D2215" s="38"/>
      <c r="F2215" s="1"/>
      <c r="G2215" s="2"/>
      <c r="H2215" s="38"/>
      <c r="J2215" s="3"/>
      <c r="K2215" s="3"/>
      <c r="L2215" s="39"/>
      <c r="N2215" s="3"/>
      <c r="O2215" s="3"/>
      <c r="P2215" s="39"/>
      <c r="R2215" s="39"/>
    </row>
    <row r="2216" spans="2:18" x14ac:dyDescent="0.2">
      <c r="B2216" s="1"/>
      <c r="C2216" s="2"/>
      <c r="D2216" s="38"/>
      <c r="F2216" s="1"/>
      <c r="G2216" s="2"/>
      <c r="H2216" s="38"/>
      <c r="J2216" s="3"/>
      <c r="K2216" s="3"/>
      <c r="L2216" s="39"/>
      <c r="N2216" s="3"/>
      <c r="O2216" s="3"/>
      <c r="P2216" s="39"/>
      <c r="R2216" s="39"/>
    </row>
    <row r="2217" spans="2:18" x14ac:dyDescent="0.2">
      <c r="B2217" s="1"/>
      <c r="C2217" s="2"/>
      <c r="D2217" s="38"/>
      <c r="F2217" s="1"/>
      <c r="G2217" s="2"/>
      <c r="H2217" s="38"/>
      <c r="J2217" s="3"/>
      <c r="K2217" s="3"/>
      <c r="L2217" s="39"/>
      <c r="N2217" s="3"/>
      <c r="O2217" s="3"/>
      <c r="P2217" s="39"/>
      <c r="R2217" s="39"/>
    </row>
    <row r="2218" spans="2:18" x14ac:dyDescent="0.2">
      <c r="B2218" s="1"/>
      <c r="C2218" s="2"/>
      <c r="D2218" s="38"/>
      <c r="F2218" s="1"/>
      <c r="G2218" s="2"/>
      <c r="H2218" s="38"/>
      <c r="J2218" s="3"/>
      <c r="K2218" s="3"/>
      <c r="L2218" s="39"/>
      <c r="N2218" s="3"/>
      <c r="O2218" s="3"/>
      <c r="P2218" s="39"/>
      <c r="R2218" s="39"/>
    </row>
    <row r="2219" spans="2:18" x14ac:dyDescent="0.2">
      <c r="B2219" s="1"/>
      <c r="C2219" s="2"/>
      <c r="D2219" s="38"/>
      <c r="F2219" s="1"/>
      <c r="G2219" s="2"/>
      <c r="H2219" s="38"/>
      <c r="J2219" s="3"/>
      <c r="K2219" s="3"/>
      <c r="L2219" s="39"/>
      <c r="N2219" s="3"/>
      <c r="O2219" s="3"/>
      <c r="P2219" s="39"/>
      <c r="R2219" s="39"/>
    </row>
    <row r="2220" spans="2:18" x14ac:dyDescent="0.2">
      <c r="B2220" s="1"/>
      <c r="C2220" s="2"/>
      <c r="D2220" s="38"/>
      <c r="F2220" s="1"/>
      <c r="G2220" s="2"/>
      <c r="H2220" s="38"/>
      <c r="J2220" s="3"/>
      <c r="K2220" s="3"/>
      <c r="L2220" s="39"/>
      <c r="N2220" s="3"/>
      <c r="O2220" s="3"/>
      <c r="P2220" s="39"/>
      <c r="R2220" s="39"/>
    </row>
    <row r="2221" spans="2:18" x14ac:dyDescent="0.2">
      <c r="B2221" s="1"/>
      <c r="C2221" s="2"/>
      <c r="D2221" s="38"/>
      <c r="F2221" s="1"/>
      <c r="G2221" s="2"/>
      <c r="H2221" s="38"/>
      <c r="J2221" s="3"/>
      <c r="K2221" s="3"/>
      <c r="L2221" s="39"/>
      <c r="N2221" s="3"/>
      <c r="O2221" s="3"/>
      <c r="P2221" s="39"/>
      <c r="R2221" s="39"/>
    </row>
    <row r="2222" spans="2:18" x14ac:dyDescent="0.2">
      <c r="B2222" s="1"/>
      <c r="C2222" s="2"/>
      <c r="D2222" s="38"/>
      <c r="F2222" s="1"/>
      <c r="G2222" s="2"/>
      <c r="H2222" s="38"/>
      <c r="J2222" s="3"/>
      <c r="K2222" s="3"/>
      <c r="L2222" s="39"/>
      <c r="N2222" s="3"/>
      <c r="O2222" s="3"/>
      <c r="P2222" s="39"/>
      <c r="R2222" s="39"/>
    </row>
    <row r="2223" spans="2:18" x14ac:dyDescent="0.2">
      <c r="B2223" s="1"/>
      <c r="C2223" s="2"/>
      <c r="D2223" s="38"/>
      <c r="F2223" s="1"/>
      <c r="G2223" s="2"/>
      <c r="H2223" s="38"/>
      <c r="J2223" s="3"/>
      <c r="K2223" s="3"/>
      <c r="L2223" s="39"/>
      <c r="N2223" s="3"/>
      <c r="O2223" s="3"/>
      <c r="P2223" s="39"/>
      <c r="R2223" s="39"/>
    </row>
    <row r="2224" spans="2:18" x14ac:dyDescent="0.2">
      <c r="B2224" s="1"/>
      <c r="C2224" s="2"/>
      <c r="D2224" s="38"/>
      <c r="F2224" s="1"/>
      <c r="G2224" s="2"/>
      <c r="H2224" s="38"/>
      <c r="J2224" s="3"/>
      <c r="K2224" s="3"/>
      <c r="L2224" s="39"/>
      <c r="N2224" s="3"/>
      <c r="O2224" s="3"/>
      <c r="P2224" s="39"/>
      <c r="R2224" s="39"/>
    </row>
    <row r="2225" spans="2:18" x14ac:dyDescent="0.2">
      <c r="B2225" s="1"/>
      <c r="C2225" s="2"/>
      <c r="D2225" s="38"/>
      <c r="F2225" s="1"/>
      <c r="G2225" s="2"/>
      <c r="H2225" s="38"/>
      <c r="J2225" s="3"/>
      <c r="K2225" s="3"/>
      <c r="L2225" s="39"/>
      <c r="N2225" s="3"/>
      <c r="O2225" s="3"/>
      <c r="P2225" s="39"/>
      <c r="R2225" s="39"/>
    </row>
    <row r="2226" spans="2:18" x14ac:dyDescent="0.2">
      <c r="B2226" s="1"/>
      <c r="C2226" s="2"/>
      <c r="D2226" s="38"/>
      <c r="F2226" s="1"/>
      <c r="G2226" s="2"/>
      <c r="H2226" s="38"/>
      <c r="J2226" s="3"/>
      <c r="K2226" s="3"/>
      <c r="L2226" s="39"/>
      <c r="N2226" s="3"/>
      <c r="O2226" s="3"/>
      <c r="P2226" s="39"/>
      <c r="R2226" s="39"/>
    </row>
    <row r="2227" spans="2:18" x14ac:dyDescent="0.2">
      <c r="B2227" s="1"/>
      <c r="C2227" s="2"/>
      <c r="D2227" s="38"/>
      <c r="F2227" s="1"/>
      <c r="G2227" s="2"/>
      <c r="H2227" s="38"/>
      <c r="J2227" s="3"/>
      <c r="K2227" s="3"/>
      <c r="L2227" s="39"/>
      <c r="N2227" s="3"/>
      <c r="O2227" s="3"/>
      <c r="P2227" s="39"/>
      <c r="R2227" s="39"/>
    </row>
    <row r="2228" spans="2:18" x14ac:dyDescent="0.2">
      <c r="B2228" s="1"/>
      <c r="C2228" s="2"/>
      <c r="D2228" s="38"/>
      <c r="F2228" s="1"/>
      <c r="G2228" s="2"/>
      <c r="H2228" s="38"/>
      <c r="J2228" s="3"/>
      <c r="K2228" s="3"/>
      <c r="L2228" s="39"/>
      <c r="N2228" s="3"/>
      <c r="O2228" s="3"/>
      <c r="P2228" s="39"/>
      <c r="R2228" s="39"/>
    </row>
    <row r="2229" spans="2:18" x14ac:dyDescent="0.2">
      <c r="B2229" s="1"/>
      <c r="C2229" s="2"/>
      <c r="D2229" s="38"/>
      <c r="F2229" s="1"/>
      <c r="G2229" s="2"/>
      <c r="H2229" s="38"/>
      <c r="J2229" s="3"/>
      <c r="K2229" s="3"/>
      <c r="L2229" s="39"/>
      <c r="N2229" s="3"/>
      <c r="O2229" s="3"/>
      <c r="P2229" s="39"/>
      <c r="R2229" s="39"/>
    </row>
    <row r="2230" spans="2:18" x14ac:dyDescent="0.2">
      <c r="B2230" s="1"/>
      <c r="C2230" s="2"/>
      <c r="D2230" s="38"/>
      <c r="F2230" s="1"/>
      <c r="G2230" s="2"/>
      <c r="H2230" s="38"/>
      <c r="J2230" s="3"/>
      <c r="K2230" s="3"/>
      <c r="L2230" s="39"/>
      <c r="N2230" s="3"/>
      <c r="O2230" s="3"/>
      <c r="P2230" s="39"/>
      <c r="R2230" s="39"/>
    </row>
    <row r="2231" spans="2:18" x14ac:dyDescent="0.2">
      <c r="B2231" s="1"/>
      <c r="C2231" s="2"/>
      <c r="D2231" s="38"/>
      <c r="F2231" s="1"/>
      <c r="G2231" s="2"/>
      <c r="H2231" s="38"/>
      <c r="J2231" s="3"/>
      <c r="K2231" s="3"/>
      <c r="L2231" s="39"/>
      <c r="N2231" s="3"/>
      <c r="O2231" s="3"/>
      <c r="P2231" s="39"/>
      <c r="R2231" s="39"/>
    </row>
    <row r="2232" spans="2:18" x14ac:dyDescent="0.2">
      <c r="B2232" s="1"/>
      <c r="C2232" s="2"/>
      <c r="D2232" s="38"/>
      <c r="F2232" s="1"/>
      <c r="G2232" s="2"/>
      <c r="H2232" s="38"/>
      <c r="J2232" s="3"/>
      <c r="K2232" s="3"/>
      <c r="L2232" s="39"/>
      <c r="N2232" s="3"/>
      <c r="O2232" s="3"/>
      <c r="P2232" s="39"/>
      <c r="R2232" s="39"/>
    </row>
    <row r="2233" spans="2:18" x14ac:dyDescent="0.2">
      <c r="B2233" s="1"/>
      <c r="C2233" s="2"/>
      <c r="D2233" s="38"/>
      <c r="F2233" s="1"/>
      <c r="G2233" s="2"/>
      <c r="H2233" s="38"/>
      <c r="J2233" s="3"/>
      <c r="K2233" s="3"/>
      <c r="L2233" s="39"/>
      <c r="N2233" s="3"/>
      <c r="O2233" s="3"/>
      <c r="P2233" s="39"/>
      <c r="R2233" s="39"/>
    </row>
    <row r="2234" spans="2:18" x14ac:dyDescent="0.2">
      <c r="B2234" s="1"/>
      <c r="C2234" s="2"/>
      <c r="D2234" s="38"/>
      <c r="F2234" s="1"/>
      <c r="G2234" s="2"/>
      <c r="H2234" s="38"/>
      <c r="J2234" s="3"/>
      <c r="K2234" s="3"/>
      <c r="L2234" s="39"/>
      <c r="N2234" s="3"/>
      <c r="O2234" s="3"/>
      <c r="P2234" s="39"/>
      <c r="R2234" s="39"/>
    </row>
    <row r="2235" spans="2:18" x14ac:dyDescent="0.2">
      <c r="B2235" s="1"/>
      <c r="C2235" s="2"/>
      <c r="D2235" s="38"/>
      <c r="F2235" s="1"/>
      <c r="G2235" s="2"/>
      <c r="H2235" s="38"/>
      <c r="J2235" s="3"/>
      <c r="K2235" s="3"/>
      <c r="L2235" s="39"/>
      <c r="N2235" s="3"/>
      <c r="O2235" s="3"/>
      <c r="P2235" s="39"/>
      <c r="R2235" s="39"/>
    </row>
    <row r="2236" spans="2:18" x14ac:dyDescent="0.2">
      <c r="B2236" s="1"/>
      <c r="C2236" s="2"/>
      <c r="D2236" s="38"/>
      <c r="F2236" s="1"/>
      <c r="G2236" s="2"/>
      <c r="H2236" s="38"/>
      <c r="J2236" s="3"/>
      <c r="K2236" s="3"/>
      <c r="L2236" s="39"/>
      <c r="N2236" s="3"/>
      <c r="O2236" s="3"/>
      <c r="P2236" s="39"/>
      <c r="R2236" s="39"/>
    </row>
    <row r="2237" spans="2:18" x14ac:dyDescent="0.2">
      <c r="B2237" s="1"/>
      <c r="C2237" s="2"/>
      <c r="D2237" s="38"/>
      <c r="F2237" s="1"/>
      <c r="G2237" s="2"/>
      <c r="H2237" s="38"/>
      <c r="J2237" s="3"/>
      <c r="K2237" s="3"/>
      <c r="L2237" s="39"/>
      <c r="N2237" s="3"/>
      <c r="O2237" s="3"/>
      <c r="P2237" s="39"/>
      <c r="R2237" s="39"/>
    </row>
    <row r="2238" spans="2:18" x14ac:dyDescent="0.2">
      <c r="B2238" s="1"/>
      <c r="C2238" s="2"/>
      <c r="D2238" s="38"/>
      <c r="F2238" s="1"/>
      <c r="G2238" s="2"/>
      <c r="H2238" s="38"/>
      <c r="J2238" s="3"/>
      <c r="K2238" s="3"/>
      <c r="L2238" s="39"/>
      <c r="N2238" s="3"/>
      <c r="O2238" s="3"/>
      <c r="P2238" s="39"/>
      <c r="R2238" s="39"/>
    </row>
    <row r="2239" spans="2:18" x14ac:dyDescent="0.2">
      <c r="B2239" s="1"/>
      <c r="C2239" s="2"/>
      <c r="D2239" s="38"/>
      <c r="F2239" s="1"/>
      <c r="G2239" s="2"/>
      <c r="H2239" s="38"/>
      <c r="J2239" s="3"/>
      <c r="K2239" s="3"/>
      <c r="L2239" s="39"/>
      <c r="N2239" s="3"/>
      <c r="O2239" s="3"/>
      <c r="P2239" s="39"/>
      <c r="R2239" s="39"/>
    </row>
    <row r="2240" spans="2:18" x14ac:dyDescent="0.2">
      <c r="B2240" s="1"/>
      <c r="C2240" s="2"/>
      <c r="D2240" s="38"/>
      <c r="F2240" s="1"/>
      <c r="G2240" s="2"/>
      <c r="H2240" s="38"/>
      <c r="J2240" s="3"/>
      <c r="K2240" s="3"/>
      <c r="L2240" s="39"/>
      <c r="N2240" s="3"/>
      <c r="O2240" s="3"/>
      <c r="P2240" s="39"/>
      <c r="R2240" s="39"/>
    </row>
    <row r="2241" spans="2:18" x14ac:dyDescent="0.2">
      <c r="B2241" s="1"/>
      <c r="C2241" s="2"/>
      <c r="D2241" s="38"/>
      <c r="F2241" s="1"/>
      <c r="G2241" s="2"/>
      <c r="H2241" s="38"/>
      <c r="J2241" s="3"/>
      <c r="K2241" s="3"/>
      <c r="L2241" s="39"/>
      <c r="N2241" s="3"/>
      <c r="O2241" s="3"/>
      <c r="P2241" s="39"/>
      <c r="R2241" s="39"/>
    </row>
    <row r="2242" spans="2:18" x14ac:dyDescent="0.2">
      <c r="B2242" s="1"/>
      <c r="C2242" s="2"/>
      <c r="D2242" s="38"/>
      <c r="F2242" s="1"/>
      <c r="G2242" s="2"/>
      <c r="H2242" s="38"/>
      <c r="J2242" s="3"/>
      <c r="K2242" s="3"/>
      <c r="L2242" s="39"/>
      <c r="N2242" s="3"/>
      <c r="O2242" s="3"/>
      <c r="P2242" s="39"/>
      <c r="R2242" s="39"/>
    </row>
    <row r="2243" spans="2:18" x14ac:dyDescent="0.2">
      <c r="B2243" s="1"/>
      <c r="C2243" s="2"/>
      <c r="D2243" s="38"/>
      <c r="F2243" s="1"/>
      <c r="G2243" s="2"/>
      <c r="H2243" s="38"/>
      <c r="J2243" s="3"/>
      <c r="K2243" s="3"/>
      <c r="L2243" s="39"/>
      <c r="N2243" s="3"/>
      <c r="O2243" s="3"/>
      <c r="P2243" s="39"/>
      <c r="R2243" s="39"/>
    </row>
    <row r="2244" spans="2:18" x14ac:dyDescent="0.2">
      <c r="B2244" s="1"/>
      <c r="C2244" s="2"/>
      <c r="D2244" s="38"/>
      <c r="F2244" s="1"/>
      <c r="G2244" s="2"/>
      <c r="H2244" s="38"/>
      <c r="J2244" s="3"/>
      <c r="K2244" s="3"/>
      <c r="L2244" s="39"/>
      <c r="N2244" s="3"/>
      <c r="O2244" s="3"/>
      <c r="P2244" s="39"/>
      <c r="R2244" s="39"/>
    </row>
    <row r="2245" spans="2:18" x14ac:dyDescent="0.2">
      <c r="B2245" s="1"/>
      <c r="C2245" s="2"/>
      <c r="D2245" s="38"/>
      <c r="F2245" s="1"/>
      <c r="G2245" s="2"/>
      <c r="H2245" s="38"/>
      <c r="J2245" s="3"/>
      <c r="K2245" s="3"/>
      <c r="L2245" s="39"/>
      <c r="N2245" s="3"/>
      <c r="O2245" s="3"/>
      <c r="P2245" s="39"/>
      <c r="R2245" s="39"/>
    </row>
    <row r="2246" spans="2:18" x14ac:dyDescent="0.2">
      <c r="B2246" s="1"/>
      <c r="C2246" s="2"/>
      <c r="D2246" s="38"/>
      <c r="F2246" s="1"/>
      <c r="G2246" s="2"/>
      <c r="H2246" s="38"/>
      <c r="J2246" s="3"/>
      <c r="K2246" s="3"/>
      <c r="L2246" s="39"/>
      <c r="N2246" s="3"/>
      <c r="O2246" s="3"/>
      <c r="P2246" s="39"/>
      <c r="R2246" s="39"/>
    </row>
    <row r="2247" spans="2:18" x14ac:dyDescent="0.2">
      <c r="B2247" s="1"/>
      <c r="C2247" s="2"/>
      <c r="D2247" s="38"/>
      <c r="F2247" s="1"/>
      <c r="G2247" s="2"/>
      <c r="H2247" s="38"/>
      <c r="J2247" s="3"/>
      <c r="K2247" s="3"/>
      <c r="L2247" s="39"/>
      <c r="N2247" s="3"/>
      <c r="O2247" s="3"/>
      <c r="P2247" s="39"/>
      <c r="R2247" s="39"/>
    </row>
    <row r="2248" spans="2:18" x14ac:dyDescent="0.2">
      <c r="B2248" s="1"/>
      <c r="C2248" s="2"/>
      <c r="D2248" s="38"/>
      <c r="F2248" s="1"/>
      <c r="G2248" s="2"/>
      <c r="H2248" s="38"/>
      <c r="J2248" s="3"/>
      <c r="K2248" s="3"/>
      <c r="L2248" s="39"/>
      <c r="N2248" s="3"/>
      <c r="O2248" s="3"/>
      <c r="P2248" s="39"/>
      <c r="R2248" s="39"/>
    </row>
    <row r="2249" spans="2:18" x14ac:dyDescent="0.2">
      <c r="B2249" s="1"/>
      <c r="C2249" s="2"/>
      <c r="D2249" s="38"/>
      <c r="F2249" s="1"/>
      <c r="G2249" s="2"/>
      <c r="H2249" s="38"/>
      <c r="J2249" s="3"/>
      <c r="K2249" s="3"/>
      <c r="L2249" s="39"/>
      <c r="N2249" s="3"/>
      <c r="O2249" s="3"/>
      <c r="P2249" s="39"/>
      <c r="R2249" s="39"/>
    </row>
    <row r="2250" spans="2:18" x14ac:dyDescent="0.2">
      <c r="B2250" s="1"/>
      <c r="C2250" s="2"/>
      <c r="D2250" s="38"/>
      <c r="F2250" s="1"/>
      <c r="G2250" s="2"/>
      <c r="H2250" s="38"/>
      <c r="J2250" s="3"/>
      <c r="K2250" s="3"/>
      <c r="L2250" s="39"/>
      <c r="N2250" s="3"/>
      <c r="O2250" s="3"/>
      <c r="P2250" s="39"/>
      <c r="R2250" s="39"/>
    </row>
    <row r="2251" spans="2:18" x14ac:dyDescent="0.2">
      <c r="B2251" s="1"/>
      <c r="C2251" s="2"/>
      <c r="D2251" s="38"/>
      <c r="F2251" s="1"/>
      <c r="G2251" s="2"/>
      <c r="H2251" s="38"/>
      <c r="J2251" s="3"/>
      <c r="K2251" s="3"/>
      <c r="L2251" s="39"/>
      <c r="N2251" s="3"/>
      <c r="O2251" s="3"/>
      <c r="P2251" s="39"/>
      <c r="R2251" s="39"/>
    </row>
    <row r="2252" spans="2:18" x14ac:dyDescent="0.2">
      <c r="B2252" s="1"/>
      <c r="C2252" s="2"/>
      <c r="D2252" s="38"/>
      <c r="F2252" s="1"/>
      <c r="G2252" s="2"/>
      <c r="H2252" s="38"/>
      <c r="J2252" s="3"/>
      <c r="K2252" s="3"/>
      <c r="L2252" s="39"/>
      <c r="N2252" s="3"/>
      <c r="O2252" s="3"/>
      <c r="P2252" s="39"/>
      <c r="R2252" s="39"/>
    </row>
    <row r="2253" spans="2:18" x14ac:dyDescent="0.2">
      <c r="B2253" s="1"/>
      <c r="C2253" s="2"/>
      <c r="D2253" s="38"/>
      <c r="F2253" s="1"/>
      <c r="G2253" s="2"/>
      <c r="H2253" s="38"/>
      <c r="J2253" s="3"/>
      <c r="K2253" s="3"/>
      <c r="L2253" s="39"/>
      <c r="N2253" s="3"/>
      <c r="O2253" s="3"/>
      <c r="P2253" s="39"/>
      <c r="R2253" s="39"/>
    </row>
    <row r="2254" spans="2:18" x14ac:dyDescent="0.2">
      <c r="B2254" s="1"/>
      <c r="C2254" s="2"/>
      <c r="D2254" s="38"/>
      <c r="F2254" s="1"/>
      <c r="G2254" s="2"/>
      <c r="H2254" s="38"/>
      <c r="J2254" s="3"/>
      <c r="K2254" s="3"/>
      <c r="L2254" s="39"/>
      <c r="N2254" s="3"/>
      <c r="O2254" s="3"/>
      <c r="P2254" s="39"/>
      <c r="R2254" s="39"/>
    </row>
    <row r="2255" spans="2:18" x14ac:dyDescent="0.2">
      <c r="B2255" s="1"/>
      <c r="C2255" s="2"/>
      <c r="D2255" s="38"/>
      <c r="F2255" s="1"/>
      <c r="G2255" s="2"/>
      <c r="H2255" s="38"/>
      <c r="J2255" s="3"/>
      <c r="K2255" s="3"/>
      <c r="L2255" s="39"/>
      <c r="N2255" s="3"/>
      <c r="O2255" s="3"/>
      <c r="P2255" s="39"/>
      <c r="R2255" s="39"/>
    </row>
    <row r="2256" spans="2:18" x14ac:dyDescent="0.2">
      <c r="B2256" s="1"/>
      <c r="C2256" s="2"/>
      <c r="D2256" s="38"/>
      <c r="F2256" s="1"/>
      <c r="G2256" s="2"/>
      <c r="H2256" s="38"/>
      <c r="J2256" s="3"/>
      <c r="K2256" s="3"/>
      <c r="L2256" s="39"/>
      <c r="N2256" s="3"/>
      <c r="O2256" s="3"/>
      <c r="P2256" s="39"/>
      <c r="R2256" s="39"/>
    </row>
    <row r="2257" spans="2:18" x14ac:dyDescent="0.2">
      <c r="B2257" s="1"/>
      <c r="C2257" s="2"/>
      <c r="D2257" s="38"/>
      <c r="F2257" s="1"/>
      <c r="G2257" s="2"/>
      <c r="H2257" s="38"/>
      <c r="J2257" s="3"/>
      <c r="K2257" s="3"/>
      <c r="L2257" s="39"/>
      <c r="N2257" s="3"/>
      <c r="O2257" s="3"/>
      <c r="P2257" s="39"/>
      <c r="R2257" s="39"/>
    </row>
    <row r="2258" spans="2:18" x14ac:dyDescent="0.2">
      <c r="B2258" s="1"/>
      <c r="C2258" s="2"/>
      <c r="D2258" s="38"/>
      <c r="F2258" s="1"/>
      <c r="G2258" s="2"/>
      <c r="H2258" s="38"/>
      <c r="J2258" s="3"/>
      <c r="K2258" s="3"/>
      <c r="L2258" s="39"/>
      <c r="N2258" s="3"/>
      <c r="O2258" s="3"/>
      <c r="P2258" s="39"/>
      <c r="R2258" s="39"/>
    </row>
    <row r="2259" spans="2:18" x14ac:dyDescent="0.2">
      <c r="B2259" s="1"/>
      <c r="C2259" s="2"/>
      <c r="D2259" s="38"/>
      <c r="F2259" s="1"/>
      <c r="G2259" s="2"/>
      <c r="H2259" s="38"/>
      <c r="J2259" s="3"/>
      <c r="K2259" s="3"/>
      <c r="L2259" s="39"/>
      <c r="N2259" s="3"/>
      <c r="O2259" s="3"/>
      <c r="P2259" s="39"/>
      <c r="R2259" s="39"/>
    </row>
    <row r="2260" spans="2:18" x14ac:dyDescent="0.2">
      <c r="B2260" s="1"/>
      <c r="C2260" s="2"/>
      <c r="D2260" s="38"/>
      <c r="F2260" s="1"/>
      <c r="G2260" s="2"/>
      <c r="H2260" s="38"/>
      <c r="J2260" s="3"/>
      <c r="K2260" s="3"/>
      <c r="L2260" s="39"/>
      <c r="N2260" s="3"/>
      <c r="O2260" s="3"/>
      <c r="P2260" s="39"/>
      <c r="R2260" s="39"/>
    </row>
    <row r="2261" spans="2:18" x14ac:dyDescent="0.2">
      <c r="B2261" s="1"/>
      <c r="C2261" s="2"/>
      <c r="D2261" s="38"/>
      <c r="F2261" s="1"/>
      <c r="G2261" s="2"/>
      <c r="H2261" s="38"/>
      <c r="J2261" s="3"/>
      <c r="K2261" s="3"/>
      <c r="L2261" s="39"/>
      <c r="N2261" s="3"/>
      <c r="O2261" s="3"/>
      <c r="P2261" s="39"/>
      <c r="R2261" s="39"/>
    </row>
    <row r="2262" spans="2:18" x14ac:dyDescent="0.2">
      <c r="B2262" s="1"/>
      <c r="C2262" s="2"/>
      <c r="D2262" s="38"/>
      <c r="F2262" s="1"/>
      <c r="G2262" s="2"/>
      <c r="H2262" s="38"/>
      <c r="J2262" s="3"/>
      <c r="K2262" s="3"/>
      <c r="L2262" s="39"/>
      <c r="N2262" s="3"/>
      <c r="O2262" s="3"/>
      <c r="P2262" s="39"/>
      <c r="R2262" s="39"/>
    </row>
    <row r="2263" spans="2:18" x14ac:dyDescent="0.2">
      <c r="B2263" s="1"/>
      <c r="C2263" s="2"/>
      <c r="D2263" s="38"/>
      <c r="F2263" s="1"/>
      <c r="G2263" s="2"/>
      <c r="H2263" s="38"/>
      <c r="J2263" s="3"/>
      <c r="K2263" s="3"/>
      <c r="L2263" s="39"/>
      <c r="N2263" s="3"/>
      <c r="O2263" s="3"/>
      <c r="P2263" s="39"/>
      <c r="R2263" s="39"/>
    </row>
    <row r="2264" spans="2:18" x14ac:dyDescent="0.2">
      <c r="B2264" s="1"/>
      <c r="C2264" s="2"/>
      <c r="D2264" s="38"/>
      <c r="F2264" s="1"/>
      <c r="G2264" s="2"/>
      <c r="H2264" s="38"/>
      <c r="J2264" s="3"/>
      <c r="K2264" s="3"/>
      <c r="L2264" s="39"/>
      <c r="N2264" s="3"/>
      <c r="O2264" s="3"/>
      <c r="P2264" s="39"/>
      <c r="R2264" s="39"/>
    </row>
    <row r="2265" spans="2:18" x14ac:dyDescent="0.2">
      <c r="B2265" s="1"/>
      <c r="C2265" s="2"/>
      <c r="D2265" s="38"/>
      <c r="F2265" s="1"/>
      <c r="G2265" s="2"/>
      <c r="H2265" s="38"/>
      <c r="J2265" s="3"/>
      <c r="K2265" s="3"/>
      <c r="L2265" s="39"/>
      <c r="N2265" s="3"/>
      <c r="O2265" s="3"/>
      <c r="P2265" s="39"/>
      <c r="R2265" s="39"/>
    </row>
    <row r="2266" spans="2:18" x14ac:dyDescent="0.2">
      <c r="B2266" s="1"/>
      <c r="C2266" s="2"/>
      <c r="D2266" s="38"/>
      <c r="F2266" s="1"/>
      <c r="G2266" s="2"/>
      <c r="H2266" s="38"/>
      <c r="J2266" s="3"/>
      <c r="K2266" s="3"/>
      <c r="L2266" s="39"/>
      <c r="N2266" s="3"/>
      <c r="O2266" s="3"/>
      <c r="P2266" s="39"/>
      <c r="R2266" s="39"/>
    </row>
    <row r="2267" spans="2:18" x14ac:dyDescent="0.2">
      <c r="B2267" s="1"/>
      <c r="C2267" s="2"/>
      <c r="D2267" s="38"/>
      <c r="F2267" s="1"/>
      <c r="G2267" s="2"/>
      <c r="H2267" s="38"/>
      <c r="J2267" s="3"/>
      <c r="K2267" s="3"/>
      <c r="L2267" s="39"/>
      <c r="N2267" s="3"/>
      <c r="O2267" s="3"/>
      <c r="P2267" s="39"/>
      <c r="R2267" s="39"/>
    </row>
    <row r="2268" spans="2:18" x14ac:dyDescent="0.2">
      <c r="B2268" s="1"/>
      <c r="C2268" s="2"/>
      <c r="D2268" s="38"/>
      <c r="F2268" s="1"/>
      <c r="G2268" s="2"/>
      <c r="H2268" s="38"/>
      <c r="J2268" s="3"/>
      <c r="K2268" s="3"/>
      <c r="L2268" s="39"/>
      <c r="N2268" s="3"/>
      <c r="O2268" s="3"/>
      <c r="P2268" s="39"/>
      <c r="R2268" s="39"/>
    </row>
    <row r="2269" spans="2:18" x14ac:dyDescent="0.2">
      <c r="B2269" s="1"/>
      <c r="C2269" s="2"/>
      <c r="D2269" s="38"/>
      <c r="F2269" s="1"/>
      <c r="G2269" s="2"/>
      <c r="H2269" s="38"/>
      <c r="J2269" s="3"/>
      <c r="K2269" s="3"/>
      <c r="L2269" s="39"/>
      <c r="N2269" s="3"/>
      <c r="O2269" s="3"/>
      <c r="P2269" s="39"/>
      <c r="R2269" s="39"/>
    </row>
    <row r="2270" spans="2:18" x14ac:dyDescent="0.2">
      <c r="B2270" s="1"/>
      <c r="C2270" s="2"/>
      <c r="D2270" s="38"/>
      <c r="F2270" s="1"/>
      <c r="G2270" s="2"/>
      <c r="H2270" s="38"/>
      <c r="J2270" s="3"/>
      <c r="K2270" s="3"/>
      <c r="L2270" s="39"/>
      <c r="N2270" s="3"/>
      <c r="O2270" s="3"/>
      <c r="P2270" s="39"/>
      <c r="R2270" s="39"/>
    </row>
    <row r="2271" spans="2:18" x14ac:dyDescent="0.2">
      <c r="B2271" s="1"/>
      <c r="C2271" s="2"/>
      <c r="D2271" s="38"/>
      <c r="F2271" s="1"/>
      <c r="G2271" s="2"/>
      <c r="H2271" s="38"/>
      <c r="J2271" s="3"/>
      <c r="K2271" s="3"/>
      <c r="L2271" s="39"/>
      <c r="N2271" s="3"/>
      <c r="O2271" s="3"/>
      <c r="P2271" s="39"/>
      <c r="R2271" s="39"/>
    </row>
    <row r="2272" spans="2:18" x14ac:dyDescent="0.2">
      <c r="B2272" s="1"/>
      <c r="C2272" s="2"/>
      <c r="D2272" s="38"/>
      <c r="F2272" s="1"/>
      <c r="G2272" s="2"/>
      <c r="H2272" s="38"/>
      <c r="J2272" s="3"/>
      <c r="K2272" s="3"/>
      <c r="L2272" s="39"/>
      <c r="N2272" s="3"/>
      <c r="O2272" s="3"/>
      <c r="P2272" s="39"/>
      <c r="R2272" s="39"/>
    </row>
    <row r="2273" spans="2:18" x14ac:dyDescent="0.2">
      <c r="B2273" s="1"/>
      <c r="C2273" s="2"/>
      <c r="D2273" s="38"/>
      <c r="F2273" s="1"/>
      <c r="G2273" s="2"/>
      <c r="H2273" s="38"/>
      <c r="J2273" s="3"/>
      <c r="K2273" s="3"/>
      <c r="L2273" s="39"/>
      <c r="N2273" s="3"/>
      <c r="O2273" s="3"/>
      <c r="P2273" s="39"/>
      <c r="R2273" s="39"/>
    </row>
    <row r="2274" spans="2:18" x14ac:dyDescent="0.2">
      <c r="B2274" s="1"/>
      <c r="C2274" s="2"/>
      <c r="D2274" s="38"/>
      <c r="F2274" s="1"/>
      <c r="G2274" s="2"/>
      <c r="H2274" s="38"/>
      <c r="J2274" s="3"/>
      <c r="K2274" s="3"/>
      <c r="L2274" s="39"/>
      <c r="N2274" s="3"/>
      <c r="O2274" s="3"/>
      <c r="P2274" s="39"/>
      <c r="R2274" s="39"/>
    </row>
    <row r="2275" spans="2:18" x14ac:dyDescent="0.2">
      <c r="B2275" s="1"/>
      <c r="C2275" s="2"/>
      <c r="D2275" s="38"/>
      <c r="F2275" s="1"/>
      <c r="G2275" s="2"/>
      <c r="H2275" s="38"/>
      <c r="J2275" s="3"/>
      <c r="K2275" s="3"/>
      <c r="L2275" s="39"/>
      <c r="N2275" s="3"/>
      <c r="O2275" s="3"/>
      <c r="P2275" s="39"/>
      <c r="R2275" s="39"/>
    </row>
    <row r="2276" spans="2:18" x14ac:dyDescent="0.2">
      <c r="B2276" s="1"/>
      <c r="C2276" s="2"/>
      <c r="D2276" s="38"/>
      <c r="F2276" s="1"/>
      <c r="G2276" s="2"/>
      <c r="H2276" s="38"/>
      <c r="J2276" s="3"/>
      <c r="K2276" s="3"/>
      <c r="L2276" s="39"/>
      <c r="N2276" s="3"/>
      <c r="O2276" s="3"/>
      <c r="P2276" s="39"/>
      <c r="R2276" s="39"/>
    </row>
    <row r="2277" spans="2:18" x14ac:dyDescent="0.2">
      <c r="B2277" s="1"/>
      <c r="C2277" s="2"/>
      <c r="D2277" s="38"/>
      <c r="F2277" s="1"/>
      <c r="G2277" s="2"/>
      <c r="H2277" s="38"/>
      <c r="J2277" s="3"/>
      <c r="K2277" s="3"/>
      <c r="L2277" s="39"/>
      <c r="N2277" s="3"/>
      <c r="O2277" s="3"/>
      <c r="P2277" s="39"/>
      <c r="R2277" s="39"/>
    </row>
    <row r="2278" spans="2:18" x14ac:dyDescent="0.2">
      <c r="B2278" s="1"/>
      <c r="C2278" s="2"/>
      <c r="D2278" s="38"/>
      <c r="F2278" s="1"/>
      <c r="G2278" s="2"/>
      <c r="H2278" s="38"/>
      <c r="J2278" s="3"/>
      <c r="K2278" s="3"/>
      <c r="L2278" s="39"/>
      <c r="N2278" s="3"/>
      <c r="O2278" s="3"/>
      <c r="P2278" s="39"/>
      <c r="R2278" s="39"/>
    </row>
    <row r="2279" spans="2:18" x14ac:dyDescent="0.2">
      <c r="B2279" s="1"/>
      <c r="C2279" s="2"/>
      <c r="D2279" s="38"/>
      <c r="F2279" s="1"/>
      <c r="G2279" s="2"/>
      <c r="H2279" s="38"/>
      <c r="J2279" s="3"/>
      <c r="K2279" s="3"/>
      <c r="L2279" s="39"/>
      <c r="N2279" s="3"/>
      <c r="O2279" s="3"/>
      <c r="P2279" s="39"/>
      <c r="R2279" s="39"/>
    </row>
    <row r="2280" spans="2:18" x14ac:dyDescent="0.2">
      <c r="B2280" s="1"/>
      <c r="C2280" s="2"/>
      <c r="D2280" s="38"/>
      <c r="F2280" s="1"/>
      <c r="G2280" s="2"/>
      <c r="H2280" s="38"/>
      <c r="J2280" s="3"/>
      <c r="K2280" s="3"/>
      <c r="L2280" s="39"/>
      <c r="N2280" s="3"/>
      <c r="O2280" s="3"/>
      <c r="P2280" s="39"/>
      <c r="R2280" s="39"/>
    </row>
    <row r="2281" spans="2:18" x14ac:dyDescent="0.2">
      <c r="B2281" s="1"/>
      <c r="C2281" s="2"/>
      <c r="D2281" s="38"/>
      <c r="F2281" s="1"/>
      <c r="G2281" s="2"/>
      <c r="H2281" s="38"/>
      <c r="J2281" s="3"/>
      <c r="K2281" s="3"/>
      <c r="L2281" s="39"/>
      <c r="N2281" s="3"/>
      <c r="O2281" s="3"/>
      <c r="P2281" s="39"/>
      <c r="R2281" s="39"/>
    </row>
    <row r="2282" spans="2:18" x14ac:dyDescent="0.2">
      <c r="B2282" s="1"/>
      <c r="C2282" s="2"/>
      <c r="D2282" s="38"/>
      <c r="F2282" s="1"/>
      <c r="G2282" s="2"/>
      <c r="H2282" s="38"/>
      <c r="J2282" s="3"/>
      <c r="K2282" s="3"/>
      <c r="L2282" s="39"/>
      <c r="N2282" s="3"/>
      <c r="O2282" s="3"/>
      <c r="P2282" s="39"/>
      <c r="R2282" s="39"/>
    </row>
    <row r="2283" spans="2:18" x14ac:dyDescent="0.2">
      <c r="B2283" s="1"/>
      <c r="C2283" s="2"/>
      <c r="D2283" s="38"/>
      <c r="F2283" s="1"/>
      <c r="G2283" s="2"/>
      <c r="H2283" s="38"/>
      <c r="J2283" s="3"/>
      <c r="K2283" s="3"/>
      <c r="L2283" s="39"/>
      <c r="N2283" s="3"/>
      <c r="O2283" s="3"/>
      <c r="P2283" s="39"/>
      <c r="R2283" s="39"/>
    </row>
    <row r="2284" spans="2:18" x14ac:dyDescent="0.2">
      <c r="B2284" s="1"/>
      <c r="C2284" s="2"/>
      <c r="D2284" s="38"/>
      <c r="F2284" s="1"/>
      <c r="G2284" s="2"/>
      <c r="H2284" s="38"/>
      <c r="J2284" s="3"/>
      <c r="K2284" s="3"/>
      <c r="L2284" s="39"/>
      <c r="N2284" s="3"/>
      <c r="O2284" s="3"/>
      <c r="P2284" s="39"/>
      <c r="R2284" s="39"/>
    </row>
    <row r="2285" spans="2:18" x14ac:dyDescent="0.2">
      <c r="B2285" s="1"/>
      <c r="C2285" s="2"/>
      <c r="D2285" s="38"/>
      <c r="F2285" s="1"/>
      <c r="G2285" s="2"/>
      <c r="H2285" s="38"/>
      <c r="J2285" s="3"/>
      <c r="K2285" s="3"/>
      <c r="L2285" s="39"/>
      <c r="N2285" s="3"/>
      <c r="O2285" s="3"/>
      <c r="P2285" s="39"/>
      <c r="R2285" s="39"/>
    </row>
    <row r="2286" spans="2:18" x14ac:dyDescent="0.2">
      <c r="B2286" s="1"/>
      <c r="C2286" s="2"/>
      <c r="D2286" s="38"/>
      <c r="F2286" s="1"/>
      <c r="G2286" s="2"/>
      <c r="H2286" s="38"/>
      <c r="J2286" s="3"/>
      <c r="K2286" s="3"/>
      <c r="L2286" s="39"/>
      <c r="N2286" s="3"/>
      <c r="O2286" s="3"/>
      <c r="P2286" s="39"/>
      <c r="R2286" s="39"/>
    </row>
    <row r="2287" spans="2:18" x14ac:dyDescent="0.2">
      <c r="B2287" s="1"/>
      <c r="C2287" s="2"/>
      <c r="D2287" s="38"/>
      <c r="F2287" s="1"/>
      <c r="G2287" s="2"/>
      <c r="H2287" s="38"/>
      <c r="J2287" s="3"/>
      <c r="K2287" s="3"/>
      <c r="L2287" s="39"/>
      <c r="N2287" s="3"/>
      <c r="O2287" s="3"/>
      <c r="P2287" s="39"/>
      <c r="R2287" s="39"/>
    </row>
    <row r="2288" spans="2:18" x14ac:dyDescent="0.2">
      <c r="B2288" s="1"/>
      <c r="C2288" s="2"/>
      <c r="D2288" s="38"/>
      <c r="F2288" s="1"/>
      <c r="G2288" s="2"/>
      <c r="H2288" s="38"/>
      <c r="J2288" s="3"/>
      <c r="K2288" s="3"/>
      <c r="L2288" s="39"/>
      <c r="N2288" s="3"/>
      <c r="O2288" s="3"/>
      <c r="P2288" s="39"/>
      <c r="R2288" s="39"/>
    </row>
    <row r="2289" spans="2:18" x14ac:dyDescent="0.2">
      <c r="B2289" s="1"/>
      <c r="C2289" s="2"/>
      <c r="D2289" s="38"/>
      <c r="F2289" s="1"/>
      <c r="G2289" s="2"/>
      <c r="H2289" s="38"/>
      <c r="J2289" s="3"/>
      <c r="K2289" s="3"/>
      <c r="L2289" s="39"/>
      <c r="N2289" s="3"/>
      <c r="O2289" s="3"/>
      <c r="P2289" s="39"/>
      <c r="R2289" s="39"/>
    </row>
    <row r="2290" spans="2:18" x14ac:dyDescent="0.2">
      <c r="B2290" s="1"/>
      <c r="C2290" s="2"/>
      <c r="D2290" s="38"/>
      <c r="F2290" s="1"/>
      <c r="G2290" s="2"/>
      <c r="H2290" s="38"/>
      <c r="J2290" s="3"/>
      <c r="K2290" s="3"/>
      <c r="L2290" s="39"/>
      <c r="N2290" s="3"/>
      <c r="O2290" s="3"/>
      <c r="P2290" s="39"/>
      <c r="R2290" s="39"/>
    </row>
    <row r="2291" spans="2:18" x14ac:dyDescent="0.2">
      <c r="B2291" s="1"/>
      <c r="C2291" s="2"/>
      <c r="D2291" s="38"/>
      <c r="F2291" s="1"/>
      <c r="G2291" s="2"/>
      <c r="H2291" s="38"/>
      <c r="J2291" s="3"/>
      <c r="K2291" s="3"/>
      <c r="L2291" s="39"/>
      <c r="N2291" s="3"/>
      <c r="O2291" s="3"/>
      <c r="P2291" s="39"/>
      <c r="R2291" s="39"/>
    </row>
    <row r="2292" spans="2:18" x14ac:dyDescent="0.2">
      <c r="B2292" s="1"/>
      <c r="C2292" s="2"/>
      <c r="D2292" s="38"/>
      <c r="F2292" s="1"/>
      <c r="G2292" s="2"/>
      <c r="H2292" s="38"/>
      <c r="J2292" s="3"/>
      <c r="K2292" s="3"/>
      <c r="L2292" s="39"/>
      <c r="N2292" s="3"/>
      <c r="O2292" s="3"/>
      <c r="P2292" s="39"/>
      <c r="R2292" s="39"/>
    </row>
    <row r="2293" spans="2:18" x14ac:dyDescent="0.2">
      <c r="B2293" s="1"/>
      <c r="C2293" s="2"/>
      <c r="D2293" s="38"/>
      <c r="F2293" s="1"/>
      <c r="G2293" s="2"/>
      <c r="H2293" s="38"/>
      <c r="J2293" s="3"/>
      <c r="K2293" s="3"/>
      <c r="L2293" s="39"/>
      <c r="N2293" s="3"/>
      <c r="O2293" s="3"/>
      <c r="P2293" s="39"/>
      <c r="R2293" s="39"/>
    </row>
    <row r="2294" spans="2:18" x14ac:dyDescent="0.2">
      <c r="B2294" s="1"/>
      <c r="C2294" s="2"/>
      <c r="D2294" s="38"/>
      <c r="F2294" s="1"/>
      <c r="G2294" s="2"/>
      <c r="H2294" s="38"/>
      <c r="J2294" s="3"/>
      <c r="K2294" s="3"/>
      <c r="L2294" s="39"/>
      <c r="N2294" s="3"/>
      <c r="O2294" s="3"/>
      <c r="P2294" s="39"/>
      <c r="R2294" s="39"/>
    </row>
    <row r="2295" spans="2:18" x14ac:dyDescent="0.2">
      <c r="B2295" s="1"/>
      <c r="C2295" s="2"/>
      <c r="D2295" s="38"/>
      <c r="F2295" s="1"/>
      <c r="G2295" s="2"/>
      <c r="H2295" s="38"/>
      <c r="J2295" s="3"/>
      <c r="K2295" s="3"/>
      <c r="L2295" s="39"/>
      <c r="N2295" s="3"/>
      <c r="O2295" s="3"/>
      <c r="P2295" s="39"/>
      <c r="R2295" s="39"/>
    </row>
    <row r="2296" spans="2:18" x14ac:dyDescent="0.2">
      <c r="B2296" s="1"/>
      <c r="C2296" s="2"/>
      <c r="D2296" s="38"/>
      <c r="F2296" s="1"/>
      <c r="G2296" s="2"/>
      <c r="H2296" s="38"/>
      <c r="J2296" s="3"/>
      <c r="K2296" s="3"/>
      <c r="L2296" s="39"/>
      <c r="N2296" s="3"/>
      <c r="O2296" s="3"/>
      <c r="P2296" s="39"/>
      <c r="R2296" s="39"/>
    </row>
    <row r="2297" spans="2:18" x14ac:dyDescent="0.2">
      <c r="B2297" s="1"/>
      <c r="C2297" s="2"/>
      <c r="D2297" s="38"/>
      <c r="F2297" s="1"/>
      <c r="G2297" s="2"/>
      <c r="H2297" s="38"/>
      <c r="J2297" s="3"/>
      <c r="K2297" s="3"/>
      <c r="L2297" s="39"/>
      <c r="N2297" s="3"/>
      <c r="O2297" s="3"/>
      <c r="P2297" s="39"/>
      <c r="R2297" s="39"/>
    </row>
    <row r="2298" spans="2:18" x14ac:dyDescent="0.2">
      <c r="B2298" s="1"/>
      <c r="C2298" s="2"/>
      <c r="D2298" s="38"/>
      <c r="F2298" s="1"/>
      <c r="G2298" s="2"/>
      <c r="H2298" s="38"/>
      <c r="J2298" s="3"/>
      <c r="K2298" s="3"/>
      <c r="L2298" s="39"/>
      <c r="N2298" s="3"/>
      <c r="O2298" s="3"/>
      <c r="P2298" s="39"/>
      <c r="R2298" s="39"/>
    </row>
    <row r="2299" spans="2:18" x14ac:dyDescent="0.2">
      <c r="B2299" s="1"/>
      <c r="C2299" s="2"/>
      <c r="D2299" s="38"/>
      <c r="F2299" s="1"/>
      <c r="G2299" s="2"/>
      <c r="H2299" s="38"/>
      <c r="J2299" s="3"/>
      <c r="K2299" s="3"/>
      <c r="L2299" s="39"/>
      <c r="N2299" s="3"/>
      <c r="O2299" s="3"/>
      <c r="P2299" s="39"/>
      <c r="R2299" s="39"/>
    </row>
    <row r="2300" spans="2:18" x14ac:dyDescent="0.2">
      <c r="B2300" s="1"/>
      <c r="C2300" s="2"/>
      <c r="D2300" s="38"/>
      <c r="F2300" s="1"/>
      <c r="G2300" s="2"/>
      <c r="H2300" s="38"/>
      <c r="J2300" s="3"/>
      <c r="K2300" s="3"/>
      <c r="L2300" s="39"/>
      <c r="N2300" s="3"/>
      <c r="O2300" s="3"/>
      <c r="P2300" s="39"/>
      <c r="R2300" s="39"/>
    </row>
    <row r="2301" spans="2:18" x14ac:dyDescent="0.2">
      <c r="B2301" s="1"/>
      <c r="C2301" s="2"/>
      <c r="D2301" s="38"/>
      <c r="F2301" s="1"/>
      <c r="G2301" s="2"/>
      <c r="H2301" s="38"/>
      <c r="J2301" s="3"/>
      <c r="K2301" s="3"/>
      <c r="L2301" s="39"/>
      <c r="N2301" s="3"/>
      <c r="O2301" s="3"/>
      <c r="P2301" s="39"/>
      <c r="R2301" s="39"/>
    </row>
    <row r="2302" spans="2:18" x14ac:dyDescent="0.2">
      <c r="B2302" s="1"/>
      <c r="C2302" s="2"/>
      <c r="D2302" s="38"/>
      <c r="F2302" s="1"/>
      <c r="G2302" s="2"/>
      <c r="H2302" s="38"/>
      <c r="J2302" s="3"/>
      <c r="K2302" s="3"/>
      <c r="L2302" s="39"/>
      <c r="N2302" s="3"/>
      <c r="O2302" s="3"/>
      <c r="P2302" s="39"/>
      <c r="R2302" s="39"/>
    </row>
    <row r="2303" spans="2:18" x14ac:dyDescent="0.2">
      <c r="B2303" s="1"/>
      <c r="C2303" s="2"/>
      <c r="D2303" s="38"/>
      <c r="F2303" s="1"/>
      <c r="G2303" s="2"/>
      <c r="H2303" s="38"/>
      <c r="J2303" s="3"/>
      <c r="K2303" s="3"/>
      <c r="L2303" s="39"/>
      <c r="N2303" s="3"/>
      <c r="O2303" s="3"/>
      <c r="P2303" s="39"/>
      <c r="R2303" s="39"/>
    </row>
    <row r="2304" spans="2:18" x14ac:dyDescent="0.2">
      <c r="B2304" s="1"/>
      <c r="C2304" s="2"/>
      <c r="D2304" s="38"/>
      <c r="F2304" s="1"/>
      <c r="G2304" s="2"/>
      <c r="H2304" s="38"/>
      <c r="J2304" s="3"/>
      <c r="K2304" s="3"/>
      <c r="L2304" s="39"/>
      <c r="N2304" s="3"/>
      <c r="O2304" s="3"/>
      <c r="P2304" s="39"/>
      <c r="R2304" s="39"/>
    </row>
    <row r="2305" spans="2:18" x14ac:dyDescent="0.2">
      <c r="B2305" s="1"/>
      <c r="C2305" s="2"/>
      <c r="D2305" s="38"/>
      <c r="F2305" s="1"/>
      <c r="G2305" s="2"/>
      <c r="H2305" s="38"/>
      <c r="J2305" s="3"/>
      <c r="K2305" s="3"/>
      <c r="L2305" s="39"/>
      <c r="N2305" s="3"/>
      <c r="O2305" s="3"/>
      <c r="P2305" s="39"/>
      <c r="R2305" s="39"/>
    </row>
    <row r="2306" spans="2:18" x14ac:dyDescent="0.2">
      <c r="B2306" s="1"/>
      <c r="C2306" s="2"/>
      <c r="D2306" s="38"/>
      <c r="F2306" s="1"/>
      <c r="G2306" s="2"/>
      <c r="H2306" s="38"/>
      <c r="J2306" s="3"/>
      <c r="K2306" s="3"/>
      <c r="L2306" s="39"/>
      <c r="N2306" s="3"/>
      <c r="O2306" s="3"/>
      <c r="P2306" s="39"/>
      <c r="R2306" s="39"/>
    </row>
    <row r="2307" spans="2:18" x14ac:dyDescent="0.2">
      <c r="B2307" s="1"/>
      <c r="C2307" s="2"/>
      <c r="D2307" s="38"/>
      <c r="F2307" s="1"/>
      <c r="G2307" s="2"/>
      <c r="H2307" s="38"/>
      <c r="J2307" s="3"/>
      <c r="K2307" s="3"/>
      <c r="L2307" s="39"/>
      <c r="N2307" s="3"/>
      <c r="O2307" s="3"/>
      <c r="P2307" s="39"/>
      <c r="R2307" s="39"/>
    </row>
    <row r="2308" spans="2:18" x14ac:dyDescent="0.2">
      <c r="B2308" s="1"/>
      <c r="C2308" s="2"/>
      <c r="D2308" s="38"/>
      <c r="F2308" s="1"/>
      <c r="G2308" s="2"/>
      <c r="H2308" s="38"/>
      <c r="J2308" s="3"/>
      <c r="K2308" s="3"/>
      <c r="L2308" s="39"/>
      <c r="N2308" s="3"/>
      <c r="O2308" s="3"/>
      <c r="P2308" s="39"/>
      <c r="R2308" s="39"/>
    </row>
    <row r="2309" spans="2:18" x14ac:dyDescent="0.2">
      <c r="B2309" s="1"/>
      <c r="C2309" s="2"/>
      <c r="D2309" s="38"/>
      <c r="F2309" s="1"/>
      <c r="G2309" s="2"/>
      <c r="H2309" s="38"/>
      <c r="J2309" s="3"/>
      <c r="K2309" s="3"/>
      <c r="L2309" s="39"/>
      <c r="N2309" s="3"/>
      <c r="O2309" s="3"/>
      <c r="P2309" s="39"/>
      <c r="R2309" s="39"/>
    </row>
    <row r="2310" spans="2:18" x14ac:dyDescent="0.2">
      <c r="B2310" s="1"/>
      <c r="C2310" s="2"/>
      <c r="D2310" s="38"/>
      <c r="F2310" s="1"/>
      <c r="G2310" s="2"/>
      <c r="H2310" s="38"/>
      <c r="J2310" s="3"/>
      <c r="K2310" s="3"/>
      <c r="L2310" s="39"/>
      <c r="N2310" s="3"/>
      <c r="O2310" s="3"/>
      <c r="P2310" s="39"/>
      <c r="R2310" s="39"/>
    </row>
    <row r="2311" spans="2:18" x14ac:dyDescent="0.2">
      <c r="B2311" s="1"/>
      <c r="C2311" s="2"/>
      <c r="D2311" s="38"/>
      <c r="F2311" s="1"/>
      <c r="G2311" s="2"/>
      <c r="H2311" s="38"/>
      <c r="J2311" s="3"/>
      <c r="K2311" s="3"/>
      <c r="L2311" s="39"/>
      <c r="N2311" s="3"/>
      <c r="O2311" s="3"/>
      <c r="P2311" s="39"/>
      <c r="R2311" s="39"/>
    </row>
    <row r="2312" spans="2:18" x14ac:dyDescent="0.2">
      <c r="B2312" s="1"/>
      <c r="C2312" s="2"/>
      <c r="D2312" s="38"/>
      <c r="F2312" s="1"/>
      <c r="G2312" s="2"/>
      <c r="H2312" s="38"/>
      <c r="J2312" s="3"/>
      <c r="K2312" s="3"/>
      <c r="L2312" s="39"/>
      <c r="N2312" s="3"/>
      <c r="O2312" s="3"/>
      <c r="P2312" s="39"/>
      <c r="R2312" s="39"/>
    </row>
    <row r="2313" spans="2:18" x14ac:dyDescent="0.2">
      <c r="B2313" s="1"/>
      <c r="C2313" s="2"/>
      <c r="D2313" s="38"/>
      <c r="F2313" s="1"/>
      <c r="G2313" s="2"/>
      <c r="H2313" s="38"/>
      <c r="J2313" s="3"/>
      <c r="K2313" s="3"/>
      <c r="L2313" s="39"/>
      <c r="N2313" s="3"/>
      <c r="O2313" s="3"/>
      <c r="P2313" s="39"/>
      <c r="R2313" s="39"/>
    </row>
    <row r="2314" spans="2:18" x14ac:dyDescent="0.2">
      <c r="B2314" s="1"/>
      <c r="C2314" s="2"/>
      <c r="D2314" s="38"/>
      <c r="F2314" s="1"/>
      <c r="G2314" s="2"/>
      <c r="H2314" s="38"/>
      <c r="J2314" s="3"/>
      <c r="K2314" s="3"/>
      <c r="L2314" s="39"/>
      <c r="N2314" s="3"/>
      <c r="O2314" s="3"/>
      <c r="P2314" s="39"/>
      <c r="R2314" s="39"/>
    </row>
    <row r="2315" spans="2:18" x14ac:dyDescent="0.2">
      <c r="B2315" s="1"/>
      <c r="C2315" s="2"/>
      <c r="D2315" s="38"/>
      <c r="F2315" s="1"/>
      <c r="G2315" s="2"/>
      <c r="H2315" s="38"/>
      <c r="J2315" s="3"/>
      <c r="K2315" s="3"/>
      <c r="L2315" s="39"/>
      <c r="N2315" s="3"/>
      <c r="O2315" s="3"/>
      <c r="P2315" s="39"/>
      <c r="R2315" s="39"/>
    </row>
    <row r="2316" spans="2:18" x14ac:dyDescent="0.2">
      <c r="B2316" s="1"/>
      <c r="C2316" s="2"/>
      <c r="D2316" s="38"/>
      <c r="F2316" s="1"/>
      <c r="G2316" s="2"/>
      <c r="H2316" s="38"/>
      <c r="J2316" s="3"/>
      <c r="K2316" s="3"/>
      <c r="L2316" s="39"/>
      <c r="N2316" s="3"/>
      <c r="O2316" s="3"/>
      <c r="P2316" s="39"/>
      <c r="R2316" s="39"/>
    </row>
    <row r="2317" spans="2:18" x14ac:dyDescent="0.2">
      <c r="B2317" s="1"/>
      <c r="C2317" s="2"/>
      <c r="D2317" s="38"/>
      <c r="F2317" s="1"/>
      <c r="G2317" s="2"/>
      <c r="H2317" s="38"/>
      <c r="J2317" s="3"/>
      <c r="K2317" s="3"/>
      <c r="L2317" s="39"/>
      <c r="N2317" s="3"/>
      <c r="O2317" s="3"/>
      <c r="P2317" s="39"/>
      <c r="R2317" s="39"/>
    </row>
    <row r="2318" spans="2:18" x14ac:dyDescent="0.2">
      <c r="B2318" s="1"/>
      <c r="C2318" s="2"/>
      <c r="D2318" s="38"/>
      <c r="F2318" s="1"/>
      <c r="G2318" s="2"/>
      <c r="H2318" s="38"/>
      <c r="J2318" s="3"/>
      <c r="K2318" s="3"/>
      <c r="L2318" s="39"/>
      <c r="N2318" s="3"/>
      <c r="O2318" s="3"/>
      <c r="P2318" s="39"/>
      <c r="R2318" s="39"/>
    </row>
    <row r="2319" spans="2:18" x14ac:dyDescent="0.2">
      <c r="B2319" s="1"/>
      <c r="C2319" s="2"/>
      <c r="D2319" s="38"/>
      <c r="F2319" s="1"/>
      <c r="G2319" s="2"/>
      <c r="H2319" s="38"/>
      <c r="J2319" s="3"/>
      <c r="K2319" s="3"/>
      <c r="L2319" s="39"/>
      <c r="N2319" s="3"/>
      <c r="O2319" s="3"/>
      <c r="P2319" s="39"/>
      <c r="R2319" s="39"/>
    </row>
    <row r="2320" spans="2:18" x14ac:dyDescent="0.2">
      <c r="B2320" s="1"/>
      <c r="C2320" s="2"/>
      <c r="D2320" s="38"/>
      <c r="F2320" s="1"/>
      <c r="G2320" s="2"/>
      <c r="H2320" s="38"/>
      <c r="J2320" s="3"/>
      <c r="K2320" s="3"/>
      <c r="L2320" s="39"/>
      <c r="N2320" s="3"/>
      <c r="O2320" s="3"/>
      <c r="P2320" s="39"/>
      <c r="R2320" s="39"/>
    </row>
    <row r="2321" spans="2:18" x14ac:dyDescent="0.2">
      <c r="B2321" s="1"/>
      <c r="C2321" s="2"/>
      <c r="D2321" s="38"/>
      <c r="F2321" s="1"/>
      <c r="G2321" s="2"/>
      <c r="H2321" s="38"/>
      <c r="J2321" s="3"/>
      <c r="K2321" s="3"/>
      <c r="L2321" s="39"/>
      <c r="N2321" s="3"/>
      <c r="O2321" s="3"/>
      <c r="P2321" s="39"/>
      <c r="R2321" s="39"/>
    </row>
    <row r="2322" spans="2:18" x14ac:dyDescent="0.2">
      <c r="B2322" s="1"/>
      <c r="C2322" s="2"/>
      <c r="D2322" s="38"/>
      <c r="F2322" s="1"/>
      <c r="G2322" s="2"/>
      <c r="H2322" s="38"/>
      <c r="J2322" s="3"/>
      <c r="K2322" s="3"/>
      <c r="L2322" s="39"/>
      <c r="N2322" s="3"/>
      <c r="O2322" s="3"/>
      <c r="P2322" s="39"/>
      <c r="R2322" s="39"/>
    </row>
    <row r="2323" spans="2:18" x14ac:dyDescent="0.2">
      <c r="B2323" s="1"/>
      <c r="C2323" s="2"/>
      <c r="D2323" s="38"/>
      <c r="F2323" s="1"/>
      <c r="G2323" s="2"/>
      <c r="H2323" s="38"/>
      <c r="J2323" s="3"/>
      <c r="K2323" s="3"/>
      <c r="L2323" s="39"/>
      <c r="N2323" s="3"/>
      <c r="O2323" s="3"/>
      <c r="P2323" s="39"/>
      <c r="R2323" s="39"/>
    </row>
    <row r="2324" spans="2:18" x14ac:dyDescent="0.2">
      <c r="B2324" s="1"/>
      <c r="C2324" s="2"/>
      <c r="D2324" s="38"/>
      <c r="F2324" s="1"/>
      <c r="G2324" s="2"/>
      <c r="H2324" s="38"/>
      <c r="J2324" s="3"/>
      <c r="K2324" s="3"/>
      <c r="L2324" s="39"/>
      <c r="N2324" s="3"/>
      <c r="O2324" s="3"/>
      <c r="P2324" s="39"/>
      <c r="R2324" s="39"/>
    </row>
    <row r="2325" spans="2:18" x14ac:dyDescent="0.2">
      <c r="B2325" s="1"/>
      <c r="C2325" s="2"/>
      <c r="D2325" s="38"/>
      <c r="F2325" s="1"/>
      <c r="G2325" s="2"/>
      <c r="H2325" s="38"/>
      <c r="J2325" s="3"/>
      <c r="K2325" s="3"/>
      <c r="L2325" s="39"/>
      <c r="N2325" s="3"/>
      <c r="O2325" s="3"/>
      <c r="P2325" s="39"/>
      <c r="R2325" s="39"/>
    </row>
    <row r="2326" spans="2:18" x14ac:dyDescent="0.2">
      <c r="B2326" s="1"/>
      <c r="C2326" s="2"/>
      <c r="D2326" s="38"/>
      <c r="F2326" s="1"/>
      <c r="G2326" s="2"/>
      <c r="H2326" s="38"/>
      <c r="J2326" s="3"/>
      <c r="K2326" s="3"/>
      <c r="L2326" s="39"/>
      <c r="N2326" s="3"/>
      <c r="O2326" s="3"/>
      <c r="P2326" s="39"/>
      <c r="R2326" s="39"/>
    </row>
    <row r="2327" spans="2:18" x14ac:dyDescent="0.2">
      <c r="B2327" s="1"/>
      <c r="C2327" s="2"/>
      <c r="D2327" s="38"/>
      <c r="F2327" s="1"/>
      <c r="G2327" s="2"/>
      <c r="H2327" s="38"/>
      <c r="J2327" s="3"/>
      <c r="K2327" s="3"/>
      <c r="L2327" s="39"/>
      <c r="N2327" s="3"/>
      <c r="O2327" s="3"/>
      <c r="P2327" s="39"/>
      <c r="R2327" s="39"/>
    </row>
    <row r="2328" spans="2:18" x14ac:dyDescent="0.2">
      <c r="B2328" s="1"/>
      <c r="C2328" s="2"/>
      <c r="D2328" s="38"/>
      <c r="F2328" s="1"/>
      <c r="G2328" s="2"/>
      <c r="H2328" s="38"/>
      <c r="J2328" s="3"/>
      <c r="K2328" s="3"/>
      <c r="L2328" s="39"/>
      <c r="N2328" s="3"/>
      <c r="O2328" s="3"/>
      <c r="P2328" s="39"/>
      <c r="R2328" s="39"/>
    </row>
    <row r="2329" spans="2:18" x14ac:dyDescent="0.2">
      <c r="B2329" s="1"/>
      <c r="C2329" s="2"/>
      <c r="D2329" s="38"/>
      <c r="F2329" s="1"/>
      <c r="G2329" s="2"/>
      <c r="H2329" s="38"/>
      <c r="J2329" s="3"/>
      <c r="K2329" s="3"/>
      <c r="L2329" s="39"/>
      <c r="N2329" s="3"/>
      <c r="O2329" s="3"/>
      <c r="P2329" s="39"/>
      <c r="R2329" s="39"/>
    </row>
    <row r="2330" spans="2:18" x14ac:dyDescent="0.2">
      <c r="B2330" s="1"/>
      <c r="C2330" s="2"/>
      <c r="D2330" s="38"/>
      <c r="F2330" s="1"/>
      <c r="G2330" s="2"/>
      <c r="H2330" s="38"/>
      <c r="J2330" s="3"/>
      <c r="K2330" s="3"/>
      <c r="L2330" s="39"/>
      <c r="N2330" s="3"/>
      <c r="O2330" s="3"/>
      <c r="P2330" s="39"/>
      <c r="R2330" s="39"/>
    </row>
    <row r="2331" spans="2:18" x14ac:dyDescent="0.2">
      <c r="B2331" s="1"/>
      <c r="C2331" s="2"/>
      <c r="D2331" s="38"/>
      <c r="F2331" s="1"/>
      <c r="G2331" s="2"/>
      <c r="H2331" s="38"/>
      <c r="J2331" s="3"/>
      <c r="K2331" s="3"/>
      <c r="L2331" s="39"/>
      <c r="N2331" s="3"/>
      <c r="O2331" s="3"/>
      <c r="P2331" s="39"/>
      <c r="R2331" s="39"/>
    </row>
    <row r="2332" spans="2:18" x14ac:dyDescent="0.2">
      <c r="B2332" s="1"/>
      <c r="C2332" s="2"/>
      <c r="D2332" s="38"/>
      <c r="F2332" s="1"/>
      <c r="G2332" s="2"/>
      <c r="H2332" s="38"/>
      <c r="J2332" s="3"/>
      <c r="K2332" s="3"/>
      <c r="L2332" s="39"/>
      <c r="N2332" s="3"/>
      <c r="O2332" s="3"/>
      <c r="P2332" s="39"/>
      <c r="R2332" s="39"/>
    </row>
    <row r="2333" spans="2:18" x14ac:dyDescent="0.2">
      <c r="B2333" s="1"/>
      <c r="C2333" s="2"/>
      <c r="D2333" s="38"/>
      <c r="F2333" s="1"/>
      <c r="G2333" s="2"/>
      <c r="H2333" s="38"/>
      <c r="J2333" s="3"/>
      <c r="K2333" s="3"/>
      <c r="L2333" s="39"/>
      <c r="N2333" s="3"/>
      <c r="O2333" s="3"/>
      <c r="P2333" s="39"/>
      <c r="R2333" s="39"/>
    </row>
    <row r="2334" spans="2:18" x14ac:dyDescent="0.2">
      <c r="B2334" s="1"/>
      <c r="C2334" s="2"/>
      <c r="D2334" s="38"/>
      <c r="F2334" s="1"/>
      <c r="G2334" s="2"/>
      <c r="H2334" s="38"/>
      <c r="J2334" s="3"/>
      <c r="K2334" s="3"/>
      <c r="L2334" s="39"/>
      <c r="N2334" s="3"/>
      <c r="O2334" s="3"/>
      <c r="P2334" s="39"/>
      <c r="R2334" s="39"/>
    </row>
    <row r="2335" spans="2:18" x14ac:dyDescent="0.2">
      <c r="B2335" s="1"/>
      <c r="C2335" s="2"/>
      <c r="D2335" s="38"/>
      <c r="F2335" s="1"/>
      <c r="G2335" s="2"/>
      <c r="H2335" s="38"/>
      <c r="J2335" s="3"/>
      <c r="K2335" s="3"/>
      <c r="L2335" s="39"/>
      <c r="N2335" s="3"/>
      <c r="O2335" s="3"/>
      <c r="P2335" s="39"/>
      <c r="R2335" s="39"/>
    </row>
    <row r="2336" spans="2:18" x14ac:dyDescent="0.2">
      <c r="B2336" s="1"/>
      <c r="C2336" s="2"/>
      <c r="D2336" s="38"/>
      <c r="F2336" s="1"/>
      <c r="G2336" s="2"/>
      <c r="H2336" s="38"/>
      <c r="J2336" s="3"/>
      <c r="K2336" s="3"/>
      <c r="L2336" s="39"/>
      <c r="N2336" s="3"/>
      <c r="O2336" s="3"/>
      <c r="P2336" s="39"/>
      <c r="R2336" s="39"/>
    </row>
    <row r="2337" spans="2:18" x14ac:dyDescent="0.2">
      <c r="B2337" s="1"/>
      <c r="C2337" s="2"/>
      <c r="D2337" s="38"/>
      <c r="F2337" s="1"/>
      <c r="G2337" s="2"/>
      <c r="H2337" s="38"/>
      <c r="J2337" s="3"/>
      <c r="K2337" s="3"/>
      <c r="L2337" s="39"/>
      <c r="N2337" s="3"/>
      <c r="O2337" s="3"/>
      <c r="P2337" s="39"/>
      <c r="R2337" s="39"/>
    </row>
    <row r="2338" spans="2:18" x14ac:dyDescent="0.2">
      <c r="B2338" s="1"/>
      <c r="C2338" s="2"/>
      <c r="D2338" s="38"/>
      <c r="F2338" s="1"/>
      <c r="G2338" s="2"/>
      <c r="H2338" s="38"/>
      <c r="J2338" s="3"/>
      <c r="K2338" s="3"/>
      <c r="L2338" s="39"/>
      <c r="N2338" s="3"/>
      <c r="O2338" s="3"/>
      <c r="P2338" s="39"/>
      <c r="R2338" s="39"/>
    </row>
    <row r="2339" spans="2:18" x14ac:dyDescent="0.2">
      <c r="B2339" s="1"/>
      <c r="C2339" s="2"/>
      <c r="D2339" s="38"/>
      <c r="F2339" s="1"/>
      <c r="G2339" s="2"/>
      <c r="H2339" s="38"/>
      <c r="J2339" s="3"/>
      <c r="K2339" s="3"/>
      <c r="L2339" s="39"/>
      <c r="N2339" s="3"/>
      <c r="O2339" s="3"/>
      <c r="P2339" s="39"/>
      <c r="R2339" s="39"/>
    </row>
    <row r="2340" spans="2:18" x14ac:dyDescent="0.2">
      <c r="B2340" s="1"/>
      <c r="C2340" s="2"/>
      <c r="D2340" s="38"/>
      <c r="F2340" s="1"/>
      <c r="G2340" s="2"/>
      <c r="H2340" s="38"/>
      <c r="J2340" s="3"/>
      <c r="K2340" s="3"/>
      <c r="L2340" s="39"/>
      <c r="N2340" s="3"/>
      <c r="O2340" s="3"/>
      <c r="P2340" s="39"/>
      <c r="R2340" s="39"/>
    </row>
    <row r="2341" spans="2:18" x14ac:dyDescent="0.2">
      <c r="B2341" s="1"/>
      <c r="C2341" s="2"/>
      <c r="D2341" s="38"/>
      <c r="F2341" s="1"/>
      <c r="G2341" s="2"/>
      <c r="H2341" s="38"/>
      <c r="J2341" s="3"/>
      <c r="K2341" s="3"/>
      <c r="L2341" s="39"/>
      <c r="N2341" s="3"/>
      <c r="O2341" s="3"/>
      <c r="P2341" s="39"/>
      <c r="R2341" s="39"/>
    </row>
    <row r="2342" spans="2:18" x14ac:dyDescent="0.2">
      <c r="B2342" s="1"/>
      <c r="C2342" s="2"/>
      <c r="D2342" s="38"/>
      <c r="F2342" s="1"/>
      <c r="G2342" s="2"/>
      <c r="H2342" s="38"/>
      <c r="J2342" s="3"/>
      <c r="K2342" s="3"/>
      <c r="L2342" s="39"/>
      <c r="N2342" s="3"/>
      <c r="O2342" s="3"/>
      <c r="P2342" s="39"/>
      <c r="R2342" s="39"/>
    </row>
    <row r="2343" spans="2:18" x14ac:dyDescent="0.2">
      <c r="B2343" s="1"/>
      <c r="C2343" s="2"/>
      <c r="D2343" s="38"/>
      <c r="F2343" s="1"/>
      <c r="G2343" s="2"/>
      <c r="H2343" s="38"/>
      <c r="J2343" s="3"/>
      <c r="K2343" s="3"/>
      <c r="L2343" s="39"/>
      <c r="N2343" s="3"/>
      <c r="O2343" s="3"/>
      <c r="P2343" s="39"/>
      <c r="R2343" s="39"/>
    </row>
    <row r="2344" spans="2:18" x14ac:dyDescent="0.2">
      <c r="B2344" s="1"/>
      <c r="C2344" s="2"/>
      <c r="D2344" s="38"/>
      <c r="F2344" s="1"/>
      <c r="G2344" s="2"/>
      <c r="H2344" s="38"/>
      <c r="J2344" s="3"/>
      <c r="K2344" s="3"/>
      <c r="L2344" s="39"/>
      <c r="N2344" s="3"/>
      <c r="O2344" s="3"/>
      <c r="P2344" s="39"/>
      <c r="R2344" s="39"/>
    </row>
    <row r="2345" spans="2:18" x14ac:dyDescent="0.2">
      <c r="B2345" s="1"/>
      <c r="C2345" s="2"/>
      <c r="D2345" s="38"/>
      <c r="F2345" s="1"/>
      <c r="G2345" s="2"/>
      <c r="H2345" s="38"/>
      <c r="J2345" s="3"/>
      <c r="K2345" s="3"/>
      <c r="L2345" s="39"/>
      <c r="N2345" s="3"/>
      <c r="O2345" s="3"/>
      <c r="P2345" s="39"/>
      <c r="R2345" s="39"/>
    </row>
    <row r="2346" spans="2:18" x14ac:dyDescent="0.2">
      <c r="B2346" s="1"/>
      <c r="C2346" s="2"/>
      <c r="D2346" s="38"/>
      <c r="F2346" s="1"/>
      <c r="G2346" s="2"/>
      <c r="H2346" s="38"/>
      <c r="J2346" s="3"/>
      <c r="K2346" s="3"/>
      <c r="L2346" s="39"/>
      <c r="N2346" s="3"/>
      <c r="O2346" s="3"/>
      <c r="P2346" s="39"/>
      <c r="R2346" s="39"/>
    </row>
    <row r="2347" spans="2:18" x14ac:dyDescent="0.2">
      <c r="B2347" s="1"/>
      <c r="C2347" s="2"/>
      <c r="D2347" s="38"/>
      <c r="F2347" s="1"/>
      <c r="G2347" s="2"/>
      <c r="H2347" s="38"/>
      <c r="J2347" s="3"/>
      <c r="K2347" s="3"/>
      <c r="L2347" s="39"/>
      <c r="N2347" s="3"/>
      <c r="O2347" s="3"/>
      <c r="P2347" s="39"/>
      <c r="R2347" s="39"/>
    </row>
    <row r="2348" spans="2:18" x14ac:dyDescent="0.2">
      <c r="B2348" s="1"/>
      <c r="C2348" s="2"/>
      <c r="D2348" s="38"/>
      <c r="F2348" s="1"/>
      <c r="G2348" s="2"/>
      <c r="H2348" s="38"/>
      <c r="J2348" s="3"/>
      <c r="K2348" s="3"/>
      <c r="L2348" s="39"/>
      <c r="N2348" s="3"/>
      <c r="O2348" s="3"/>
      <c r="P2348" s="39"/>
      <c r="R2348" s="39"/>
    </row>
    <row r="2349" spans="2:18" x14ac:dyDescent="0.2">
      <c r="B2349" s="1"/>
      <c r="C2349" s="2"/>
      <c r="D2349" s="38"/>
      <c r="F2349" s="1"/>
      <c r="G2349" s="2"/>
      <c r="H2349" s="38"/>
      <c r="J2349" s="3"/>
      <c r="K2349" s="3"/>
      <c r="L2349" s="39"/>
      <c r="N2349" s="3"/>
      <c r="O2349" s="3"/>
      <c r="P2349" s="39"/>
      <c r="R2349" s="39"/>
    </row>
    <row r="2350" spans="2:18" x14ac:dyDescent="0.2">
      <c r="B2350" s="1"/>
      <c r="C2350" s="2"/>
      <c r="D2350" s="38"/>
      <c r="F2350" s="1"/>
      <c r="G2350" s="2"/>
      <c r="H2350" s="38"/>
      <c r="J2350" s="3"/>
      <c r="K2350" s="3"/>
      <c r="L2350" s="39"/>
      <c r="N2350" s="3"/>
      <c r="O2350" s="3"/>
      <c r="P2350" s="39"/>
      <c r="R2350" s="39"/>
    </row>
    <row r="2351" spans="2:18" x14ac:dyDescent="0.2">
      <c r="B2351" s="1"/>
      <c r="C2351" s="2"/>
      <c r="D2351" s="38"/>
      <c r="F2351" s="1"/>
      <c r="G2351" s="2"/>
      <c r="H2351" s="38"/>
      <c r="J2351" s="3"/>
      <c r="K2351" s="3"/>
      <c r="L2351" s="39"/>
      <c r="N2351" s="3"/>
      <c r="O2351" s="3"/>
      <c r="P2351" s="39"/>
      <c r="R2351" s="39"/>
    </row>
    <row r="2352" spans="2:18" x14ac:dyDescent="0.2">
      <c r="B2352" s="1"/>
      <c r="C2352" s="2"/>
      <c r="D2352" s="38"/>
      <c r="F2352" s="1"/>
      <c r="G2352" s="2"/>
      <c r="H2352" s="38"/>
      <c r="J2352" s="3"/>
      <c r="K2352" s="3"/>
      <c r="L2352" s="39"/>
      <c r="N2352" s="3"/>
      <c r="O2352" s="3"/>
      <c r="P2352" s="39"/>
      <c r="R2352" s="39"/>
    </row>
    <row r="2353" spans="2:18" x14ac:dyDescent="0.2">
      <c r="B2353" s="1"/>
      <c r="C2353" s="2"/>
      <c r="D2353" s="38"/>
      <c r="F2353" s="1"/>
      <c r="G2353" s="2"/>
      <c r="H2353" s="38"/>
      <c r="J2353" s="3"/>
      <c r="K2353" s="3"/>
      <c r="L2353" s="39"/>
      <c r="N2353" s="3"/>
      <c r="O2353" s="3"/>
      <c r="P2353" s="39"/>
      <c r="R2353" s="39"/>
    </row>
    <row r="2354" spans="2:18" x14ac:dyDescent="0.2">
      <c r="B2354" s="1"/>
      <c r="C2354" s="2"/>
      <c r="D2354" s="38"/>
      <c r="F2354" s="1"/>
      <c r="G2354" s="2"/>
      <c r="H2354" s="38"/>
      <c r="J2354" s="3"/>
      <c r="K2354" s="3"/>
      <c r="L2354" s="39"/>
      <c r="N2354" s="3"/>
      <c r="O2354" s="3"/>
      <c r="P2354" s="39"/>
      <c r="R2354" s="39"/>
    </row>
    <row r="2355" spans="2:18" x14ac:dyDescent="0.2">
      <c r="B2355" s="1"/>
      <c r="C2355" s="2"/>
      <c r="D2355" s="38"/>
      <c r="F2355" s="1"/>
      <c r="G2355" s="2"/>
      <c r="H2355" s="38"/>
      <c r="J2355" s="3"/>
      <c r="K2355" s="3"/>
      <c r="L2355" s="39"/>
      <c r="N2355" s="3"/>
      <c r="O2355" s="3"/>
      <c r="P2355" s="39"/>
      <c r="R2355" s="39"/>
    </row>
    <row r="2356" spans="2:18" x14ac:dyDescent="0.2">
      <c r="B2356" s="1"/>
      <c r="C2356" s="2"/>
      <c r="D2356" s="38"/>
      <c r="F2356" s="1"/>
      <c r="G2356" s="2"/>
      <c r="H2356" s="38"/>
      <c r="J2356" s="3"/>
      <c r="K2356" s="3"/>
      <c r="L2356" s="39"/>
      <c r="N2356" s="3"/>
      <c r="O2356" s="3"/>
      <c r="P2356" s="39"/>
      <c r="R2356" s="39"/>
    </row>
    <row r="2357" spans="2:18" x14ac:dyDescent="0.2">
      <c r="B2357" s="1"/>
      <c r="C2357" s="2"/>
      <c r="D2357" s="38"/>
      <c r="F2357" s="1"/>
      <c r="G2357" s="2"/>
      <c r="H2357" s="38"/>
      <c r="J2357" s="3"/>
      <c r="K2357" s="3"/>
      <c r="L2357" s="39"/>
      <c r="N2357" s="3"/>
      <c r="O2357" s="3"/>
      <c r="P2357" s="39"/>
      <c r="R2357" s="39"/>
    </row>
    <row r="2358" spans="2:18" x14ac:dyDescent="0.2">
      <c r="B2358" s="1"/>
      <c r="C2358" s="2"/>
      <c r="D2358" s="38"/>
      <c r="F2358" s="1"/>
      <c r="G2358" s="2"/>
      <c r="H2358" s="38"/>
      <c r="J2358" s="3"/>
      <c r="K2358" s="3"/>
      <c r="L2358" s="39"/>
      <c r="N2358" s="3"/>
      <c r="O2358" s="3"/>
      <c r="P2358" s="39"/>
      <c r="R2358" s="39"/>
    </row>
    <row r="2359" spans="2:18" x14ac:dyDescent="0.2">
      <c r="B2359" s="1"/>
      <c r="C2359" s="2"/>
      <c r="D2359" s="38"/>
      <c r="F2359" s="1"/>
      <c r="G2359" s="2"/>
      <c r="H2359" s="38"/>
      <c r="J2359" s="3"/>
      <c r="K2359" s="3"/>
      <c r="L2359" s="39"/>
      <c r="N2359" s="3"/>
      <c r="O2359" s="3"/>
      <c r="P2359" s="39"/>
      <c r="R2359" s="39"/>
    </row>
    <row r="2360" spans="2:18" x14ac:dyDescent="0.2">
      <c r="B2360" s="1"/>
      <c r="C2360" s="2"/>
      <c r="D2360" s="38"/>
      <c r="F2360" s="1"/>
      <c r="G2360" s="2"/>
      <c r="H2360" s="38"/>
      <c r="J2360" s="3"/>
      <c r="K2360" s="3"/>
      <c r="L2360" s="39"/>
      <c r="N2360" s="3"/>
      <c r="O2360" s="3"/>
      <c r="P2360" s="39"/>
      <c r="R2360" s="39"/>
    </row>
    <row r="2361" spans="2:18" x14ac:dyDescent="0.2">
      <c r="B2361" s="1"/>
      <c r="C2361" s="2"/>
      <c r="D2361" s="38"/>
      <c r="F2361" s="1"/>
      <c r="G2361" s="2"/>
      <c r="H2361" s="38"/>
      <c r="J2361" s="3"/>
      <c r="K2361" s="3"/>
      <c r="L2361" s="39"/>
      <c r="N2361" s="3"/>
      <c r="O2361" s="3"/>
      <c r="P2361" s="39"/>
      <c r="R2361" s="39"/>
    </row>
    <row r="2362" spans="2:18" x14ac:dyDescent="0.2">
      <c r="B2362" s="1"/>
      <c r="C2362" s="2"/>
      <c r="D2362" s="38"/>
      <c r="F2362" s="1"/>
      <c r="G2362" s="2"/>
      <c r="H2362" s="38"/>
      <c r="J2362" s="3"/>
      <c r="K2362" s="3"/>
      <c r="L2362" s="39"/>
      <c r="N2362" s="3"/>
      <c r="O2362" s="3"/>
      <c r="P2362" s="39"/>
      <c r="R2362" s="39"/>
    </row>
    <row r="2363" spans="2:18" x14ac:dyDescent="0.2">
      <c r="B2363" s="1"/>
      <c r="C2363" s="2"/>
      <c r="D2363" s="38"/>
      <c r="F2363" s="1"/>
      <c r="G2363" s="2"/>
      <c r="H2363" s="38"/>
      <c r="J2363" s="3"/>
      <c r="K2363" s="3"/>
      <c r="L2363" s="39"/>
      <c r="N2363" s="3"/>
      <c r="O2363" s="3"/>
      <c r="P2363" s="39"/>
      <c r="R2363" s="39"/>
    </row>
    <row r="2364" spans="2:18" x14ac:dyDescent="0.2">
      <c r="B2364" s="1"/>
      <c r="C2364" s="2"/>
      <c r="D2364" s="38"/>
      <c r="F2364" s="1"/>
      <c r="G2364" s="2"/>
      <c r="H2364" s="38"/>
      <c r="J2364" s="3"/>
      <c r="K2364" s="3"/>
      <c r="L2364" s="39"/>
      <c r="N2364" s="3"/>
      <c r="O2364" s="3"/>
      <c r="P2364" s="39"/>
      <c r="R2364" s="39"/>
    </row>
    <row r="2365" spans="2:18" x14ac:dyDescent="0.2">
      <c r="B2365" s="1"/>
      <c r="C2365" s="2"/>
      <c r="D2365" s="38"/>
      <c r="F2365" s="1"/>
      <c r="G2365" s="2"/>
      <c r="H2365" s="38"/>
      <c r="J2365" s="3"/>
      <c r="K2365" s="3"/>
      <c r="L2365" s="39"/>
      <c r="N2365" s="3"/>
      <c r="O2365" s="3"/>
      <c r="P2365" s="39"/>
      <c r="R2365" s="39"/>
    </row>
    <row r="2366" spans="2:18" x14ac:dyDescent="0.2">
      <c r="B2366" s="1"/>
      <c r="C2366" s="2"/>
      <c r="D2366" s="38"/>
      <c r="F2366" s="1"/>
      <c r="G2366" s="2"/>
      <c r="H2366" s="38"/>
      <c r="J2366" s="3"/>
      <c r="K2366" s="3"/>
      <c r="L2366" s="39"/>
      <c r="N2366" s="3"/>
      <c r="O2366" s="3"/>
      <c r="P2366" s="39"/>
      <c r="R2366" s="39"/>
    </row>
    <row r="2367" spans="2:18" x14ac:dyDescent="0.2">
      <c r="B2367" s="1"/>
      <c r="C2367" s="2"/>
      <c r="D2367" s="38"/>
      <c r="F2367" s="1"/>
      <c r="G2367" s="2"/>
      <c r="H2367" s="38"/>
      <c r="J2367" s="3"/>
      <c r="K2367" s="3"/>
      <c r="L2367" s="39"/>
      <c r="N2367" s="3"/>
      <c r="O2367" s="3"/>
      <c r="P2367" s="39"/>
      <c r="R2367" s="39"/>
    </row>
    <row r="2368" spans="2:18" x14ac:dyDescent="0.2">
      <c r="B2368" s="1"/>
      <c r="C2368" s="2"/>
      <c r="D2368" s="38"/>
      <c r="F2368" s="1"/>
      <c r="G2368" s="2"/>
      <c r="H2368" s="38"/>
      <c r="J2368" s="3"/>
      <c r="K2368" s="3"/>
      <c r="L2368" s="39"/>
      <c r="N2368" s="3"/>
      <c r="O2368" s="3"/>
      <c r="P2368" s="39"/>
      <c r="R2368" s="39"/>
    </row>
    <row r="2369" spans="2:18" x14ac:dyDescent="0.2">
      <c r="B2369" s="1"/>
      <c r="C2369" s="2"/>
      <c r="D2369" s="38"/>
      <c r="F2369" s="1"/>
      <c r="G2369" s="2"/>
      <c r="H2369" s="38"/>
      <c r="J2369" s="3"/>
      <c r="K2369" s="3"/>
      <c r="L2369" s="39"/>
      <c r="N2369" s="3"/>
      <c r="O2369" s="3"/>
      <c r="P2369" s="39"/>
      <c r="R2369" s="39"/>
    </row>
    <row r="2370" spans="2:18" x14ac:dyDescent="0.2">
      <c r="B2370" s="1"/>
      <c r="C2370" s="2"/>
      <c r="D2370" s="38"/>
      <c r="F2370" s="1"/>
      <c r="G2370" s="2"/>
      <c r="H2370" s="38"/>
      <c r="J2370" s="3"/>
      <c r="K2370" s="3"/>
      <c r="L2370" s="39"/>
      <c r="N2370" s="3"/>
      <c r="O2370" s="3"/>
      <c r="P2370" s="39"/>
      <c r="R2370" s="39"/>
    </row>
    <row r="2371" spans="2:18" x14ac:dyDescent="0.2">
      <c r="B2371" s="1"/>
      <c r="C2371" s="2"/>
      <c r="D2371" s="38"/>
      <c r="F2371" s="1"/>
      <c r="G2371" s="2"/>
      <c r="H2371" s="38"/>
      <c r="J2371" s="3"/>
      <c r="K2371" s="3"/>
      <c r="L2371" s="39"/>
      <c r="N2371" s="3"/>
      <c r="O2371" s="3"/>
      <c r="P2371" s="39"/>
      <c r="R2371" s="39"/>
    </row>
    <row r="2372" spans="2:18" x14ac:dyDescent="0.2">
      <c r="B2372" s="1"/>
      <c r="C2372" s="2"/>
      <c r="D2372" s="38"/>
      <c r="F2372" s="1"/>
      <c r="G2372" s="2"/>
      <c r="H2372" s="38"/>
      <c r="J2372" s="3"/>
      <c r="K2372" s="3"/>
      <c r="L2372" s="39"/>
      <c r="N2372" s="3"/>
      <c r="O2372" s="3"/>
      <c r="P2372" s="39"/>
      <c r="R2372" s="39"/>
    </row>
    <row r="2373" spans="2:18" x14ac:dyDescent="0.2">
      <c r="B2373" s="1"/>
      <c r="C2373" s="2"/>
      <c r="D2373" s="38"/>
      <c r="F2373" s="1"/>
      <c r="G2373" s="2"/>
      <c r="H2373" s="38"/>
      <c r="J2373" s="3"/>
      <c r="K2373" s="3"/>
      <c r="L2373" s="39"/>
      <c r="N2373" s="3"/>
      <c r="O2373" s="3"/>
      <c r="P2373" s="39"/>
      <c r="R2373" s="39"/>
    </row>
    <row r="2374" spans="2:18" x14ac:dyDescent="0.2">
      <c r="B2374" s="1"/>
      <c r="C2374" s="2"/>
      <c r="D2374" s="38"/>
      <c r="F2374" s="1"/>
      <c r="G2374" s="2"/>
      <c r="H2374" s="38"/>
      <c r="J2374" s="3"/>
      <c r="K2374" s="3"/>
      <c r="L2374" s="39"/>
      <c r="N2374" s="3"/>
      <c r="O2374" s="3"/>
      <c r="P2374" s="39"/>
      <c r="R2374" s="39"/>
    </row>
    <row r="2375" spans="2:18" x14ac:dyDescent="0.2">
      <c r="B2375" s="1"/>
      <c r="C2375" s="2"/>
      <c r="D2375" s="38"/>
      <c r="F2375" s="1"/>
      <c r="G2375" s="2"/>
      <c r="H2375" s="38"/>
      <c r="J2375" s="3"/>
      <c r="K2375" s="3"/>
      <c r="L2375" s="39"/>
      <c r="N2375" s="3"/>
      <c r="O2375" s="3"/>
      <c r="P2375" s="39"/>
      <c r="R2375" s="39"/>
    </row>
    <row r="2376" spans="2:18" x14ac:dyDescent="0.2">
      <c r="B2376" s="1"/>
      <c r="C2376" s="2"/>
      <c r="D2376" s="38"/>
      <c r="F2376" s="1"/>
      <c r="G2376" s="2"/>
      <c r="H2376" s="38"/>
      <c r="J2376" s="3"/>
      <c r="K2376" s="3"/>
      <c r="L2376" s="39"/>
      <c r="N2376" s="3"/>
      <c r="O2376" s="3"/>
      <c r="P2376" s="39"/>
      <c r="R2376" s="39"/>
    </row>
    <row r="2377" spans="2:18" x14ac:dyDescent="0.2">
      <c r="B2377" s="1"/>
      <c r="C2377" s="2"/>
      <c r="D2377" s="38"/>
      <c r="F2377" s="1"/>
      <c r="G2377" s="2"/>
      <c r="H2377" s="38"/>
      <c r="J2377" s="3"/>
      <c r="K2377" s="3"/>
      <c r="L2377" s="39"/>
      <c r="N2377" s="3"/>
      <c r="O2377" s="3"/>
      <c r="P2377" s="39"/>
      <c r="R2377" s="39"/>
    </row>
    <row r="2378" spans="2:18" x14ac:dyDescent="0.2">
      <c r="B2378" s="1"/>
      <c r="C2378" s="2"/>
      <c r="D2378" s="38"/>
      <c r="F2378" s="1"/>
      <c r="G2378" s="2"/>
      <c r="H2378" s="38"/>
      <c r="J2378" s="3"/>
      <c r="K2378" s="3"/>
      <c r="L2378" s="39"/>
      <c r="N2378" s="3"/>
      <c r="O2378" s="3"/>
      <c r="P2378" s="39"/>
      <c r="R2378" s="39"/>
    </row>
    <row r="2379" spans="2:18" x14ac:dyDescent="0.2">
      <c r="B2379" s="1"/>
      <c r="C2379" s="2"/>
      <c r="D2379" s="38"/>
      <c r="F2379" s="1"/>
      <c r="G2379" s="2"/>
      <c r="H2379" s="38"/>
      <c r="J2379" s="3"/>
      <c r="K2379" s="3"/>
      <c r="L2379" s="39"/>
      <c r="N2379" s="3"/>
      <c r="O2379" s="3"/>
      <c r="P2379" s="39"/>
      <c r="R2379" s="39"/>
    </row>
    <row r="2380" spans="2:18" x14ac:dyDescent="0.2">
      <c r="B2380" s="1"/>
      <c r="C2380" s="2"/>
      <c r="D2380" s="38"/>
      <c r="F2380" s="1"/>
      <c r="G2380" s="2"/>
      <c r="H2380" s="38"/>
      <c r="J2380" s="3"/>
      <c r="K2380" s="3"/>
      <c r="L2380" s="39"/>
      <c r="N2380" s="3"/>
      <c r="O2380" s="3"/>
      <c r="P2380" s="39"/>
      <c r="R2380" s="39"/>
    </row>
    <row r="2381" spans="2:18" x14ac:dyDescent="0.2">
      <c r="B2381" s="1"/>
      <c r="C2381" s="2"/>
      <c r="D2381" s="38"/>
      <c r="F2381" s="1"/>
      <c r="G2381" s="2"/>
      <c r="H2381" s="38"/>
      <c r="J2381" s="3"/>
      <c r="K2381" s="3"/>
      <c r="L2381" s="39"/>
      <c r="N2381" s="3"/>
      <c r="O2381" s="3"/>
      <c r="P2381" s="39"/>
      <c r="R2381" s="39"/>
    </row>
    <row r="2382" spans="2:18" x14ac:dyDescent="0.2">
      <c r="B2382" s="1"/>
      <c r="C2382" s="2"/>
      <c r="D2382" s="38"/>
      <c r="F2382" s="1"/>
      <c r="G2382" s="2"/>
      <c r="H2382" s="38"/>
      <c r="J2382" s="3"/>
      <c r="K2382" s="3"/>
      <c r="L2382" s="39"/>
      <c r="N2382" s="3"/>
      <c r="O2382" s="3"/>
      <c r="P2382" s="39"/>
      <c r="R2382" s="39"/>
    </row>
    <row r="2383" spans="2:18" x14ac:dyDescent="0.2">
      <c r="B2383" s="1"/>
      <c r="C2383" s="2"/>
      <c r="D2383" s="38"/>
      <c r="F2383" s="1"/>
      <c r="G2383" s="2"/>
      <c r="H2383" s="38"/>
      <c r="J2383" s="3"/>
      <c r="K2383" s="3"/>
      <c r="L2383" s="39"/>
      <c r="N2383" s="3"/>
      <c r="O2383" s="3"/>
      <c r="P2383" s="39"/>
      <c r="R2383" s="39"/>
    </row>
    <row r="2384" spans="2:18" x14ac:dyDescent="0.2">
      <c r="B2384" s="1"/>
      <c r="C2384" s="2"/>
      <c r="D2384" s="38"/>
      <c r="F2384" s="1"/>
      <c r="G2384" s="2"/>
      <c r="H2384" s="38"/>
      <c r="J2384" s="3"/>
      <c r="K2384" s="3"/>
      <c r="L2384" s="39"/>
      <c r="N2384" s="3"/>
      <c r="O2384" s="3"/>
      <c r="P2384" s="39"/>
      <c r="R2384" s="39"/>
    </row>
    <row r="2385" spans="2:18" x14ac:dyDescent="0.2">
      <c r="B2385" s="1"/>
      <c r="C2385" s="2"/>
      <c r="D2385" s="38"/>
      <c r="F2385" s="1"/>
      <c r="G2385" s="2"/>
      <c r="H2385" s="38"/>
      <c r="J2385" s="3"/>
      <c r="K2385" s="3"/>
      <c r="L2385" s="39"/>
      <c r="N2385" s="3"/>
      <c r="O2385" s="3"/>
      <c r="P2385" s="39"/>
      <c r="R2385" s="39"/>
    </row>
    <row r="2386" spans="2:18" x14ac:dyDescent="0.2">
      <c r="B2386" s="1"/>
      <c r="C2386" s="2"/>
      <c r="D2386" s="38"/>
      <c r="F2386" s="1"/>
      <c r="G2386" s="2"/>
      <c r="H2386" s="38"/>
      <c r="J2386" s="3"/>
      <c r="K2386" s="3"/>
      <c r="L2386" s="39"/>
      <c r="N2386" s="3"/>
      <c r="O2386" s="3"/>
      <c r="P2386" s="39"/>
      <c r="R2386" s="39"/>
    </row>
    <row r="2387" spans="2:18" x14ac:dyDescent="0.2">
      <c r="B2387" s="1"/>
      <c r="C2387" s="2"/>
      <c r="D2387" s="38"/>
      <c r="F2387" s="1"/>
      <c r="G2387" s="2"/>
      <c r="H2387" s="38"/>
      <c r="J2387" s="3"/>
      <c r="K2387" s="3"/>
      <c r="L2387" s="39"/>
      <c r="N2387" s="3"/>
      <c r="O2387" s="3"/>
      <c r="P2387" s="39"/>
      <c r="R2387" s="39"/>
    </row>
    <row r="2388" spans="2:18" x14ac:dyDescent="0.2">
      <c r="B2388" s="1"/>
      <c r="C2388" s="2"/>
      <c r="D2388" s="38"/>
      <c r="F2388" s="1"/>
      <c r="G2388" s="2"/>
      <c r="H2388" s="38"/>
      <c r="J2388" s="3"/>
      <c r="K2388" s="3"/>
      <c r="L2388" s="39"/>
      <c r="N2388" s="3"/>
      <c r="O2388" s="3"/>
      <c r="P2388" s="39"/>
      <c r="R2388" s="39"/>
    </row>
    <row r="2389" spans="2:18" x14ac:dyDescent="0.2">
      <c r="B2389" s="1"/>
      <c r="C2389" s="2"/>
      <c r="D2389" s="38"/>
      <c r="F2389" s="1"/>
      <c r="G2389" s="2"/>
      <c r="H2389" s="38"/>
      <c r="J2389" s="3"/>
      <c r="K2389" s="3"/>
      <c r="L2389" s="39"/>
      <c r="N2389" s="3"/>
      <c r="O2389" s="3"/>
      <c r="P2389" s="39"/>
      <c r="R2389" s="39"/>
    </row>
    <row r="2390" spans="2:18" x14ac:dyDescent="0.2">
      <c r="B2390" s="1"/>
      <c r="C2390" s="2"/>
      <c r="D2390" s="38"/>
      <c r="F2390" s="1"/>
      <c r="G2390" s="2"/>
      <c r="H2390" s="38"/>
      <c r="J2390" s="3"/>
      <c r="K2390" s="3"/>
      <c r="L2390" s="39"/>
      <c r="N2390" s="3"/>
      <c r="O2390" s="3"/>
      <c r="P2390" s="39"/>
      <c r="R2390" s="39"/>
    </row>
    <row r="2391" spans="2:18" x14ac:dyDescent="0.2">
      <c r="B2391" s="1"/>
      <c r="C2391" s="2"/>
      <c r="D2391" s="38"/>
      <c r="F2391" s="1"/>
      <c r="G2391" s="2"/>
      <c r="H2391" s="38"/>
      <c r="J2391" s="3"/>
      <c r="K2391" s="3"/>
      <c r="L2391" s="39"/>
      <c r="N2391" s="3"/>
      <c r="O2391" s="3"/>
      <c r="P2391" s="39"/>
      <c r="R2391" s="39"/>
    </row>
    <row r="2392" spans="2:18" x14ac:dyDescent="0.2">
      <c r="B2392" s="1"/>
      <c r="C2392" s="2"/>
      <c r="D2392" s="38"/>
      <c r="F2392" s="1"/>
      <c r="G2392" s="2"/>
      <c r="H2392" s="38"/>
      <c r="J2392" s="3"/>
      <c r="K2392" s="3"/>
      <c r="L2392" s="39"/>
      <c r="N2392" s="3"/>
      <c r="O2392" s="3"/>
      <c r="P2392" s="39"/>
      <c r="R2392" s="39"/>
    </row>
    <row r="2393" spans="2:18" x14ac:dyDescent="0.2">
      <c r="B2393" s="1"/>
      <c r="C2393" s="2"/>
      <c r="D2393" s="38"/>
      <c r="F2393" s="1"/>
      <c r="G2393" s="2"/>
      <c r="H2393" s="38"/>
      <c r="J2393" s="3"/>
      <c r="K2393" s="3"/>
      <c r="L2393" s="39"/>
      <c r="N2393" s="3"/>
      <c r="O2393" s="3"/>
      <c r="P2393" s="39"/>
      <c r="R2393" s="39"/>
    </row>
    <row r="2394" spans="2:18" x14ac:dyDescent="0.2">
      <c r="B2394" s="1"/>
      <c r="C2394" s="2"/>
      <c r="D2394" s="38"/>
      <c r="F2394" s="1"/>
      <c r="G2394" s="2"/>
      <c r="H2394" s="38"/>
      <c r="J2394" s="3"/>
      <c r="K2394" s="3"/>
      <c r="L2394" s="39"/>
      <c r="N2394" s="3"/>
      <c r="O2394" s="3"/>
      <c r="P2394" s="39"/>
      <c r="R2394" s="39"/>
    </row>
    <row r="2395" spans="2:18" x14ac:dyDescent="0.2">
      <c r="B2395" s="1"/>
      <c r="C2395" s="2"/>
      <c r="D2395" s="38"/>
      <c r="F2395" s="1"/>
      <c r="G2395" s="2"/>
      <c r="H2395" s="38"/>
      <c r="J2395" s="3"/>
      <c r="K2395" s="3"/>
      <c r="L2395" s="39"/>
      <c r="N2395" s="3"/>
      <c r="O2395" s="3"/>
      <c r="P2395" s="39"/>
      <c r="R2395" s="39"/>
    </row>
    <row r="2396" spans="2:18" x14ac:dyDescent="0.2">
      <c r="B2396" s="1"/>
      <c r="C2396" s="2"/>
      <c r="D2396" s="38"/>
      <c r="F2396" s="1"/>
      <c r="G2396" s="2"/>
      <c r="H2396" s="38"/>
      <c r="J2396" s="3"/>
      <c r="K2396" s="3"/>
      <c r="L2396" s="39"/>
      <c r="N2396" s="3"/>
      <c r="O2396" s="3"/>
      <c r="P2396" s="39"/>
      <c r="R2396" s="39"/>
    </row>
    <row r="2397" spans="2:18" x14ac:dyDescent="0.2">
      <c r="B2397" s="1"/>
      <c r="C2397" s="2"/>
      <c r="D2397" s="38"/>
      <c r="F2397" s="1"/>
      <c r="G2397" s="2"/>
      <c r="H2397" s="38"/>
      <c r="J2397" s="3"/>
      <c r="K2397" s="3"/>
      <c r="L2397" s="39"/>
      <c r="N2397" s="3"/>
      <c r="O2397" s="3"/>
      <c r="P2397" s="39"/>
      <c r="R2397" s="39"/>
    </row>
    <row r="2398" spans="2:18" x14ac:dyDescent="0.2">
      <c r="B2398" s="1"/>
      <c r="C2398" s="2"/>
      <c r="D2398" s="38"/>
      <c r="F2398" s="1"/>
      <c r="G2398" s="2"/>
      <c r="H2398" s="38"/>
      <c r="J2398" s="3"/>
      <c r="K2398" s="3"/>
      <c r="L2398" s="39"/>
      <c r="N2398" s="3"/>
      <c r="O2398" s="3"/>
      <c r="P2398" s="39"/>
      <c r="R2398" s="39"/>
    </row>
    <row r="2399" spans="2:18" x14ac:dyDescent="0.2">
      <c r="B2399" s="1"/>
      <c r="C2399" s="2"/>
      <c r="D2399" s="38"/>
      <c r="F2399" s="1"/>
      <c r="G2399" s="2"/>
      <c r="H2399" s="38"/>
      <c r="J2399" s="3"/>
      <c r="K2399" s="3"/>
      <c r="L2399" s="39"/>
      <c r="N2399" s="3"/>
      <c r="O2399" s="3"/>
      <c r="P2399" s="39"/>
      <c r="R2399" s="39"/>
    </row>
    <row r="2400" spans="2:18" x14ac:dyDescent="0.2">
      <c r="B2400" s="1"/>
      <c r="C2400" s="2"/>
      <c r="D2400" s="38"/>
      <c r="F2400" s="1"/>
      <c r="G2400" s="2"/>
      <c r="H2400" s="38"/>
      <c r="J2400" s="3"/>
      <c r="K2400" s="3"/>
      <c r="L2400" s="39"/>
      <c r="N2400" s="3"/>
      <c r="O2400" s="3"/>
      <c r="P2400" s="39"/>
      <c r="R2400" s="39"/>
    </row>
    <row r="2401" spans="2:18" x14ac:dyDescent="0.2">
      <c r="B2401" s="1"/>
      <c r="C2401" s="2"/>
      <c r="D2401" s="38"/>
      <c r="F2401" s="1"/>
      <c r="G2401" s="2"/>
      <c r="H2401" s="38"/>
      <c r="J2401" s="3"/>
      <c r="K2401" s="3"/>
      <c r="L2401" s="39"/>
      <c r="N2401" s="3"/>
      <c r="O2401" s="3"/>
      <c r="P2401" s="39"/>
      <c r="R2401" s="39"/>
    </row>
    <row r="2402" spans="2:18" x14ac:dyDescent="0.2">
      <c r="B2402" s="1"/>
      <c r="C2402" s="2"/>
      <c r="D2402" s="38"/>
      <c r="F2402" s="1"/>
      <c r="G2402" s="2"/>
      <c r="H2402" s="38"/>
      <c r="J2402" s="3"/>
      <c r="K2402" s="3"/>
      <c r="L2402" s="39"/>
      <c r="N2402" s="3"/>
      <c r="O2402" s="3"/>
      <c r="P2402" s="39"/>
      <c r="R2402" s="39"/>
    </row>
    <row r="2403" spans="2:18" x14ac:dyDescent="0.2">
      <c r="B2403" s="1"/>
      <c r="C2403" s="2"/>
      <c r="D2403" s="38"/>
      <c r="F2403" s="1"/>
      <c r="G2403" s="2"/>
      <c r="H2403" s="38"/>
      <c r="J2403" s="3"/>
      <c r="K2403" s="3"/>
      <c r="L2403" s="39"/>
      <c r="N2403" s="3"/>
      <c r="O2403" s="3"/>
      <c r="P2403" s="39"/>
      <c r="R2403" s="39"/>
    </row>
    <row r="2404" spans="2:18" x14ac:dyDescent="0.2">
      <c r="B2404" s="1"/>
      <c r="C2404" s="2"/>
      <c r="D2404" s="38"/>
      <c r="F2404" s="1"/>
      <c r="G2404" s="2"/>
      <c r="H2404" s="38"/>
      <c r="J2404" s="3"/>
      <c r="K2404" s="3"/>
      <c r="L2404" s="39"/>
      <c r="N2404" s="3"/>
      <c r="O2404" s="3"/>
      <c r="P2404" s="39"/>
      <c r="R2404" s="39"/>
    </row>
    <row r="2405" spans="2:18" x14ac:dyDescent="0.2">
      <c r="B2405" s="1"/>
      <c r="C2405" s="2"/>
      <c r="D2405" s="38"/>
      <c r="F2405" s="1"/>
      <c r="G2405" s="2"/>
      <c r="H2405" s="38"/>
      <c r="J2405" s="3"/>
      <c r="K2405" s="3"/>
      <c r="L2405" s="39"/>
      <c r="N2405" s="3"/>
      <c r="O2405" s="3"/>
      <c r="P2405" s="39"/>
      <c r="R2405" s="39"/>
    </row>
    <row r="2406" spans="2:18" x14ac:dyDescent="0.2">
      <c r="B2406" s="1"/>
      <c r="C2406" s="2"/>
      <c r="D2406" s="38"/>
      <c r="F2406" s="1"/>
      <c r="G2406" s="2"/>
      <c r="H2406" s="38"/>
      <c r="J2406" s="3"/>
      <c r="K2406" s="3"/>
      <c r="L2406" s="39"/>
      <c r="N2406" s="3"/>
      <c r="O2406" s="3"/>
      <c r="P2406" s="39"/>
      <c r="R2406" s="39"/>
    </row>
    <row r="2407" spans="2:18" x14ac:dyDescent="0.2">
      <c r="B2407" s="1"/>
      <c r="C2407" s="2"/>
      <c r="D2407" s="38"/>
      <c r="F2407" s="1"/>
      <c r="G2407" s="2"/>
      <c r="H2407" s="38"/>
      <c r="J2407" s="3"/>
      <c r="K2407" s="3"/>
      <c r="L2407" s="39"/>
      <c r="N2407" s="3"/>
      <c r="O2407" s="3"/>
      <c r="P2407" s="39"/>
      <c r="R2407" s="39"/>
    </row>
    <row r="2408" spans="2:18" x14ac:dyDescent="0.2">
      <c r="B2408" s="1"/>
      <c r="C2408" s="2"/>
      <c r="D2408" s="38"/>
      <c r="F2408" s="1"/>
      <c r="G2408" s="2"/>
      <c r="H2408" s="38"/>
      <c r="J2408" s="3"/>
      <c r="K2408" s="3"/>
      <c r="L2408" s="39"/>
      <c r="N2408" s="3"/>
      <c r="O2408" s="3"/>
      <c r="P2408" s="39"/>
      <c r="R2408" s="39"/>
    </row>
    <row r="2409" spans="2:18" x14ac:dyDescent="0.2">
      <c r="B2409" s="1"/>
      <c r="C2409" s="2"/>
      <c r="D2409" s="38"/>
      <c r="F2409" s="1"/>
      <c r="G2409" s="2"/>
      <c r="H2409" s="38"/>
      <c r="J2409" s="3"/>
      <c r="K2409" s="3"/>
      <c r="L2409" s="39"/>
      <c r="N2409" s="3"/>
      <c r="O2409" s="3"/>
      <c r="P2409" s="39"/>
      <c r="R2409" s="39"/>
    </row>
    <row r="2410" spans="2:18" x14ac:dyDescent="0.2">
      <c r="B2410" s="1"/>
      <c r="C2410" s="2"/>
      <c r="D2410" s="38"/>
      <c r="F2410" s="1"/>
      <c r="G2410" s="2"/>
      <c r="H2410" s="38"/>
      <c r="J2410" s="3"/>
      <c r="K2410" s="3"/>
      <c r="L2410" s="39"/>
      <c r="N2410" s="3"/>
      <c r="O2410" s="3"/>
      <c r="P2410" s="39"/>
      <c r="R2410" s="39"/>
    </row>
    <row r="2411" spans="2:18" x14ac:dyDescent="0.2">
      <c r="B2411" s="1"/>
      <c r="C2411" s="2"/>
      <c r="D2411" s="38"/>
      <c r="F2411" s="1"/>
      <c r="G2411" s="2"/>
      <c r="H2411" s="38"/>
      <c r="J2411" s="3"/>
      <c r="K2411" s="3"/>
      <c r="L2411" s="39"/>
      <c r="N2411" s="3"/>
      <c r="O2411" s="3"/>
      <c r="P2411" s="39"/>
      <c r="R2411" s="39"/>
    </row>
    <row r="2412" spans="2:18" x14ac:dyDescent="0.2">
      <c r="B2412" s="1"/>
      <c r="C2412" s="2"/>
      <c r="D2412" s="38"/>
      <c r="F2412" s="1"/>
      <c r="G2412" s="2"/>
      <c r="H2412" s="38"/>
      <c r="J2412" s="3"/>
      <c r="K2412" s="3"/>
      <c r="L2412" s="39"/>
      <c r="N2412" s="3"/>
      <c r="O2412" s="3"/>
      <c r="P2412" s="39"/>
      <c r="R2412" s="39"/>
    </row>
    <row r="2413" spans="2:18" x14ac:dyDescent="0.2">
      <c r="B2413" s="1"/>
      <c r="C2413" s="2"/>
      <c r="D2413" s="38"/>
      <c r="F2413" s="1"/>
      <c r="G2413" s="2"/>
      <c r="H2413" s="38"/>
      <c r="J2413" s="3"/>
      <c r="K2413" s="3"/>
      <c r="L2413" s="39"/>
      <c r="N2413" s="3"/>
      <c r="O2413" s="3"/>
      <c r="P2413" s="39"/>
      <c r="R2413" s="39"/>
    </row>
    <row r="2414" spans="2:18" x14ac:dyDescent="0.2">
      <c r="B2414" s="1"/>
      <c r="C2414" s="2"/>
      <c r="D2414" s="38"/>
      <c r="F2414" s="1"/>
      <c r="G2414" s="2"/>
      <c r="H2414" s="38"/>
      <c r="J2414" s="3"/>
      <c r="K2414" s="3"/>
      <c r="L2414" s="39"/>
      <c r="N2414" s="3"/>
      <c r="O2414" s="3"/>
      <c r="P2414" s="39"/>
      <c r="R2414" s="39"/>
    </row>
    <row r="2415" spans="2:18" x14ac:dyDescent="0.2">
      <c r="B2415" s="1"/>
      <c r="C2415" s="2"/>
      <c r="D2415" s="38"/>
      <c r="F2415" s="1"/>
      <c r="G2415" s="2"/>
      <c r="H2415" s="38"/>
      <c r="J2415" s="3"/>
      <c r="K2415" s="3"/>
      <c r="L2415" s="39"/>
      <c r="N2415" s="3"/>
      <c r="O2415" s="3"/>
      <c r="P2415" s="39"/>
      <c r="R2415" s="39"/>
    </row>
    <row r="2416" spans="2:18" x14ac:dyDescent="0.2">
      <c r="B2416" s="1"/>
      <c r="C2416" s="2"/>
      <c r="D2416" s="38"/>
      <c r="F2416" s="1"/>
      <c r="G2416" s="2"/>
      <c r="H2416" s="38"/>
      <c r="J2416" s="3"/>
      <c r="K2416" s="3"/>
      <c r="L2416" s="39"/>
      <c r="N2416" s="3"/>
      <c r="O2416" s="3"/>
      <c r="P2416" s="39"/>
      <c r="R2416" s="39"/>
    </row>
    <row r="2417" spans="2:18" x14ac:dyDescent="0.2">
      <c r="B2417" s="1"/>
      <c r="C2417" s="2"/>
      <c r="D2417" s="38"/>
      <c r="F2417" s="1"/>
      <c r="G2417" s="2"/>
      <c r="H2417" s="38"/>
      <c r="J2417" s="3"/>
      <c r="K2417" s="3"/>
      <c r="L2417" s="39"/>
      <c r="N2417" s="3"/>
      <c r="O2417" s="3"/>
      <c r="P2417" s="39"/>
      <c r="R2417" s="39"/>
    </row>
    <row r="2418" spans="2:18" x14ac:dyDescent="0.2">
      <c r="B2418" s="1"/>
      <c r="C2418" s="2"/>
      <c r="D2418" s="38"/>
      <c r="F2418" s="1"/>
      <c r="G2418" s="2"/>
      <c r="H2418" s="38"/>
      <c r="J2418" s="3"/>
      <c r="K2418" s="3"/>
      <c r="L2418" s="39"/>
      <c r="N2418" s="3"/>
      <c r="O2418" s="3"/>
      <c r="P2418" s="39"/>
      <c r="R2418" s="39"/>
    </row>
    <row r="2419" spans="2:18" x14ac:dyDescent="0.2">
      <c r="B2419" s="1"/>
      <c r="C2419" s="2"/>
      <c r="D2419" s="38"/>
      <c r="F2419" s="1"/>
      <c r="G2419" s="2"/>
      <c r="H2419" s="38"/>
      <c r="J2419" s="3"/>
      <c r="K2419" s="3"/>
      <c r="L2419" s="39"/>
      <c r="N2419" s="3"/>
      <c r="O2419" s="3"/>
      <c r="P2419" s="39"/>
      <c r="R2419" s="39"/>
    </row>
    <row r="2420" spans="2:18" x14ac:dyDescent="0.2">
      <c r="B2420" s="1"/>
      <c r="C2420" s="2"/>
      <c r="D2420" s="38"/>
      <c r="F2420" s="1"/>
      <c r="G2420" s="2"/>
      <c r="H2420" s="38"/>
      <c r="J2420" s="3"/>
      <c r="K2420" s="3"/>
      <c r="L2420" s="39"/>
      <c r="N2420" s="3"/>
      <c r="O2420" s="3"/>
      <c r="P2420" s="39"/>
      <c r="R2420" s="39"/>
    </row>
    <row r="2421" spans="2:18" x14ac:dyDescent="0.2">
      <c r="B2421" s="1"/>
      <c r="C2421" s="2"/>
      <c r="D2421" s="38"/>
      <c r="F2421" s="1"/>
      <c r="G2421" s="2"/>
      <c r="H2421" s="38"/>
      <c r="J2421" s="3"/>
      <c r="K2421" s="3"/>
      <c r="L2421" s="39"/>
      <c r="N2421" s="3"/>
      <c r="O2421" s="3"/>
      <c r="P2421" s="39"/>
      <c r="R2421" s="39"/>
    </row>
    <row r="2422" spans="2:18" x14ac:dyDescent="0.2">
      <c r="B2422" s="1"/>
      <c r="C2422" s="2"/>
      <c r="D2422" s="38"/>
      <c r="F2422" s="1"/>
      <c r="G2422" s="2"/>
      <c r="H2422" s="38"/>
      <c r="J2422" s="3"/>
      <c r="K2422" s="3"/>
      <c r="L2422" s="39"/>
      <c r="N2422" s="3"/>
      <c r="O2422" s="3"/>
      <c r="P2422" s="39"/>
      <c r="R2422" s="39"/>
    </row>
    <row r="2423" spans="2:18" x14ac:dyDescent="0.2">
      <c r="B2423" s="1"/>
      <c r="C2423" s="2"/>
      <c r="D2423" s="38"/>
      <c r="F2423" s="1"/>
      <c r="G2423" s="2"/>
      <c r="H2423" s="38"/>
      <c r="J2423" s="3"/>
      <c r="K2423" s="3"/>
      <c r="L2423" s="39"/>
      <c r="N2423" s="3"/>
      <c r="O2423" s="3"/>
      <c r="P2423" s="39"/>
      <c r="R2423" s="39"/>
    </row>
    <row r="2424" spans="2:18" x14ac:dyDescent="0.2">
      <c r="B2424" s="1"/>
      <c r="C2424" s="2"/>
      <c r="D2424" s="38"/>
      <c r="F2424" s="1"/>
      <c r="G2424" s="2"/>
      <c r="H2424" s="38"/>
      <c r="J2424" s="3"/>
      <c r="K2424" s="3"/>
      <c r="L2424" s="39"/>
      <c r="N2424" s="3"/>
      <c r="O2424" s="3"/>
      <c r="P2424" s="39"/>
      <c r="R2424" s="39"/>
    </row>
    <row r="2425" spans="2:18" x14ac:dyDescent="0.2">
      <c r="B2425" s="1"/>
      <c r="C2425" s="2"/>
      <c r="D2425" s="38"/>
      <c r="F2425" s="1"/>
      <c r="G2425" s="2"/>
      <c r="H2425" s="38"/>
      <c r="J2425" s="3"/>
      <c r="K2425" s="3"/>
      <c r="L2425" s="39"/>
      <c r="N2425" s="3"/>
      <c r="O2425" s="3"/>
      <c r="P2425" s="39"/>
      <c r="R2425" s="39"/>
    </row>
    <row r="2426" spans="2:18" x14ac:dyDescent="0.2">
      <c r="B2426" s="1"/>
      <c r="C2426" s="2"/>
      <c r="D2426" s="38"/>
      <c r="F2426" s="1"/>
      <c r="G2426" s="2"/>
      <c r="H2426" s="38"/>
      <c r="J2426" s="3"/>
      <c r="K2426" s="3"/>
      <c r="L2426" s="39"/>
      <c r="N2426" s="3"/>
      <c r="O2426" s="3"/>
      <c r="P2426" s="39"/>
      <c r="R2426" s="39"/>
    </row>
    <row r="2427" spans="2:18" x14ac:dyDescent="0.2">
      <c r="B2427" s="1"/>
      <c r="C2427" s="2"/>
      <c r="D2427" s="38"/>
      <c r="F2427" s="1"/>
      <c r="G2427" s="2"/>
      <c r="H2427" s="38"/>
      <c r="J2427" s="3"/>
      <c r="K2427" s="3"/>
      <c r="L2427" s="39"/>
      <c r="N2427" s="3"/>
      <c r="O2427" s="3"/>
      <c r="P2427" s="39"/>
      <c r="R2427" s="39"/>
    </row>
    <row r="2428" spans="2:18" x14ac:dyDescent="0.2">
      <c r="B2428" s="1"/>
      <c r="C2428" s="2"/>
      <c r="D2428" s="38"/>
      <c r="F2428" s="1"/>
      <c r="G2428" s="2"/>
      <c r="H2428" s="38"/>
      <c r="J2428" s="3"/>
      <c r="K2428" s="3"/>
      <c r="L2428" s="39"/>
      <c r="N2428" s="3"/>
      <c r="O2428" s="3"/>
      <c r="P2428" s="39"/>
      <c r="R2428" s="39"/>
    </row>
    <row r="2429" spans="2:18" x14ac:dyDescent="0.2">
      <c r="B2429" s="1"/>
      <c r="C2429" s="2"/>
      <c r="D2429" s="38"/>
      <c r="F2429" s="1"/>
      <c r="G2429" s="2"/>
      <c r="H2429" s="38"/>
      <c r="J2429" s="3"/>
      <c r="K2429" s="3"/>
      <c r="L2429" s="39"/>
      <c r="N2429" s="3"/>
      <c r="O2429" s="3"/>
      <c r="P2429" s="39"/>
      <c r="R2429" s="39"/>
    </row>
    <row r="2430" spans="2:18" x14ac:dyDescent="0.2">
      <c r="B2430" s="1"/>
      <c r="C2430" s="2"/>
      <c r="D2430" s="38"/>
      <c r="F2430" s="1"/>
      <c r="G2430" s="2"/>
      <c r="H2430" s="38"/>
      <c r="J2430" s="3"/>
      <c r="K2430" s="3"/>
      <c r="L2430" s="39"/>
      <c r="N2430" s="3"/>
      <c r="O2430" s="3"/>
      <c r="P2430" s="39"/>
      <c r="R2430" s="39"/>
    </row>
    <row r="2431" spans="2:18" x14ac:dyDescent="0.2">
      <c r="B2431" s="1"/>
      <c r="C2431" s="2"/>
      <c r="D2431" s="38"/>
      <c r="F2431" s="1"/>
      <c r="G2431" s="2"/>
      <c r="H2431" s="38"/>
      <c r="J2431" s="3"/>
      <c r="K2431" s="3"/>
      <c r="L2431" s="39"/>
      <c r="N2431" s="3"/>
      <c r="O2431" s="3"/>
      <c r="P2431" s="39"/>
      <c r="R2431" s="39"/>
    </row>
    <row r="2432" spans="2:18" x14ac:dyDescent="0.2">
      <c r="B2432" s="1"/>
      <c r="C2432" s="2"/>
      <c r="D2432" s="38"/>
      <c r="F2432" s="1"/>
      <c r="G2432" s="2"/>
      <c r="H2432" s="38"/>
      <c r="J2432" s="3"/>
      <c r="K2432" s="3"/>
      <c r="L2432" s="39"/>
      <c r="N2432" s="3"/>
      <c r="O2432" s="3"/>
      <c r="P2432" s="39"/>
      <c r="R2432" s="39"/>
    </row>
    <row r="2433" spans="2:18" x14ac:dyDescent="0.2">
      <c r="B2433" s="1"/>
      <c r="C2433" s="2"/>
      <c r="D2433" s="38"/>
      <c r="F2433" s="1"/>
      <c r="G2433" s="2"/>
      <c r="H2433" s="38"/>
      <c r="J2433" s="3"/>
      <c r="K2433" s="3"/>
      <c r="L2433" s="39"/>
      <c r="N2433" s="3"/>
      <c r="O2433" s="3"/>
      <c r="P2433" s="39"/>
      <c r="R2433" s="39"/>
    </row>
    <row r="2434" spans="2:18" x14ac:dyDescent="0.2">
      <c r="B2434" s="1"/>
      <c r="C2434" s="2"/>
      <c r="D2434" s="38"/>
      <c r="F2434" s="1"/>
      <c r="G2434" s="2"/>
      <c r="H2434" s="38"/>
      <c r="J2434" s="3"/>
      <c r="K2434" s="3"/>
      <c r="L2434" s="39"/>
      <c r="N2434" s="3"/>
      <c r="O2434" s="3"/>
      <c r="P2434" s="39"/>
      <c r="R2434" s="39"/>
    </row>
    <row r="2435" spans="2:18" x14ac:dyDescent="0.2">
      <c r="B2435" s="1"/>
      <c r="C2435" s="2"/>
      <c r="D2435" s="38"/>
      <c r="F2435" s="1"/>
      <c r="G2435" s="2"/>
      <c r="H2435" s="38"/>
      <c r="J2435" s="3"/>
      <c r="K2435" s="3"/>
      <c r="L2435" s="39"/>
      <c r="N2435" s="3"/>
      <c r="O2435" s="3"/>
      <c r="P2435" s="39"/>
      <c r="R2435" s="39"/>
    </row>
    <row r="2436" spans="2:18" x14ac:dyDescent="0.2">
      <c r="B2436" s="1"/>
      <c r="C2436" s="2"/>
      <c r="D2436" s="38"/>
      <c r="F2436" s="1"/>
      <c r="G2436" s="2"/>
      <c r="H2436" s="38"/>
      <c r="J2436" s="3"/>
      <c r="K2436" s="3"/>
      <c r="L2436" s="39"/>
      <c r="N2436" s="3"/>
      <c r="O2436" s="3"/>
      <c r="P2436" s="39"/>
      <c r="R2436" s="39"/>
    </row>
    <row r="2437" spans="2:18" x14ac:dyDescent="0.2">
      <c r="B2437" s="1"/>
      <c r="C2437" s="2"/>
      <c r="D2437" s="38"/>
      <c r="F2437" s="1"/>
      <c r="G2437" s="2"/>
      <c r="H2437" s="38"/>
      <c r="J2437" s="3"/>
      <c r="K2437" s="3"/>
      <c r="L2437" s="39"/>
      <c r="N2437" s="3"/>
      <c r="O2437" s="3"/>
      <c r="P2437" s="39"/>
      <c r="R2437" s="39"/>
    </row>
    <row r="2438" spans="2:18" x14ac:dyDescent="0.2">
      <c r="B2438" s="1"/>
      <c r="C2438" s="2"/>
      <c r="D2438" s="38"/>
      <c r="F2438" s="1"/>
      <c r="G2438" s="2"/>
      <c r="H2438" s="38"/>
      <c r="J2438" s="3"/>
      <c r="K2438" s="3"/>
      <c r="L2438" s="39"/>
      <c r="N2438" s="3"/>
      <c r="O2438" s="3"/>
      <c r="P2438" s="39"/>
      <c r="R2438" s="39"/>
    </row>
    <row r="2439" spans="2:18" x14ac:dyDescent="0.2">
      <c r="B2439" s="1"/>
      <c r="C2439" s="2"/>
      <c r="D2439" s="38"/>
      <c r="F2439" s="1"/>
      <c r="G2439" s="2"/>
      <c r="H2439" s="38"/>
      <c r="J2439" s="3"/>
      <c r="K2439" s="3"/>
      <c r="L2439" s="39"/>
      <c r="N2439" s="3"/>
      <c r="O2439" s="3"/>
      <c r="P2439" s="39"/>
      <c r="R2439" s="39"/>
    </row>
    <row r="2440" spans="2:18" x14ac:dyDescent="0.2">
      <c r="B2440" s="1"/>
      <c r="C2440" s="2"/>
      <c r="D2440" s="38"/>
      <c r="F2440" s="1"/>
      <c r="G2440" s="2"/>
      <c r="H2440" s="38"/>
      <c r="J2440" s="3"/>
      <c r="K2440" s="3"/>
      <c r="L2440" s="39"/>
      <c r="N2440" s="3"/>
      <c r="O2440" s="3"/>
      <c r="P2440" s="39"/>
      <c r="R2440" s="39"/>
    </row>
    <row r="2441" spans="2:18" x14ac:dyDescent="0.2">
      <c r="B2441" s="1"/>
      <c r="C2441" s="2"/>
      <c r="D2441" s="38"/>
      <c r="F2441" s="1"/>
      <c r="G2441" s="2"/>
      <c r="H2441" s="38"/>
      <c r="J2441" s="3"/>
      <c r="K2441" s="3"/>
      <c r="L2441" s="39"/>
      <c r="N2441" s="3"/>
      <c r="O2441" s="3"/>
      <c r="P2441" s="39"/>
      <c r="R2441" s="39"/>
    </row>
    <row r="2442" spans="2:18" x14ac:dyDescent="0.2">
      <c r="B2442" s="1"/>
      <c r="C2442" s="2"/>
      <c r="D2442" s="38"/>
      <c r="F2442" s="1"/>
      <c r="G2442" s="2"/>
      <c r="H2442" s="38"/>
      <c r="J2442" s="3"/>
      <c r="K2442" s="3"/>
      <c r="L2442" s="39"/>
      <c r="N2442" s="3"/>
      <c r="O2442" s="3"/>
      <c r="P2442" s="39"/>
      <c r="R2442" s="39"/>
    </row>
    <row r="2443" spans="2:18" x14ac:dyDescent="0.2">
      <c r="B2443" s="1"/>
      <c r="C2443" s="2"/>
      <c r="D2443" s="38"/>
      <c r="F2443" s="1"/>
      <c r="G2443" s="2"/>
      <c r="H2443" s="38"/>
      <c r="J2443" s="3"/>
      <c r="K2443" s="3"/>
      <c r="L2443" s="39"/>
      <c r="N2443" s="3"/>
      <c r="O2443" s="3"/>
      <c r="P2443" s="39"/>
      <c r="R2443" s="39"/>
    </row>
    <row r="2444" spans="2:18" x14ac:dyDescent="0.2">
      <c r="B2444" s="1"/>
      <c r="C2444" s="2"/>
      <c r="D2444" s="38"/>
      <c r="F2444" s="1"/>
      <c r="G2444" s="2"/>
      <c r="H2444" s="38"/>
      <c r="J2444" s="3"/>
      <c r="K2444" s="3"/>
      <c r="L2444" s="39"/>
      <c r="N2444" s="3"/>
      <c r="O2444" s="3"/>
      <c r="P2444" s="39"/>
      <c r="R2444" s="39"/>
    </row>
    <row r="2445" spans="2:18" x14ac:dyDescent="0.2">
      <c r="B2445" s="1"/>
      <c r="C2445" s="2"/>
      <c r="D2445" s="38"/>
      <c r="F2445" s="1"/>
      <c r="G2445" s="2"/>
      <c r="H2445" s="38"/>
      <c r="J2445" s="3"/>
      <c r="K2445" s="3"/>
      <c r="L2445" s="39"/>
      <c r="N2445" s="3"/>
      <c r="O2445" s="3"/>
      <c r="P2445" s="39"/>
      <c r="R2445" s="39"/>
    </row>
    <row r="2446" spans="2:18" x14ac:dyDescent="0.2">
      <c r="B2446" s="1"/>
      <c r="C2446" s="2"/>
      <c r="D2446" s="38"/>
      <c r="F2446" s="1"/>
      <c r="G2446" s="2"/>
      <c r="H2446" s="38"/>
      <c r="J2446" s="3"/>
      <c r="K2446" s="3"/>
      <c r="L2446" s="39"/>
      <c r="N2446" s="3"/>
      <c r="O2446" s="3"/>
      <c r="P2446" s="39"/>
      <c r="R2446" s="39"/>
    </row>
    <row r="2447" spans="2:18" x14ac:dyDescent="0.2">
      <c r="B2447" s="1"/>
      <c r="C2447" s="2"/>
      <c r="D2447" s="38"/>
      <c r="F2447" s="1"/>
      <c r="G2447" s="2"/>
      <c r="H2447" s="38"/>
      <c r="J2447" s="3"/>
      <c r="K2447" s="3"/>
      <c r="L2447" s="39"/>
      <c r="N2447" s="3"/>
      <c r="O2447" s="3"/>
      <c r="P2447" s="39"/>
      <c r="R2447" s="39"/>
    </row>
    <row r="2448" spans="2:18" x14ac:dyDescent="0.2">
      <c r="B2448" s="1"/>
      <c r="C2448" s="2"/>
      <c r="D2448" s="38"/>
      <c r="F2448" s="1"/>
      <c r="G2448" s="2"/>
      <c r="H2448" s="38"/>
      <c r="J2448" s="3"/>
      <c r="K2448" s="3"/>
      <c r="L2448" s="39"/>
      <c r="N2448" s="3"/>
      <c r="O2448" s="3"/>
      <c r="P2448" s="39"/>
      <c r="R2448" s="39"/>
    </row>
    <row r="2449" spans="2:18" x14ac:dyDescent="0.2">
      <c r="B2449" s="1"/>
      <c r="C2449" s="2"/>
      <c r="D2449" s="38"/>
      <c r="F2449" s="1"/>
      <c r="G2449" s="2"/>
      <c r="H2449" s="38"/>
      <c r="J2449" s="3"/>
      <c r="K2449" s="3"/>
      <c r="L2449" s="39"/>
      <c r="N2449" s="3"/>
      <c r="O2449" s="3"/>
      <c r="P2449" s="39"/>
      <c r="R2449" s="39"/>
    </row>
    <row r="2450" spans="2:18" x14ac:dyDescent="0.2">
      <c r="B2450" s="1"/>
      <c r="C2450" s="2"/>
      <c r="D2450" s="38"/>
      <c r="F2450" s="1"/>
      <c r="G2450" s="2"/>
      <c r="H2450" s="38"/>
      <c r="J2450" s="3"/>
      <c r="K2450" s="3"/>
      <c r="L2450" s="39"/>
      <c r="N2450" s="3"/>
      <c r="O2450" s="3"/>
      <c r="P2450" s="39"/>
      <c r="R2450" s="39"/>
    </row>
    <row r="2451" spans="2:18" x14ac:dyDescent="0.2">
      <c r="B2451" s="1"/>
      <c r="C2451" s="2"/>
      <c r="D2451" s="38"/>
      <c r="F2451" s="1"/>
      <c r="G2451" s="2"/>
      <c r="H2451" s="38"/>
      <c r="J2451" s="3"/>
      <c r="K2451" s="3"/>
      <c r="L2451" s="39"/>
      <c r="N2451" s="3"/>
      <c r="O2451" s="3"/>
      <c r="P2451" s="39"/>
      <c r="R2451" s="39"/>
    </row>
    <row r="2452" spans="2:18" x14ac:dyDescent="0.2">
      <c r="B2452" s="1"/>
      <c r="C2452" s="2"/>
      <c r="D2452" s="38"/>
      <c r="F2452" s="1"/>
      <c r="G2452" s="2"/>
      <c r="H2452" s="38"/>
      <c r="J2452" s="3"/>
      <c r="K2452" s="3"/>
      <c r="L2452" s="39"/>
      <c r="N2452" s="3"/>
      <c r="O2452" s="3"/>
      <c r="P2452" s="39"/>
      <c r="R2452" s="39"/>
    </row>
    <row r="2453" spans="2:18" x14ac:dyDescent="0.2">
      <c r="B2453" s="1"/>
      <c r="C2453" s="2"/>
      <c r="D2453" s="38"/>
      <c r="F2453" s="1"/>
      <c r="G2453" s="2"/>
      <c r="H2453" s="38"/>
      <c r="J2453" s="3"/>
      <c r="K2453" s="3"/>
      <c r="L2453" s="39"/>
      <c r="N2453" s="3"/>
      <c r="O2453" s="3"/>
      <c r="P2453" s="39"/>
      <c r="R2453" s="39"/>
    </row>
    <row r="2454" spans="2:18" x14ac:dyDescent="0.2">
      <c r="B2454" s="1"/>
      <c r="C2454" s="2"/>
      <c r="D2454" s="38"/>
      <c r="F2454" s="1"/>
      <c r="G2454" s="2"/>
      <c r="H2454" s="38"/>
      <c r="J2454" s="3"/>
      <c r="K2454" s="3"/>
      <c r="L2454" s="39"/>
      <c r="N2454" s="3"/>
      <c r="O2454" s="3"/>
      <c r="P2454" s="39"/>
      <c r="R2454" s="39"/>
    </row>
    <row r="2455" spans="2:18" x14ac:dyDescent="0.2">
      <c r="B2455" s="1"/>
      <c r="C2455" s="2"/>
      <c r="D2455" s="38"/>
      <c r="F2455" s="1"/>
      <c r="G2455" s="2"/>
      <c r="H2455" s="38"/>
      <c r="J2455" s="3"/>
      <c r="K2455" s="3"/>
      <c r="L2455" s="39"/>
      <c r="N2455" s="3"/>
      <c r="O2455" s="3"/>
      <c r="P2455" s="39"/>
      <c r="R2455" s="39"/>
    </row>
    <row r="2456" spans="2:18" x14ac:dyDescent="0.2">
      <c r="B2456" s="1"/>
      <c r="C2456" s="2"/>
      <c r="D2456" s="38"/>
      <c r="F2456" s="1"/>
      <c r="G2456" s="2"/>
      <c r="H2456" s="38"/>
      <c r="J2456" s="3"/>
      <c r="K2456" s="3"/>
      <c r="L2456" s="39"/>
      <c r="N2456" s="3"/>
      <c r="O2456" s="3"/>
      <c r="P2456" s="39"/>
      <c r="R2456" s="39"/>
    </row>
    <row r="2457" spans="2:18" x14ac:dyDescent="0.2">
      <c r="B2457" s="1"/>
      <c r="C2457" s="2"/>
      <c r="D2457" s="38"/>
      <c r="F2457" s="1"/>
      <c r="G2457" s="2"/>
      <c r="H2457" s="38"/>
      <c r="J2457" s="3"/>
      <c r="K2457" s="3"/>
      <c r="L2457" s="39"/>
      <c r="N2457" s="3"/>
      <c r="O2457" s="3"/>
      <c r="P2457" s="39"/>
      <c r="R2457" s="39"/>
    </row>
    <row r="2458" spans="2:18" x14ac:dyDescent="0.2">
      <c r="B2458" s="1"/>
      <c r="C2458" s="2"/>
      <c r="D2458" s="38"/>
      <c r="F2458" s="1"/>
      <c r="G2458" s="2"/>
      <c r="H2458" s="38"/>
      <c r="J2458" s="3"/>
      <c r="K2458" s="3"/>
      <c r="L2458" s="39"/>
      <c r="N2458" s="3"/>
      <c r="O2458" s="3"/>
      <c r="P2458" s="39"/>
      <c r="R2458" s="39"/>
    </row>
    <row r="2459" spans="2:18" x14ac:dyDescent="0.2">
      <c r="B2459" s="1"/>
      <c r="C2459" s="2"/>
      <c r="D2459" s="38"/>
      <c r="F2459" s="1"/>
      <c r="G2459" s="2"/>
      <c r="H2459" s="38"/>
      <c r="J2459" s="3"/>
      <c r="K2459" s="3"/>
      <c r="L2459" s="39"/>
      <c r="N2459" s="3"/>
      <c r="O2459" s="3"/>
      <c r="P2459" s="39"/>
      <c r="R2459" s="39"/>
    </row>
    <row r="2460" spans="2:18" x14ac:dyDescent="0.2">
      <c r="B2460" s="1"/>
      <c r="C2460" s="2"/>
      <c r="D2460" s="38"/>
      <c r="F2460" s="1"/>
      <c r="G2460" s="2"/>
      <c r="H2460" s="38"/>
      <c r="J2460" s="3"/>
      <c r="K2460" s="3"/>
      <c r="L2460" s="39"/>
      <c r="N2460" s="3"/>
      <c r="O2460" s="3"/>
      <c r="P2460" s="39"/>
      <c r="R2460" s="39"/>
    </row>
    <row r="2461" spans="2:18" x14ac:dyDescent="0.2">
      <c r="B2461" s="1"/>
      <c r="C2461" s="2"/>
      <c r="D2461" s="38"/>
      <c r="F2461" s="1"/>
      <c r="G2461" s="2"/>
      <c r="H2461" s="38"/>
      <c r="J2461" s="3"/>
      <c r="K2461" s="3"/>
      <c r="L2461" s="39"/>
      <c r="N2461" s="3"/>
      <c r="O2461" s="3"/>
      <c r="P2461" s="39"/>
      <c r="R2461" s="39"/>
    </row>
    <row r="2462" spans="2:18" x14ac:dyDescent="0.2">
      <c r="B2462" s="1"/>
      <c r="C2462" s="2"/>
      <c r="D2462" s="38"/>
      <c r="F2462" s="1"/>
      <c r="G2462" s="2"/>
      <c r="H2462" s="38"/>
      <c r="J2462" s="3"/>
      <c r="K2462" s="3"/>
      <c r="L2462" s="39"/>
      <c r="N2462" s="3"/>
      <c r="O2462" s="3"/>
      <c r="P2462" s="39"/>
      <c r="R2462" s="39"/>
    </row>
    <row r="2463" spans="2:18" x14ac:dyDescent="0.2">
      <c r="B2463" s="1"/>
      <c r="C2463" s="2"/>
      <c r="D2463" s="38"/>
      <c r="F2463" s="1"/>
      <c r="G2463" s="2"/>
      <c r="H2463" s="38"/>
      <c r="J2463" s="3"/>
      <c r="K2463" s="3"/>
      <c r="L2463" s="39"/>
      <c r="N2463" s="3"/>
      <c r="O2463" s="3"/>
      <c r="P2463" s="39"/>
      <c r="R2463" s="39"/>
    </row>
    <row r="2464" spans="2:18" x14ac:dyDescent="0.2">
      <c r="B2464" s="1"/>
      <c r="C2464" s="2"/>
      <c r="D2464" s="38"/>
      <c r="F2464" s="1"/>
      <c r="G2464" s="2"/>
      <c r="H2464" s="38"/>
      <c r="J2464" s="3"/>
      <c r="K2464" s="3"/>
      <c r="L2464" s="39"/>
      <c r="N2464" s="3"/>
      <c r="O2464" s="3"/>
      <c r="P2464" s="39"/>
      <c r="R2464" s="39"/>
    </row>
    <row r="2465" spans="2:18" x14ac:dyDescent="0.2">
      <c r="B2465" s="1"/>
      <c r="C2465" s="2"/>
      <c r="D2465" s="38"/>
      <c r="F2465" s="1"/>
      <c r="G2465" s="2"/>
      <c r="H2465" s="38"/>
      <c r="J2465" s="3"/>
      <c r="K2465" s="3"/>
      <c r="L2465" s="39"/>
      <c r="N2465" s="3"/>
      <c r="O2465" s="3"/>
      <c r="P2465" s="39"/>
      <c r="R2465" s="39"/>
    </row>
    <row r="2466" spans="2:18" x14ac:dyDescent="0.2">
      <c r="B2466" s="1"/>
      <c r="C2466" s="2"/>
      <c r="D2466" s="38"/>
      <c r="F2466" s="1"/>
      <c r="G2466" s="2"/>
      <c r="H2466" s="38"/>
      <c r="J2466" s="3"/>
      <c r="K2466" s="3"/>
      <c r="L2466" s="39"/>
      <c r="N2466" s="3"/>
      <c r="O2466" s="3"/>
      <c r="P2466" s="39"/>
      <c r="R2466" s="39"/>
    </row>
    <row r="2467" spans="2:18" x14ac:dyDescent="0.2">
      <c r="B2467" s="1"/>
      <c r="C2467" s="2"/>
      <c r="D2467" s="38"/>
      <c r="F2467" s="1"/>
      <c r="G2467" s="2"/>
      <c r="H2467" s="38"/>
      <c r="J2467" s="3"/>
      <c r="K2467" s="3"/>
      <c r="L2467" s="39"/>
      <c r="N2467" s="3"/>
      <c r="O2467" s="3"/>
      <c r="P2467" s="39"/>
      <c r="R2467" s="39"/>
    </row>
    <row r="2468" spans="2:18" x14ac:dyDescent="0.2">
      <c r="B2468" s="1"/>
      <c r="C2468" s="2"/>
      <c r="D2468" s="38"/>
      <c r="F2468" s="1"/>
      <c r="G2468" s="2"/>
      <c r="H2468" s="38"/>
      <c r="J2468" s="3"/>
      <c r="K2468" s="3"/>
      <c r="L2468" s="39"/>
      <c r="N2468" s="3"/>
      <c r="O2468" s="3"/>
      <c r="P2468" s="39"/>
      <c r="R2468" s="39"/>
    </row>
    <row r="2469" spans="2:18" x14ac:dyDescent="0.2">
      <c r="B2469" s="1"/>
      <c r="C2469" s="2"/>
      <c r="D2469" s="38"/>
      <c r="F2469" s="1"/>
      <c r="G2469" s="2"/>
      <c r="H2469" s="38"/>
      <c r="J2469" s="3"/>
      <c r="K2469" s="3"/>
      <c r="L2469" s="39"/>
      <c r="N2469" s="3"/>
      <c r="O2469" s="3"/>
      <c r="P2469" s="39"/>
      <c r="R2469" s="39"/>
    </row>
    <row r="2470" spans="2:18" x14ac:dyDescent="0.2">
      <c r="B2470" s="1"/>
      <c r="C2470" s="2"/>
      <c r="D2470" s="38"/>
      <c r="F2470" s="1"/>
      <c r="G2470" s="2"/>
      <c r="H2470" s="38"/>
      <c r="J2470" s="3"/>
      <c r="K2470" s="3"/>
      <c r="L2470" s="39"/>
      <c r="N2470" s="3"/>
      <c r="O2470" s="3"/>
      <c r="P2470" s="39"/>
      <c r="R2470" s="39"/>
    </row>
    <row r="2471" spans="2:18" x14ac:dyDescent="0.2">
      <c r="B2471" s="1"/>
      <c r="C2471" s="2"/>
      <c r="D2471" s="38"/>
      <c r="F2471" s="1"/>
      <c r="G2471" s="2"/>
      <c r="H2471" s="38"/>
      <c r="J2471" s="3"/>
      <c r="K2471" s="3"/>
      <c r="L2471" s="39"/>
      <c r="N2471" s="3"/>
      <c r="O2471" s="3"/>
      <c r="P2471" s="39"/>
      <c r="R2471" s="39"/>
    </row>
    <row r="2472" spans="2:18" x14ac:dyDescent="0.2">
      <c r="B2472" s="1"/>
      <c r="C2472" s="2"/>
      <c r="D2472" s="38"/>
      <c r="F2472" s="1"/>
      <c r="G2472" s="2"/>
      <c r="H2472" s="38"/>
      <c r="J2472" s="3"/>
      <c r="K2472" s="3"/>
      <c r="L2472" s="39"/>
      <c r="N2472" s="3"/>
      <c r="O2472" s="3"/>
      <c r="P2472" s="39"/>
      <c r="R2472" s="39"/>
    </row>
    <row r="2473" spans="2:18" x14ac:dyDescent="0.2">
      <c r="B2473" s="1"/>
      <c r="C2473" s="2"/>
      <c r="D2473" s="38"/>
      <c r="F2473" s="1"/>
      <c r="G2473" s="2"/>
      <c r="H2473" s="38"/>
      <c r="J2473" s="3"/>
      <c r="K2473" s="3"/>
      <c r="L2473" s="39"/>
      <c r="N2473" s="3"/>
      <c r="O2473" s="3"/>
      <c r="P2473" s="39"/>
      <c r="R2473" s="39"/>
    </row>
    <row r="2474" spans="2:18" x14ac:dyDescent="0.2">
      <c r="B2474" s="1"/>
      <c r="C2474" s="2"/>
      <c r="D2474" s="38"/>
      <c r="F2474" s="1"/>
      <c r="G2474" s="2"/>
      <c r="H2474" s="38"/>
      <c r="J2474" s="3"/>
      <c r="K2474" s="3"/>
      <c r="L2474" s="39"/>
      <c r="N2474" s="3"/>
      <c r="O2474" s="3"/>
      <c r="P2474" s="39"/>
      <c r="R2474" s="39"/>
    </row>
    <row r="2475" spans="2:18" x14ac:dyDescent="0.2">
      <c r="B2475" s="1"/>
      <c r="C2475" s="2"/>
      <c r="D2475" s="38"/>
      <c r="F2475" s="1"/>
      <c r="G2475" s="2"/>
      <c r="H2475" s="38"/>
      <c r="J2475" s="3"/>
      <c r="K2475" s="3"/>
      <c r="L2475" s="39"/>
      <c r="N2475" s="3"/>
      <c r="O2475" s="3"/>
      <c r="P2475" s="39"/>
      <c r="R2475" s="39"/>
    </row>
    <row r="2476" spans="2:18" x14ac:dyDescent="0.2">
      <c r="B2476" s="1"/>
      <c r="C2476" s="2"/>
      <c r="D2476" s="38"/>
      <c r="F2476" s="1"/>
      <c r="G2476" s="2"/>
      <c r="H2476" s="38"/>
      <c r="J2476" s="3"/>
      <c r="K2476" s="3"/>
      <c r="L2476" s="39"/>
      <c r="N2476" s="3"/>
      <c r="O2476" s="3"/>
      <c r="P2476" s="39"/>
      <c r="R2476" s="39"/>
    </row>
    <row r="2477" spans="2:18" x14ac:dyDescent="0.2">
      <c r="B2477" s="1"/>
      <c r="C2477" s="2"/>
      <c r="D2477" s="38"/>
      <c r="F2477" s="1"/>
      <c r="G2477" s="2"/>
      <c r="H2477" s="38"/>
      <c r="J2477" s="3"/>
      <c r="K2477" s="3"/>
      <c r="L2477" s="39"/>
      <c r="N2477" s="3"/>
      <c r="O2477" s="3"/>
      <c r="P2477" s="39"/>
      <c r="R2477" s="39"/>
    </row>
    <row r="2478" spans="2:18" x14ac:dyDescent="0.2">
      <c r="B2478" s="1"/>
      <c r="C2478" s="2"/>
      <c r="D2478" s="38"/>
      <c r="F2478" s="1"/>
      <c r="G2478" s="2"/>
      <c r="H2478" s="38"/>
      <c r="J2478" s="3"/>
      <c r="K2478" s="3"/>
      <c r="L2478" s="39"/>
      <c r="N2478" s="3"/>
      <c r="O2478" s="3"/>
      <c r="P2478" s="39"/>
      <c r="R2478" s="39"/>
    </row>
    <row r="2479" spans="2:18" x14ac:dyDescent="0.2">
      <c r="B2479" s="1"/>
      <c r="C2479" s="2"/>
      <c r="D2479" s="38"/>
      <c r="F2479" s="1"/>
      <c r="G2479" s="2"/>
      <c r="H2479" s="38"/>
      <c r="J2479" s="3"/>
      <c r="K2479" s="3"/>
      <c r="L2479" s="39"/>
      <c r="N2479" s="3"/>
      <c r="O2479" s="3"/>
      <c r="P2479" s="39"/>
      <c r="R2479" s="39"/>
    </row>
    <row r="2480" spans="2:18" x14ac:dyDescent="0.2">
      <c r="B2480" s="1"/>
      <c r="C2480" s="2"/>
      <c r="D2480" s="38"/>
      <c r="F2480" s="1"/>
      <c r="G2480" s="2"/>
      <c r="H2480" s="38"/>
      <c r="J2480" s="3"/>
      <c r="K2480" s="3"/>
      <c r="L2480" s="39"/>
      <c r="N2480" s="3"/>
      <c r="O2480" s="3"/>
      <c r="P2480" s="39"/>
      <c r="R2480" s="39"/>
    </row>
    <row r="2481" spans="2:18" x14ac:dyDescent="0.2">
      <c r="B2481" s="1"/>
      <c r="C2481" s="2"/>
      <c r="D2481" s="38"/>
      <c r="F2481" s="1"/>
      <c r="G2481" s="2"/>
      <c r="H2481" s="38"/>
      <c r="J2481" s="3"/>
      <c r="K2481" s="3"/>
      <c r="L2481" s="39"/>
      <c r="N2481" s="3"/>
      <c r="O2481" s="3"/>
      <c r="P2481" s="39"/>
      <c r="R2481" s="39"/>
    </row>
    <row r="2482" spans="2:18" x14ac:dyDescent="0.2">
      <c r="B2482" s="1"/>
      <c r="C2482" s="2"/>
      <c r="D2482" s="38"/>
      <c r="F2482" s="1"/>
      <c r="G2482" s="2"/>
      <c r="H2482" s="38"/>
      <c r="J2482" s="3"/>
      <c r="K2482" s="3"/>
      <c r="L2482" s="39"/>
      <c r="N2482" s="3"/>
      <c r="O2482" s="3"/>
      <c r="P2482" s="39"/>
      <c r="R2482" s="39"/>
    </row>
    <row r="2483" spans="2:18" x14ac:dyDescent="0.2">
      <c r="B2483" s="1"/>
      <c r="C2483" s="2"/>
      <c r="D2483" s="38"/>
      <c r="F2483" s="1"/>
      <c r="G2483" s="2"/>
      <c r="H2483" s="38"/>
      <c r="J2483" s="3"/>
      <c r="K2483" s="3"/>
      <c r="L2483" s="39"/>
      <c r="N2483" s="3"/>
      <c r="O2483" s="3"/>
      <c r="P2483" s="39"/>
      <c r="R2483" s="39"/>
    </row>
    <row r="2484" spans="2:18" x14ac:dyDescent="0.2">
      <c r="B2484" s="1"/>
      <c r="C2484" s="2"/>
      <c r="D2484" s="38"/>
      <c r="F2484" s="1"/>
      <c r="G2484" s="2"/>
      <c r="H2484" s="38"/>
      <c r="J2484" s="3"/>
      <c r="K2484" s="3"/>
      <c r="L2484" s="39"/>
      <c r="N2484" s="3"/>
      <c r="O2484" s="3"/>
      <c r="P2484" s="39"/>
      <c r="R2484" s="39"/>
    </row>
    <row r="2485" spans="2:18" x14ac:dyDescent="0.2">
      <c r="B2485" s="1"/>
      <c r="C2485" s="2"/>
      <c r="D2485" s="38"/>
      <c r="F2485" s="1"/>
      <c r="G2485" s="2"/>
      <c r="H2485" s="38"/>
      <c r="J2485" s="3"/>
      <c r="K2485" s="3"/>
      <c r="L2485" s="39"/>
      <c r="N2485" s="3"/>
      <c r="O2485" s="3"/>
      <c r="P2485" s="39"/>
      <c r="R2485" s="39"/>
    </row>
    <row r="2486" spans="2:18" x14ac:dyDescent="0.2">
      <c r="B2486" s="1"/>
      <c r="C2486" s="2"/>
      <c r="D2486" s="38"/>
      <c r="F2486" s="1"/>
      <c r="G2486" s="2"/>
      <c r="H2486" s="38"/>
      <c r="J2486" s="3"/>
      <c r="K2486" s="3"/>
      <c r="L2486" s="39"/>
      <c r="N2486" s="3"/>
      <c r="O2486" s="3"/>
      <c r="P2486" s="39"/>
      <c r="R2486" s="39"/>
    </row>
    <row r="2487" spans="2:18" x14ac:dyDescent="0.2">
      <c r="B2487" s="1"/>
      <c r="C2487" s="2"/>
      <c r="D2487" s="38"/>
      <c r="F2487" s="1"/>
      <c r="G2487" s="2"/>
      <c r="H2487" s="38"/>
      <c r="J2487" s="3"/>
      <c r="K2487" s="3"/>
      <c r="L2487" s="39"/>
      <c r="N2487" s="3"/>
      <c r="O2487" s="3"/>
      <c r="P2487" s="39"/>
      <c r="R2487" s="39"/>
    </row>
    <row r="2488" spans="2:18" x14ac:dyDescent="0.2">
      <c r="B2488" s="1"/>
      <c r="C2488" s="2"/>
      <c r="D2488" s="38"/>
      <c r="F2488" s="1"/>
      <c r="G2488" s="2"/>
      <c r="H2488" s="38"/>
      <c r="J2488" s="3"/>
      <c r="K2488" s="3"/>
      <c r="L2488" s="39"/>
      <c r="N2488" s="3"/>
      <c r="O2488" s="3"/>
      <c r="P2488" s="39"/>
      <c r="R2488" s="39"/>
    </row>
    <row r="2489" spans="2:18" x14ac:dyDescent="0.2">
      <c r="B2489" s="1"/>
      <c r="C2489" s="2"/>
      <c r="D2489" s="38"/>
      <c r="F2489" s="1"/>
      <c r="G2489" s="2"/>
      <c r="H2489" s="38"/>
      <c r="J2489" s="3"/>
      <c r="K2489" s="3"/>
      <c r="L2489" s="39"/>
      <c r="N2489" s="3"/>
      <c r="O2489" s="3"/>
      <c r="P2489" s="39"/>
      <c r="R2489" s="39"/>
    </row>
    <row r="2490" spans="2:18" x14ac:dyDescent="0.2">
      <c r="B2490" s="1"/>
      <c r="C2490" s="2"/>
      <c r="D2490" s="38"/>
      <c r="F2490" s="1"/>
      <c r="G2490" s="2"/>
      <c r="H2490" s="38"/>
      <c r="J2490" s="3"/>
      <c r="K2490" s="3"/>
      <c r="L2490" s="39"/>
      <c r="N2490" s="3"/>
      <c r="O2490" s="3"/>
      <c r="P2490" s="39"/>
      <c r="R2490" s="39"/>
    </row>
    <row r="2491" spans="2:18" x14ac:dyDescent="0.2">
      <c r="B2491" s="1"/>
      <c r="C2491" s="2"/>
      <c r="D2491" s="38"/>
      <c r="F2491" s="1"/>
      <c r="G2491" s="2"/>
      <c r="H2491" s="38"/>
      <c r="J2491" s="3"/>
      <c r="K2491" s="3"/>
      <c r="L2491" s="39"/>
      <c r="N2491" s="3"/>
      <c r="O2491" s="3"/>
      <c r="P2491" s="39"/>
      <c r="R2491" s="39"/>
    </row>
    <row r="2492" spans="2:18" x14ac:dyDescent="0.2">
      <c r="B2492" s="1"/>
      <c r="C2492" s="2"/>
      <c r="D2492" s="38"/>
      <c r="F2492" s="1"/>
      <c r="G2492" s="2"/>
      <c r="H2492" s="38"/>
      <c r="J2492" s="3"/>
      <c r="K2492" s="3"/>
      <c r="L2492" s="39"/>
      <c r="N2492" s="3"/>
      <c r="O2492" s="3"/>
      <c r="P2492" s="39"/>
      <c r="R2492" s="39"/>
    </row>
    <row r="2493" spans="2:18" x14ac:dyDescent="0.2">
      <c r="B2493" s="1"/>
      <c r="C2493" s="2"/>
      <c r="D2493" s="38"/>
      <c r="F2493" s="1"/>
      <c r="G2493" s="2"/>
      <c r="H2493" s="38"/>
      <c r="J2493" s="3"/>
      <c r="K2493" s="3"/>
      <c r="L2493" s="39"/>
      <c r="N2493" s="3"/>
      <c r="O2493" s="3"/>
      <c r="P2493" s="39"/>
      <c r="R2493" s="39"/>
    </row>
    <row r="2494" spans="2:18" x14ac:dyDescent="0.2">
      <c r="B2494" s="1"/>
      <c r="C2494" s="2"/>
      <c r="D2494" s="38"/>
      <c r="F2494" s="1"/>
      <c r="G2494" s="2"/>
      <c r="H2494" s="38"/>
      <c r="J2494" s="3"/>
      <c r="K2494" s="3"/>
      <c r="L2494" s="39"/>
      <c r="N2494" s="3"/>
      <c r="O2494" s="3"/>
      <c r="P2494" s="39"/>
      <c r="R2494" s="39"/>
    </row>
    <row r="2495" spans="2:18" x14ac:dyDescent="0.2">
      <c r="B2495" s="1"/>
      <c r="C2495" s="2"/>
      <c r="D2495" s="38"/>
      <c r="F2495" s="1"/>
      <c r="G2495" s="2"/>
      <c r="H2495" s="38"/>
      <c r="J2495" s="3"/>
      <c r="K2495" s="3"/>
      <c r="L2495" s="39"/>
      <c r="N2495" s="3"/>
      <c r="O2495" s="3"/>
      <c r="P2495" s="39"/>
      <c r="R2495" s="39"/>
    </row>
    <row r="2496" spans="2:18" x14ac:dyDescent="0.2">
      <c r="B2496" s="1"/>
      <c r="C2496" s="2"/>
      <c r="D2496" s="38"/>
      <c r="F2496" s="1"/>
      <c r="G2496" s="2"/>
      <c r="H2496" s="38"/>
      <c r="J2496" s="3"/>
      <c r="K2496" s="3"/>
      <c r="L2496" s="39"/>
      <c r="N2496" s="3"/>
      <c r="O2496" s="3"/>
      <c r="P2496" s="39"/>
      <c r="R2496" s="39"/>
    </row>
    <row r="2497" spans="2:18" x14ac:dyDescent="0.2">
      <c r="B2497" s="1"/>
      <c r="C2497" s="2"/>
      <c r="D2497" s="38"/>
      <c r="F2497" s="1"/>
      <c r="G2497" s="2"/>
      <c r="H2497" s="38"/>
      <c r="J2497" s="3"/>
      <c r="K2497" s="3"/>
      <c r="L2497" s="39"/>
      <c r="N2497" s="3"/>
      <c r="O2497" s="3"/>
      <c r="P2497" s="39"/>
      <c r="R2497" s="39"/>
    </row>
    <row r="2498" spans="2:18" x14ac:dyDescent="0.2">
      <c r="B2498" s="1"/>
      <c r="C2498" s="2"/>
      <c r="D2498" s="38"/>
      <c r="F2498" s="1"/>
      <c r="G2498" s="2"/>
      <c r="H2498" s="38"/>
      <c r="J2498" s="3"/>
      <c r="K2498" s="3"/>
      <c r="L2498" s="39"/>
      <c r="N2498" s="3"/>
      <c r="O2498" s="3"/>
      <c r="P2498" s="39"/>
      <c r="R2498" s="39"/>
    </row>
    <row r="2499" spans="2:18" x14ac:dyDescent="0.2">
      <c r="B2499" s="1"/>
      <c r="C2499" s="2"/>
      <c r="D2499" s="38"/>
      <c r="F2499" s="1"/>
      <c r="G2499" s="2"/>
      <c r="H2499" s="38"/>
      <c r="J2499" s="3"/>
      <c r="K2499" s="3"/>
      <c r="L2499" s="39"/>
      <c r="N2499" s="3"/>
      <c r="O2499" s="3"/>
      <c r="P2499" s="39"/>
      <c r="R2499" s="39"/>
    </row>
    <row r="2500" spans="2:18" x14ac:dyDescent="0.2">
      <c r="B2500" s="1"/>
      <c r="C2500" s="2"/>
      <c r="D2500" s="38"/>
      <c r="F2500" s="1"/>
      <c r="G2500" s="2"/>
      <c r="H2500" s="38"/>
      <c r="J2500" s="3"/>
      <c r="K2500" s="3"/>
      <c r="L2500" s="39"/>
      <c r="N2500" s="3"/>
      <c r="O2500" s="3"/>
      <c r="P2500" s="39"/>
      <c r="R2500" s="39"/>
    </row>
    <row r="2501" spans="2:18" x14ac:dyDescent="0.2">
      <c r="B2501" s="1"/>
      <c r="C2501" s="2"/>
      <c r="D2501" s="38"/>
      <c r="F2501" s="1"/>
      <c r="G2501" s="2"/>
      <c r="H2501" s="38"/>
      <c r="J2501" s="3"/>
      <c r="K2501" s="3"/>
      <c r="L2501" s="39"/>
      <c r="N2501" s="3"/>
      <c r="O2501" s="3"/>
      <c r="P2501" s="39"/>
      <c r="R2501" s="39"/>
    </row>
    <row r="2502" spans="2:18" x14ac:dyDescent="0.2">
      <c r="B2502" s="1"/>
      <c r="C2502" s="2"/>
      <c r="D2502" s="38"/>
      <c r="F2502" s="1"/>
      <c r="G2502" s="2"/>
      <c r="H2502" s="38"/>
      <c r="J2502" s="3"/>
      <c r="K2502" s="3"/>
      <c r="L2502" s="39"/>
      <c r="N2502" s="3"/>
      <c r="O2502" s="3"/>
      <c r="P2502" s="39"/>
      <c r="R2502" s="39"/>
    </row>
    <row r="2503" spans="2:18" x14ac:dyDescent="0.2">
      <c r="B2503" s="1"/>
      <c r="C2503" s="2"/>
      <c r="D2503" s="38"/>
      <c r="F2503" s="1"/>
      <c r="G2503" s="2"/>
      <c r="H2503" s="38"/>
      <c r="J2503" s="3"/>
      <c r="K2503" s="3"/>
      <c r="L2503" s="39"/>
      <c r="N2503" s="3"/>
      <c r="O2503" s="3"/>
      <c r="P2503" s="39"/>
      <c r="R2503" s="39"/>
    </row>
    <row r="2504" spans="2:18" x14ac:dyDescent="0.2">
      <c r="B2504" s="1"/>
      <c r="C2504" s="2"/>
      <c r="D2504" s="38"/>
      <c r="F2504" s="1"/>
      <c r="G2504" s="2"/>
      <c r="H2504" s="38"/>
      <c r="J2504" s="3"/>
      <c r="K2504" s="3"/>
      <c r="L2504" s="39"/>
      <c r="N2504" s="3"/>
      <c r="O2504" s="3"/>
      <c r="P2504" s="39"/>
      <c r="R2504" s="39"/>
    </row>
    <row r="2505" spans="2:18" x14ac:dyDescent="0.2">
      <c r="B2505" s="1"/>
      <c r="C2505" s="2"/>
      <c r="D2505" s="38"/>
      <c r="F2505" s="1"/>
      <c r="G2505" s="2"/>
      <c r="H2505" s="38"/>
      <c r="J2505" s="3"/>
      <c r="K2505" s="3"/>
      <c r="L2505" s="39"/>
      <c r="N2505" s="3"/>
      <c r="O2505" s="3"/>
      <c r="P2505" s="39"/>
      <c r="R2505" s="39"/>
    </row>
    <row r="2506" spans="2:18" x14ac:dyDescent="0.2">
      <c r="B2506" s="1"/>
      <c r="C2506" s="2"/>
      <c r="D2506" s="38"/>
      <c r="F2506" s="1"/>
      <c r="G2506" s="2"/>
      <c r="H2506" s="38"/>
      <c r="J2506" s="3"/>
      <c r="K2506" s="3"/>
      <c r="L2506" s="39"/>
      <c r="N2506" s="3"/>
      <c r="O2506" s="3"/>
      <c r="P2506" s="39"/>
      <c r="R2506" s="39"/>
    </row>
    <row r="2507" spans="2:18" x14ac:dyDescent="0.2">
      <c r="B2507" s="1"/>
      <c r="C2507" s="2"/>
      <c r="D2507" s="38"/>
      <c r="F2507" s="1"/>
      <c r="G2507" s="2"/>
      <c r="H2507" s="38"/>
      <c r="J2507" s="3"/>
      <c r="K2507" s="3"/>
      <c r="L2507" s="39"/>
      <c r="N2507" s="3"/>
      <c r="O2507" s="3"/>
      <c r="P2507" s="39"/>
      <c r="R2507" s="39"/>
    </row>
    <row r="2508" spans="2:18" x14ac:dyDescent="0.2">
      <c r="B2508" s="1"/>
      <c r="C2508" s="2"/>
      <c r="D2508" s="38"/>
      <c r="F2508" s="1"/>
      <c r="G2508" s="2"/>
      <c r="H2508" s="38"/>
      <c r="J2508" s="3"/>
      <c r="K2508" s="3"/>
      <c r="L2508" s="39"/>
      <c r="N2508" s="3"/>
      <c r="O2508" s="3"/>
      <c r="P2508" s="39"/>
      <c r="R2508" s="39"/>
    </row>
    <row r="2509" spans="2:18" x14ac:dyDescent="0.2">
      <c r="B2509" s="1"/>
      <c r="C2509" s="2"/>
      <c r="D2509" s="38"/>
      <c r="F2509" s="1"/>
      <c r="G2509" s="2"/>
      <c r="H2509" s="38"/>
      <c r="J2509" s="3"/>
      <c r="K2509" s="3"/>
      <c r="L2509" s="39"/>
      <c r="N2509" s="3"/>
      <c r="O2509" s="3"/>
      <c r="P2509" s="39"/>
      <c r="R2509" s="39"/>
    </row>
    <row r="2510" spans="2:18" x14ac:dyDescent="0.2">
      <c r="B2510" s="1"/>
      <c r="C2510" s="2"/>
      <c r="D2510" s="38"/>
      <c r="F2510" s="1"/>
      <c r="G2510" s="2"/>
      <c r="H2510" s="38"/>
      <c r="J2510" s="3"/>
      <c r="K2510" s="3"/>
      <c r="L2510" s="39"/>
      <c r="N2510" s="3"/>
      <c r="O2510" s="3"/>
      <c r="P2510" s="39"/>
      <c r="R2510" s="39"/>
    </row>
    <row r="2511" spans="2:18" x14ac:dyDescent="0.2">
      <c r="B2511" s="1"/>
      <c r="C2511" s="2"/>
      <c r="D2511" s="38"/>
      <c r="F2511" s="1"/>
      <c r="G2511" s="2"/>
      <c r="H2511" s="38"/>
      <c r="J2511" s="3"/>
      <c r="K2511" s="3"/>
      <c r="L2511" s="39"/>
      <c r="N2511" s="3"/>
      <c r="O2511" s="3"/>
      <c r="P2511" s="39"/>
      <c r="R2511" s="39"/>
    </row>
    <row r="2512" spans="2:18" x14ac:dyDescent="0.2">
      <c r="B2512" s="1"/>
      <c r="C2512" s="2"/>
      <c r="D2512" s="38"/>
      <c r="F2512" s="1"/>
      <c r="G2512" s="2"/>
      <c r="H2512" s="38"/>
      <c r="J2512" s="3"/>
      <c r="K2512" s="3"/>
      <c r="L2512" s="39"/>
      <c r="N2512" s="3"/>
      <c r="O2512" s="3"/>
      <c r="P2512" s="39"/>
      <c r="R2512" s="39"/>
    </row>
    <row r="2513" spans="2:18" x14ac:dyDescent="0.2">
      <c r="B2513" s="1"/>
      <c r="C2513" s="2"/>
      <c r="D2513" s="38"/>
      <c r="F2513" s="1"/>
      <c r="G2513" s="2"/>
      <c r="H2513" s="38"/>
      <c r="J2513" s="3"/>
      <c r="K2513" s="3"/>
      <c r="L2513" s="39"/>
      <c r="N2513" s="3"/>
      <c r="O2513" s="3"/>
      <c r="P2513" s="39"/>
      <c r="R2513" s="39"/>
    </row>
    <row r="2514" spans="2:18" x14ac:dyDescent="0.2">
      <c r="B2514" s="1"/>
      <c r="C2514" s="2"/>
      <c r="D2514" s="38"/>
      <c r="F2514" s="1"/>
      <c r="G2514" s="2"/>
      <c r="H2514" s="38"/>
      <c r="J2514" s="3"/>
      <c r="K2514" s="3"/>
      <c r="L2514" s="39"/>
      <c r="N2514" s="3"/>
      <c r="O2514" s="3"/>
      <c r="P2514" s="39"/>
      <c r="R2514" s="39"/>
    </row>
    <row r="2515" spans="2:18" x14ac:dyDescent="0.2">
      <c r="B2515" s="1"/>
      <c r="C2515" s="2"/>
      <c r="D2515" s="38"/>
      <c r="F2515" s="1"/>
      <c r="G2515" s="2"/>
      <c r="H2515" s="38"/>
      <c r="J2515" s="3"/>
      <c r="K2515" s="3"/>
      <c r="L2515" s="39"/>
      <c r="N2515" s="3"/>
      <c r="O2515" s="3"/>
      <c r="P2515" s="39"/>
      <c r="R2515" s="39"/>
    </row>
    <row r="2516" spans="2:18" x14ac:dyDescent="0.2">
      <c r="B2516" s="1"/>
      <c r="C2516" s="2"/>
      <c r="D2516" s="38"/>
      <c r="F2516" s="1"/>
      <c r="G2516" s="2"/>
      <c r="H2516" s="38"/>
      <c r="J2516" s="3"/>
      <c r="K2516" s="3"/>
      <c r="L2516" s="39"/>
      <c r="N2516" s="3"/>
      <c r="O2516" s="3"/>
      <c r="P2516" s="39"/>
      <c r="R2516" s="39"/>
    </row>
    <row r="2517" spans="2:18" x14ac:dyDescent="0.2">
      <c r="B2517" s="1"/>
      <c r="C2517" s="2"/>
      <c r="D2517" s="38"/>
      <c r="F2517" s="1"/>
      <c r="G2517" s="2"/>
      <c r="H2517" s="38"/>
      <c r="J2517" s="3"/>
      <c r="K2517" s="3"/>
      <c r="L2517" s="39"/>
      <c r="N2517" s="3"/>
      <c r="O2517" s="3"/>
      <c r="P2517" s="39"/>
      <c r="R2517" s="39"/>
    </row>
    <row r="2518" spans="2:18" x14ac:dyDescent="0.2">
      <c r="B2518" s="1"/>
      <c r="C2518" s="2"/>
      <c r="D2518" s="38"/>
      <c r="F2518" s="1"/>
      <c r="G2518" s="2"/>
      <c r="H2518" s="38"/>
      <c r="J2518" s="3"/>
      <c r="K2518" s="3"/>
      <c r="L2518" s="39"/>
      <c r="N2518" s="3"/>
      <c r="O2518" s="3"/>
      <c r="P2518" s="39"/>
      <c r="R2518" s="39"/>
    </row>
    <row r="2519" spans="2:18" x14ac:dyDescent="0.2">
      <c r="B2519" s="1"/>
      <c r="C2519" s="2"/>
      <c r="D2519" s="38"/>
      <c r="F2519" s="1"/>
      <c r="G2519" s="2"/>
      <c r="H2519" s="38"/>
      <c r="J2519" s="3"/>
      <c r="K2519" s="3"/>
      <c r="L2519" s="39"/>
      <c r="N2519" s="3"/>
      <c r="O2519" s="3"/>
      <c r="P2519" s="39"/>
      <c r="R2519" s="39"/>
    </row>
    <row r="2520" spans="2:18" x14ac:dyDescent="0.2">
      <c r="B2520" s="1"/>
      <c r="C2520" s="2"/>
      <c r="D2520" s="38"/>
      <c r="F2520" s="1"/>
      <c r="G2520" s="2"/>
      <c r="H2520" s="38"/>
      <c r="J2520" s="3"/>
      <c r="K2520" s="3"/>
      <c r="L2520" s="39"/>
      <c r="N2520" s="3"/>
      <c r="O2520" s="3"/>
      <c r="P2520" s="39"/>
      <c r="R2520" s="39"/>
    </row>
    <row r="2521" spans="2:18" x14ac:dyDescent="0.2">
      <c r="B2521" s="1"/>
      <c r="C2521" s="2"/>
      <c r="D2521" s="38"/>
      <c r="F2521" s="1"/>
      <c r="G2521" s="2"/>
      <c r="H2521" s="38"/>
      <c r="J2521" s="3"/>
      <c r="K2521" s="3"/>
      <c r="L2521" s="39"/>
      <c r="N2521" s="3"/>
      <c r="O2521" s="3"/>
      <c r="P2521" s="39"/>
      <c r="R2521" s="39"/>
    </row>
    <row r="2522" spans="2:18" x14ac:dyDescent="0.2">
      <c r="B2522" s="1"/>
      <c r="C2522" s="2"/>
      <c r="D2522" s="38"/>
      <c r="F2522" s="1"/>
      <c r="G2522" s="2"/>
      <c r="H2522" s="38"/>
      <c r="J2522" s="3"/>
      <c r="K2522" s="3"/>
      <c r="L2522" s="39"/>
      <c r="N2522" s="3"/>
      <c r="O2522" s="3"/>
      <c r="P2522" s="39"/>
      <c r="R2522" s="39"/>
    </row>
    <row r="2523" spans="2:18" x14ac:dyDescent="0.2">
      <c r="B2523" s="1"/>
      <c r="C2523" s="2"/>
      <c r="D2523" s="38"/>
      <c r="F2523" s="1"/>
      <c r="G2523" s="2"/>
      <c r="H2523" s="38"/>
      <c r="J2523" s="3"/>
      <c r="K2523" s="3"/>
      <c r="L2523" s="39"/>
      <c r="N2523" s="3"/>
      <c r="O2523" s="3"/>
      <c r="P2523" s="39"/>
      <c r="R2523" s="39"/>
    </row>
    <row r="2524" spans="2:18" x14ac:dyDescent="0.2">
      <c r="B2524" s="1"/>
      <c r="C2524" s="2"/>
      <c r="D2524" s="38"/>
      <c r="F2524" s="1"/>
      <c r="G2524" s="2"/>
      <c r="H2524" s="38"/>
      <c r="J2524" s="3"/>
      <c r="K2524" s="3"/>
      <c r="L2524" s="39"/>
      <c r="N2524" s="3"/>
      <c r="O2524" s="3"/>
      <c r="P2524" s="39"/>
      <c r="R2524" s="39"/>
    </row>
    <row r="2525" spans="2:18" x14ac:dyDescent="0.2">
      <c r="B2525" s="1"/>
      <c r="C2525" s="2"/>
      <c r="D2525" s="38"/>
      <c r="F2525" s="1"/>
      <c r="G2525" s="2"/>
      <c r="H2525" s="38"/>
      <c r="J2525" s="3"/>
      <c r="K2525" s="3"/>
      <c r="L2525" s="39"/>
      <c r="N2525" s="3"/>
      <c r="O2525" s="3"/>
      <c r="P2525" s="39"/>
      <c r="R2525" s="39"/>
    </row>
    <row r="2526" spans="2:18" x14ac:dyDescent="0.2">
      <c r="B2526" s="1"/>
      <c r="C2526" s="2"/>
      <c r="D2526" s="38"/>
      <c r="F2526" s="1"/>
      <c r="G2526" s="2"/>
      <c r="H2526" s="38"/>
      <c r="J2526" s="3"/>
      <c r="K2526" s="3"/>
      <c r="L2526" s="39"/>
      <c r="N2526" s="3"/>
      <c r="O2526" s="3"/>
      <c r="P2526" s="39"/>
      <c r="R2526" s="39"/>
    </row>
    <row r="2527" spans="2:18" x14ac:dyDescent="0.2">
      <c r="B2527" s="1"/>
      <c r="C2527" s="2"/>
      <c r="D2527" s="38"/>
      <c r="F2527" s="1"/>
      <c r="G2527" s="2"/>
      <c r="H2527" s="38"/>
      <c r="J2527" s="3"/>
      <c r="K2527" s="3"/>
      <c r="L2527" s="39"/>
      <c r="N2527" s="3"/>
      <c r="O2527" s="3"/>
      <c r="P2527" s="39"/>
      <c r="R2527" s="39"/>
    </row>
    <row r="2528" spans="2:18" x14ac:dyDescent="0.2">
      <c r="B2528" s="1"/>
      <c r="C2528" s="2"/>
      <c r="D2528" s="38"/>
      <c r="F2528" s="1"/>
      <c r="G2528" s="2"/>
      <c r="H2528" s="38"/>
      <c r="J2528" s="3"/>
      <c r="K2528" s="3"/>
      <c r="L2528" s="39"/>
      <c r="N2528" s="3"/>
      <c r="O2528" s="3"/>
      <c r="P2528" s="39"/>
      <c r="R2528" s="39"/>
    </row>
    <row r="2529" spans="2:18" x14ac:dyDescent="0.2">
      <c r="B2529" s="1"/>
      <c r="C2529" s="2"/>
      <c r="D2529" s="38"/>
      <c r="F2529" s="1"/>
      <c r="G2529" s="2"/>
      <c r="H2529" s="38"/>
      <c r="J2529" s="3"/>
      <c r="K2529" s="3"/>
      <c r="L2529" s="39"/>
      <c r="N2529" s="3"/>
      <c r="O2529" s="3"/>
      <c r="P2529" s="39"/>
      <c r="R2529" s="39"/>
    </row>
    <row r="2530" spans="2:18" x14ac:dyDescent="0.2">
      <c r="B2530" s="1"/>
      <c r="C2530" s="2"/>
      <c r="D2530" s="38"/>
      <c r="F2530" s="1"/>
      <c r="G2530" s="2"/>
      <c r="H2530" s="38"/>
      <c r="J2530" s="3"/>
      <c r="K2530" s="3"/>
      <c r="L2530" s="39"/>
      <c r="N2530" s="3"/>
      <c r="O2530" s="3"/>
      <c r="P2530" s="39"/>
      <c r="R2530" s="39"/>
    </row>
    <row r="2531" spans="2:18" x14ac:dyDescent="0.2">
      <c r="B2531" s="1"/>
      <c r="C2531" s="2"/>
      <c r="D2531" s="38"/>
      <c r="F2531" s="1"/>
      <c r="G2531" s="2"/>
      <c r="H2531" s="38"/>
      <c r="J2531" s="3"/>
      <c r="K2531" s="3"/>
      <c r="L2531" s="39"/>
      <c r="N2531" s="3"/>
      <c r="O2531" s="3"/>
      <c r="P2531" s="39"/>
      <c r="R2531" s="39"/>
    </row>
    <row r="2532" spans="2:18" x14ac:dyDescent="0.2">
      <c r="B2532" s="1"/>
      <c r="C2532" s="2"/>
      <c r="D2532" s="38"/>
      <c r="F2532" s="1"/>
      <c r="G2532" s="2"/>
      <c r="H2532" s="38"/>
      <c r="J2532" s="3"/>
      <c r="K2532" s="3"/>
      <c r="L2532" s="39"/>
      <c r="N2532" s="3"/>
      <c r="O2532" s="3"/>
      <c r="P2532" s="39"/>
      <c r="R2532" s="39"/>
    </row>
    <row r="2533" spans="2:18" x14ac:dyDescent="0.2">
      <c r="B2533" s="1"/>
      <c r="C2533" s="2"/>
      <c r="D2533" s="38"/>
      <c r="F2533" s="1"/>
      <c r="G2533" s="2"/>
      <c r="H2533" s="38"/>
      <c r="J2533" s="3"/>
      <c r="K2533" s="3"/>
      <c r="L2533" s="39"/>
      <c r="N2533" s="3"/>
      <c r="O2533" s="3"/>
      <c r="P2533" s="39"/>
      <c r="R2533" s="39"/>
    </row>
    <row r="2534" spans="2:18" x14ac:dyDescent="0.2">
      <c r="B2534" s="1"/>
      <c r="C2534" s="2"/>
      <c r="D2534" s="38"/>
      <c r="F2534" s="1"/>
      <c r="G2534" s="2"/>
      <c r="H2534" s="38"/>
      <c r="J2534" s="3"/>
      <c r="K2534" s="3"/>
      <c r="L2534" s="39"/>
      <c r="N2534" s="3"/>
      <c r="O2534" s="3"/>
      <c r="P2534" s="39"/>
      <c r="R2534" s="39"/>
    </row>
    <row r="2535" spans="2:18" x14ac:dyDescent="0.2">
      <c r="B2535" s="1"/>
      <c r="C2535" s="2"/>
      <c r="D2535" s="38"/>
      <c r="F2535" s="1"/>
      <c r="G2535" s="2"/>
      <c r="H2535" s="38"/>
      <c r="J2535" s="3"/>
      <c r="K2535" s="3"/>
      <c r="L2535" s="39"/>
      <c r="N2535" s="3"/>
      <c r="O2535" s="3"/>
      <c r="P2535" s="39"/>
      <c r="R2535" s="39"/>
    </row>
    <row r="2536" spans="2:18" x14ac:dyDescent="0.2">
      <c r="B2536" s="1"/>
      <c r="C2536" s="2"/>
      <c r="D2536" s="38"/>
      <c r="F2536" s="1"/>
      <c r="G2536" s="2"/>
      <c r="H2536" s="38"/>
      <c r="J2536" s="3"/>
      <c r="K2536" s="3"/>
      <c r="L2536" s="39"/>
      <c r="N2536" s="3"/>
      <c r="O2536" s="3"/>
      <c r="P2536" s="39"/>
      <c r="R2536" s="39"/>
    </row>
    <row r="2537" spans="2:18" x14ac:dyDescent="0.2">
      <c r="B2537" s="1"/>
      <c r="C2537" s="2"/>
      <c r="D2537" s="38"/>
      <c r="F2537" s="1"/>
      <c r="G2537" s="2"/>
      <c r="H2537" s="38"/>
      <c r="J2537" s="3"/>
      <c r="K2537" s="3"/>
      <c r="L2537" s="39"/>
      <c r="N2537" s="3"/>
      <c r="O2537" s="3"/>
      <c r="P2537" s="39"/>
      <c r="R2537" s="39"/>
    </row>
    <row r="2538" spans="2:18" x14ac:dyDescent="0.2">
      <c r="B2538" s="1"/>
      <c r="C2538" s="2"/>
      <c r="D2538" s="38"/>
      <c r="F2538" s="1"/>
      <c r="G2538" s="2"/>
      <c r="H2538" s="38"/>
      <c r="J2538" s="3"/>
      <c r="K2538" s="3"/>
      <c r="L2538" s="39"/>
      <c r="N2538" s="3"/>
      <c r="O2538" s="3"/>
      <c r="P2538" s="39"/>
      <c r="R2538" s="39"/>
    </row>
    <row r="2539" spans="2:18" x14ac:dyDescent="0.2">
      <c r="B2539" s="1"/>
      <c r="C2539" s="2"/>
      <c r="D2539" s="38"/>
      <c r="F2539" s="1"/>
      <c r="G2539" s="2"/>
      <c r="H2539" s="38"/>
      <c r="J2539" s="3"/>
      <c r="K2539" s="3"/>
      <c r="L2539" s="39"/>
      <c r="N2539" s="3"/>
      <c r="O2539" s="3"/>
      <c r="P2539" s="39"/>
      <c r="R2539" s="39"/>
    </row>
    <row r="2540" spans="2:18" x14ac:dyDescent="0.2">
      <c r="B2540" s="1"/>
      <c r="C2540" s="2"/>
      <c r="D2540" s="38"/>
      <c r="F2540" s="1"/>
      <c r="G2540" s="2"/>
      <c r="H2540" s="38"/>
      <c r="J2540" s="3"/>
      <c r="K2540" s="3"/>
      <c r="L2540" s="39"/>
      <c r="N2540" s="3"/>
      <c r="O2540" s="3"/>
      <c r="P2540" s="39"/>
      <c r="R2540" s="39"/>
    </row>
    <row r="2541" spans="2:18" x14ac:dyDescent="0.2">
      <c r="B2541" s="1"/>
      <c r="C2541" s="2"/>
      <c r="D2541" s="38"/>
      <c r="F2541" s="1"/>
      <c r="G2541" s="2"/>
      <c r="H2541" s="38"/>
      <c r="J2541" s="3"/>
      <c r="K2541" s="3"/>
      <c r="L2541" s="39"/>
      <c r="N2541" s="3"/>
      <c r="O2541" s="3"/>
      <c r="P2541" s="39"/>
      <c r="R2541" s="39"/>
    </row>
    <row r="2542" spans="2:18" x14ac:dyDescent="0.2">
      <c r="B2542" s="1"/>
      <c r="C2542" s="2"/>
      <c r="D2542" s="38"/>
      <c r="F2542" s="1"/>
      <c r="G2542" s="2"/>
      <c r="H2542" s="38"/>
      <c r="J2542" s="3"/>
      <c r="K2542" s="3"/>
      <c r="L2542" s="39"/>
      <c r="N2542" s="3"/>
      <c r="O2542" s="3"/>
      <c r="P2542" s="39"/>
      <c r="R2542" s="39"/>
    </row>
    <row r="2543" spans="2:18" x14ac:dyDescent="0.2">
      <c r="B2543" s="1"/>
      <c r="C2543" s="2"/>
      <c r="D2543" s="38"/>
      <c r="F2543" s="1"/>
      <c r="G2543" s="2"/>
      <c r="H2543" s="38"/>
      <c r="J2543" s="3"/>
      <c r="K2543" s="3"/>
      <c r="L2543" s="39"/>
      <c r="N2543" s="3"/>
      <c r="O2543" s="3"/>
      <c r="P2543" s="39"/>
      <c r="R2543" s="39"/>
    </row>
    <row r="2544" spans="2:18" x14ac:dyDescent="0.2">
      <c r="B2544" s="1"/>
      <c r="C2544" s="2"/>
      <c r="D2544" s="38"/>
      <c r="F2544" s="1"/>
      <c r="G2544" s="2"/>
      <c r="H2544" s="38"/>
      <c r="J2544" s="3"/>
      <c r="K2544" s="3"/>
      <c r="L2544" s="39"/>
      <c r="N2544" s="3"/>
      <c r="O2544" s="3"/>
      <c r="P2544" s="39"/>
      <c r="R2544" s="39"/>
    </row>
    <row r="2545" spans="2:18" x14ac:dyDescent="0.2">
      <c r="B2545" s="1"/>
      <c r="C2545" s="2"/>
      <c r="D2545" s="38"/>
      <c r="F2545" s="1"/>
      <c r="G2545" s="2"/>
      <c r="H2545" s="38"/>
      <c r="J2545" s="3"/>
      <c r="K2545" s="3"/>
      <c r="L2545" s="39"/>
      <c r="N2545" s="3"/>
      <c r="O2545" s="3"/>
      <c r="P2545" s="39"/>
      <c r="R2545" s="39"/>
    </row>
    <row r="2546" spans="2:18" x14ac:dyDescent="0.2">
      <c r="B2546" s="1"/>
      <c r="C2546" s="2"/>
      <c r="D2546" s="38"/>
      <c r="F2546" s="1"/>
      <c r="G2546" s="2"/>
      <c r="H2546" s="38"/>
      <c r="J2546" s="3"/>
      <c r="K2546" s="3"/>
      <c r="L2546" s="39"/>
      <c r="N2546" s="3"/>
      <c r="O2546" s="3"/>
      <c r="P2546" s="39"/>
      <c r="R2546" s="39"/>
    </row>
    <row r="2547" spans="2:18" x14ac:dyDescent="0.2">
      <c r="B2547" s="1"/>
      <c r="C2547" s="2"/>
      <c r="D2547" s="38"/>
      <c r="F2547" s="1"/>
      <c r="G2547" s="2"/>
      <c r="H2547" s="38"/>
      <c r="J2547" s="3"/>
      <c r="K2547" s="3"/>
      <c r="L2547" s="39"/>
      <c r="N2547" s="3"/>
      <c r="O2547" s="3"/>
      <c r="P2547" s="39"/>
      <c r="R2547" s="39"/>
    </row>
    <row r="2548" spans="2:18" x14ac:dyDescent="0.2">
      <c r="B2548" s="1"/>
      <c r="C2548" s="2"/>
      <c r="D2548" s="38"/>
      <c r="F2548" s="1"/>
      <c r="G2548" s="2"/>
      <c r="H2548" s="38"/>
      <c r="J2548" s="3"/>
      <c r="K2548" s="3"/>
      <c r="L2548" s="39"/>
      <c r="N2548" s="3"/>
      <c r="O2548" s="3"/>
      <c r="P2548" s="39"/>
      <c r="R2548" s="39"/>
    </row>
    <row r="2549" spans="2:18" x14ac:dyDescent="0.2">
      <c r="B2549" s="1"/>
      <c r="C2549" s="2"/>
      <c r="D2549" s="38"/>
      <c r="F2549" s="1"/>
      <c r="G2549" s="2"/>
      <c r="H2549" s="38"/>
      <c r="J2549" s="3"/>
      <c r="K2549" s="3"/>
      <c r="L2549" s="39"/>
      <c r="N2549" s="3"/>
      <c r="O2549" s="3"/>
      <c r="P2549" s="39"/>
      <c r="R2549" s="39"/>
    </row>
    <row r="2550" spans="2:18" x14ac:dyDescent="0.2">
      <c r="B2550" s="1"/>
      <c r="C2550" s="2"/>
      <c r="D2550" s="38"/>
      <c r="F2550" s="1"/>
      <c r="G2550" s="2"/>
      <c r="H2550" s="38"/>
      <c r="J2550" s="3"/>
      <c r="K2550" s="3"/>
      <c r="L2550" s="39"/>
      <c r="N2550" s="3"/>
      <c r="O2550" s="3"/>
      <c r="P2550" s="39"/>
      <c r="R2550" s="39"/>
    </row>
    <row r="2551" spans="2:18" x14ac:dyDescent="0.2">
      <c r="B2551" s="1"/>
      <c r="C2551" s="2"/>
      <c r="D2551" s="38"/>
      <c r="F2551" s="1"/>
      <c r="G2551" s="2"/>
      <c r="H2551" s="38"/>
      <c r="J2551" s="3"/>
      <c r="K2551" s="3"/>
      <c r="L2551" s="39"/>
      <c r="N2551" s="3"/>
      <c r="O2551" s="3"/>
      <c r="P2551" s="39"/>
      <c r="R2551" s="39"/>
    </row>
    <row r="2552" spans="2:18" x14ac:dyDescent="0.2">
      <c r="B2552" s="1"/>
      <c r="C2552" s="2"/>
      <c r="D2552" s="38"/>
      <c r="F2552" s="1"/>
      <c r="G2552" s="2"/>
      <c r="H2552" s="38"/>
      <c r="J2552" s="3"/>
      <c r="K2552" s="3"/>
      <c r="L2552" s="39"/>
      <c r="N2552" s="3"/>
      <c r="O2552" s="3"/>
      <c r="P2552" s="39"/>
      <c r="R2552" s="39"/>
    </row>
    <row r="2553" spans="2:18" x14ac:dyDescent="0.2">
      <c r="B2553" s="1"/>
      <c r="C2553" s="2"/>
      <c r="D2553" s="38"/>
      <c r="F2553" s="1"/>
      <c r="G2553" s="2"/>
      <c r="H2553" s="38"/>
      <c r="J2553" s="3"/>
      <c r="K2553" s="3"/>
      <c r="L2553" s="39"/>
      <c r="N2553" s="3"/>
      <c r="O2553" s="3"/>
      <c r="P2553" s="39"/>
      <c r="R2553" s="39"/>
    </row>
    <row r="2554" spans="2:18" x14ac:dyDescent="0.2">
      <c r="B2554" s="1"/>
      <c r="C2554" s="2"/>
      <c r="D2554" s="38"/>
      <c r="F2554" s="1"/>
      <c r="G2554" s="2"/>
      <c r="H2554" s="38"/>
      <c r="J2554" s="3"/>
      <c r="K2554" s="3"/>
      <c r="L2554" s="39"/>
      <c r="N2554" s="3"/>
      <c r="O2554" s="3"/>
      <c r="P2554" s="39"/>
      <c r="R2554" s="39"/>
    </row>
    <row r="2555" spans="2:18" x14ac:dyDescent="0.2">
      <c r="B2555" s="1"/>
      <c r="C2555" s="2"/>
      <c r="D2555" s="38"/>
      <c r="F2555" s="1"/>
      <c r="G2555" s="2"/>
      <c r="H2555" s="38"/>
      <c r="J2555" s="3"/>
      <c r="K2555" s="3"/>
      <c r="L2555" s="39"/>
      <c r="N2555" s="3"/>
      <c r="O2555" s="3"/>
      <c r="P2555" s="39"/>
      <c r="R2555" s="39"/>
    </row>
    <row r="2556" spans="2:18" x14ac:dyDescent="0.2">
      <c r="B2556" s="1"/>
      <c r="C2556" s="2"/>
      <c r="D2556" s="38"/>
      <c r="F2556" s="1"/>
      <c r="G2556" s="2"/>
      <c r="H2556" s="38"/>
      <c r="J2556" s="3"/>
      <c r="K2556" s="3"/>
      <c r="L2556" s="39"/>
      <c r="N2556" s="3"/>
      <c r="O2556" s="3"/>
      <c r="P2556" s="39"/>
      <c r="R2556" s="39"/>
    </row>
    <row r="2557" spans="2:18" x14ac:dyDescent="0.2">
      <c r="B2557" s="1"/>
      <c r="C2557" s="2"/>
      <c r="D2557" s="38"/>
      <c r="F2557" s="1"/>
      <c r="G2557" s="2"/>
      <c r="H2557" s="38"/>
      <c r="J2557" s="3"/>
      <c r="K2557" s="3"/>
      <c r="L2557" s="39"/>
      <c r="N2557" s="3"/>
      <c r="O2557" s="3"/>
      <c r="P2557" s="39"/>
      <c r="R2557" s="39"/>
    </row>
    <row r="2558" spans="2:18" x14ac:dyDescent="0.2">
      <c r="B2558" s="1"/>
      <c r="C2558" s="2"/>
      <c r="D2558" s="38"/>
      <c r="F2558" s="1"/>
      <c r="G2558" s="2"/>
      <c r="H2558" s="38"/>
      <c r="J2558" s="3"/>
      <c r="K2558" s="3"/>
      <c r="L2558" s="39"/>
      <c r="N2558" s="3"/>
      <c r="O2558" s="3"/>
      <c r="P2558" s="39"/>
      <c r="R2558" s="39"/>
    </row>
    <row r="2559" spans="2:18" x14ac:dyDescent="0.2">
      <c r="B2559" s="1"/>
      <c r="C2559" s="2"/>
      <c r="D2559" s="38"/>
      <c r="F2559" s="1"/>
      <c r="G2559" s="2"/>
      <c r="H2559" s="38"/>
      <c r="J2559" s="3"/>
      <c r="K2559" s="3"/>
      <c r="L2559" s="39"/>
      <c r="N2559" s="3"/>
      <c r="O2559" s="3"/>
      <c r="P2559" s="39"/>
      <c r="R2559" s="39"/>
    </row>
    <row r="2560" spans="2:18" x14ac:dyDescent="0.2">
      <c r="B2560" s="1"/>
      <c r="C2560" s="2"/>
      <c r="D2560" s="38"/>
      <c r="F2560" s="1"/>
      <c r="G2560" s="2"/>
      <c r="H2560" s="38"/>
      <c r="J2560" s="3"/>
      <c r="K2560" s="3"/>
      <c r="L2560" s="39"/>
      <c r="N2560" s="3"/>
      <c r="O2560" s="3"/>
      <c r="P2560" s="39"/>
      <c r="R2560" s="39"/>
    </row>
    <row r="2561" spans="2:18" x14ac:dyDescent="0.2">
      <c r="B2561" s="1"/>
      <c r="C2561" s="2"/>
      <c r="D2561" s="38"/>
      <c r="F2561" s="1"/>
      <c r="G2561" s="2"/>
      <c r="H2561" s="38"/>
      <c r="J2561" s="3"/>
      <c r="K2561" s="3"/>
      <c r="L2561" s="39"/>
      <c r="N2561" s="3"/>
      <c r="O2561" s="3"/>
      <c r="P2561" s="39"/>
      <c r="R2561" s="39"/>
    </row>
    <row r="2562" spans="2:18" x14ac:dyDescent="0.2">
      <c r="B2562" s="1"/>
      <c r="C2562" s="2"/>
      <c r="D2562" s="38"/>
      <c r="F2562" s="1"/>
      <c r="G2562" s="2"/>
      <c r="H2562" s="38"/>
      <c r="J2562" s="3"/>
      <c r="K2562" s="3"/>
      <c r="L2562" s="39"/>
      <c r="N2562" s="3"/>
      <c r="O2562" s="3"/>
      <c r="P2562" s="39"/>
      <c r="R2562" s="39"/>
    </row>
    <row r="2563" spans="2:18" x14ac:dyDescent="0.2">
      <c r="B2563" s="1"/>
      <c r="C2563" s="2"/>
      <c r="D2563" s="38"/>
      <c r="F2563" s="1"/>
      <c r="G2563" s="2"/>
      <c r="H2563" s="38"/>
      <c r="J2563" s="3"/>
      <c r="K2563" s="3"/>
      <c r="L2563" s="39"/>
      <c r="N2563" s="3"/>
      <c r="O2563" s="3"/>
      <c r="P2563" s="39"/>
      <c r="R2563" s="39"/>
    </row>
    <row r="2564" spans="2:18" x14ac:dyDescent="0.2">
      <c r="B2564" s="1"/>
      <c r="C2564" s="2"/>
      <c r="D2564" s="38"/>
      <c r="F2564" s="1"/>
      <c r="G2564" s="2"/>
      <c r="H2564" s="38"/>
      <c r="J2564" s="3"/>
      <c r="K2564" s="3"/>
      <c r="L2564" s="39"/>
      <c r="N2564" s="3"/>
      <c r="O2564" s="3"/>
      <c r="P2564" s="39"/>
      <c r="R2564" s="39"/>
    </row>
    <row r="2565" spans="2:18" x14ac:dyDescent="0.2">
      <c r="B2565" s="1"/>
      <c r="C2565" s="2"/>
      <c r="D2565" s="38"/>
      <c r="F2565" s="1"/>
      <c r="G2565" s="2"/>
      <c r="H2565" s="38"/>
      <c r="J2565" s="3"/>
      <c r="K2565" s="3"/>
      <c r="L2565" s="39"/>
      <c r="N2565" s="3"/>
      <c r="O2565" s="3"/>
      <c r="P2565" s="39"/>
      <c r="R2565" s="39"/>
    </row>
    <row r="2566" spans="2:18" x14ac:dyDescent="0.2">
      <c r="B2566" s="1"/>
      <c r="C2566" s="2"/>
      <c r="D2566" s="38"/>
      <c r="F2566" s="1"/>
      <c r="G2566" s="2"/>
      <c r="H2566" s="38"/>
      <c r="J2566" s="3"/>
      <c r="K2566" s="3"/>
      <c r="L2566" s="39"/>
      <c r="N2566" s="3"/>
      <c r="O2566" s="3"/>
      <c r="P2566" s="39"/>
      <c r="R2566" s="39"/>
    </row>
    <row r="2567" spans="2:18" x14ac:dyDescent="0.2">
      <c r="B2567" s="1"/>
      <c r="C2567" s="2"/>
      <c r="D2567" s="38"/>
      <c r="F2567" s="1"/>
      <c r="G2567" s="2"/>
      <c r="H2567" s="38"/>
      <c r="J2567" s="3"/>
      <c r="K2567" s="3"/>
      <c r="L2567" s="39"/>
      <c r="N2567" s="3"/>
      <c r="O2567" s="3"/>
      <c r="P2567" s="39"/>
      <c r="R2567" s="39"/>
    </row>
    <row r="2568" spans="2:18" x14ac:dyDescent="0.2">
      <c r="B2568" s="1"/>
      <c r="C2568" s="2"/>
      <c r="D2568" s="38"/>
      <c r="F2568" s="1"/>
      <c r="G2568" s="2"/>
      <c r="H2568" s="38"/>
      <c r="J2568" s="3"/>
      <c r="K2568" s="3"/>
      <c r="L2568" s="39"/>
      <c r="N2568" s="3"/>
      <c r="O2568" s="3"/>
      <c r="P2568" s="39"/>
      <c r="R2568" s="39"/>
    </row>
    <row r="2569" spans="2:18" x14ac:dyDescent="0.2">
      <c r="B2569" s="1"/>
      <c r="C2569" s="2"/>
      <c r="D2569" s="38"/>
      <c r="F2569" s="1"/>
      <c r="G2569" s="2"/>
      <c r="H2569" s="38"/>
      <c r="J2569" s="3"/>
      <c r="K2569" s="3"/>
      <c r="L2569" s="39"/>
      <c r="N2569" s="3"/>
      <c r="O2569" s="3"/>
      <c r="P2569" s="39"/>
      <c r="R2569" s="39"/>
    </row>
    <row r="2570" spans="2:18" x14ac:dyDescent="0.2">
      <c r="B2570" s="1"/>
      <c r="C2570" s="2"/>
      <c r="D2570" s="38"/>
      <c r="F2570" s="1"/>
      <c r="G2570" s="2"/>
      <c r="H2570" s="38"/>
      <c r="J2570" s="3"/>
      <c r="K2570" s="3"/>
      <c r="L2570" s="39"/>
      <c r="N2570" s="3"/>
      <c r="O2570" s="3"/>
      <c r="P2570" s="39"/>
      <c r="R2570" s="39"/>
    </row>
    <row r="2571" spans="2:18" x14ac:dyDescent="0.2">
      <c r="B2571" s="1"/>
      <c r="C2571" s="2"/>
      <c r="D2571" s="38"/>
      <c r="F2571" s="1"/>
      <c r="G2571" s="2"/>
      <c r="H2571" s="38"/>
      <c r="J2571" s="3"/>
      <c r="K2571" s="3"/>
      <c r="L2571" s="39"/>
      <c r="N2571" s="3"/>
      <c r="O2571" s="3"/>
      <c r="P2571" s="39"/>
      <c r="R2571" s="39"/>
    </row>
    <row r="2572" spans="2:18" x14ac:dyDescent="0.2">
      <c r="B2572" s="1"/>
      <c r="C2572" s="2"/>
      <c r="D2572" s="38"/>
      <c r="F2572" s="1"/>
      <c r="G2572" s="2"/>
      <c r="H2572" s="38"/>
      <c r="J2572" s="3"/>
      <c r="K2572" s="3"/>
      <c r="L2572" s="39"/>
      <c r="N2572" s="3"/>
      <c r="O2572" s="3"/>
      <c r="P2572" s="39"/>
      <c r="R2572" s="39"/>
    </row>
    <row r="2573" spans="2:18" x14ac:dyDescent="0.2">
      <c r="B2573" s="1"/>
      <c r="C2573" s="2"/>
      <c r="D2573" s="38"/>
      <c r="F2573" s="1"/>
      <c r="G2573" s="2"/>
      <c r="H2573" s="38"/>
      <c r="J2573" s="3"/>
      <c r="K2573" s="3"/>
      <c r="L2573" s="39"/>
      <c r="N2573" s="3"/>
      <c r="O2573" s="3"/>
      <c r="P2573" s="39"/>
      <c r="R2573" s="39"/>
    </row>
    <row r="2574" spans="2:18" x14ac:dyDescent="0.2">
      <c r="B2574" s="1"/>
      <c r="C2574" s="2"/>
      <c r="D2574" s="38"/>
      <c r="F2574" s="1"/>
      <c r="G2574" s="2"/>
      <c r="H2574" s="38"/>
      <c r="J2574" s="3"/>
      <c r="K2574" s="3"/>
      <c r="L2574" s="39"/>
      <c r="N2574" s="3"/>
      <c r="O2574" s="3"/>
      <c r="P2574" s="39"/>
      <c r="R2574" s="39"/>
    </row>
    <row r="2575" spans="2:18" x14ac:dyDescent="0.2">
      <c r="B2575" s="1"/>
      <c r="C2575" s="2"/>
      <c r="D2575" s="38"/>
      <c r="F2575" s="1"/>
      <c r="G2575" s="2"/>
      <c r="H2575" s="38"/>
      <c r="J2575" s="3"/>
      <c r="K2575" s="3"/>
      <c r="L2575" s="39"/>
      <c r="N2575" s="3"/>
      <c r="O2575" s="3"/>
      <c r="P2575" s="39"/>
      <c r="R2575" s="39"/>
    </row>
    <row r="2576" spans="2:18" x14ac:dyDescent="0.2">
      <c r="B2576" s="1"/>
      <c r="C2576" s="2"/>
      <c r="D2576" s="38"/>
      <c r="F2576" s="1"/>
      <c r="G2576" s="2"/>
      <c r="H2576" s="38"/>
      <c r="J2576" s="3"/>
      <c r="K2576" s="3"/>
      <c r="L2576" s="39"/>
      <c r="N2576" s="3"/>
      <c r="O2576" s="3"/>
      <c r="P2576" s="39"/>
      <c r="R2576" s="39"/>
    </row>
    <row r="2577" spans="2:18" x14ac:dyDescent="0.2">
      <c r="B2577" s="1"/>
      <c r="C2577" s="2"/>
      <c r="D2577" s="38"/>
      <c r="F2577" s="1"/>
      <c r="G2577" s="2"/>
      <c r="H2577" s="38"/>
      <c r="J2577" s="3"/>
      <c r="K2577" s="3"/>
      <c r="L2577" s="39"/>
      <c r="N2577" s="3"/>
      <c r="O2577" s="3"/>
      <c r="P2577" s="39"/>
      <c r="R2577" s="39"/>
    </row>
    <row r="2578" spans="2:18" x14ac:dyDescent="0.2">
      <c r="B2578" s="1"/>
      <c r="C2578" s="2"/>
      <c r="D2578" s="38"/>
      <c r="F2578" s="1"/>
      <c r="G2578" s="2"/>
      <c r="H2578" s="38"/>
      <c r="J2578" s="3"/>
      <c r="K2578" s="3"/>
      <c r="L2578" s="39"/>
      <c r="N2578" s="3"/>
      <c r="O2578" s="3"/>
      <c r="P2578" s="39"/>
      <c r="R2578" s="39"/>
    </row>
    <row r="2579" spans="2:18" x14ac:dyDescent="0.2">
      <c r="B2579" s="1"/>
      <c r="C2579" s="2"/>
      <c r="D2579" s="38"/>
      <c r="F2579" s="1"/>
      <c r="G2579" s="2"/>
      <c r="H2579" s="38"/>
      <c r="J2579" s="3"/>
      <c r="K2579" s="3"/>
      <c r="L2579" s="39"/>
      <c r="N2579" s="3"/>
      <c r="O2579" s="3"/>
      <c r="P2579" s="39"/>
      <c r="R2579" s="39"/>
    </row>
    <row r="2580" spans="2:18" x14ac:dyDescent="0.2">
      <c r="B2580" s="1"/>
      <c r="C2580" s="2"/>
      <c r="D2580" s="38"/>
      <c r="F2580" s="1"/>
      <c r="G2580" s="2"/>
      <c r="H2580" s="38"/>
      <c r="J2580" s="3"/>
      <c r="K2580" s="3"/>
      <c r="L2580" s="39"/>
      <c r="N2580" s="3"/>
      <c r="O2580" s="3"/>
      <c r="P2580" s="39"/>
      <c r="R2580" s="39"/>
    </row>
    <row r="2581" spans="2:18" x14ac:dyDescent="0.2">
      <c r="B2581" s="1"/>
      <c r="C2581" s="2"/>
      <c r="D2581" s="38"/>
      <c r="F2581" s="1"/>
      <c r="G2581" s="2"/>
      <c r="H2581" s="38"/>
      <c r="J2581" s="3"/>
      <c r="K2581" s="3"/>
      <c r="L2581" s="39"/>
      <c r="N2581" s="3"/>
      <c r="O2581" s="3"/>
      <c r="P2581" s="39"/>
      <c r="R2581" s="39"/>
    </row>
    <row r="2582" spans="2:18" x14ac:dyDescent="0.2">
      <c r="B2582" s="1"/>
      <c r="C2582" s="2"/>
      <c r="D2582" s="38"/>
      <c r="F2582" s="1"/>
      <c r="G2582" s="2"/>
      <c r="H2582" s="38"/>
      <c r="J2582" s="3"/>
      <c r="K2582" s="3"/>
      <c r="L2582" s="39"/>
      <c r="N2582" s="3"/>
      <c r="O2582" s="3"/>
      <c r="P2582" s="39"/>
      <c r="R2582" s="39"/>
    </row>
    <row r="2583" spans="2:18" x14ac:dyDescent="0.2">
      <c r="B2583" s="1"/>
      <c r="C2583" s="2"/>
      <c r="D2583" s="38"/>
      <c r="F2583" s="1"/>
      <c r="G2583" s="2"/>
      <c r="H2583" s="38"/>
      <c r="J2583" s="3"/>
      <c r="K2583" s="3"/>
      <c r="L2583" s="39"/>
      <c r="N2583" s="3"/>
      <c r="O2583" s="3"/>
      <c r="P2583" s="39"/>
      <c r="R2583" s="39"/>
    </row>
    <row r="2584" spans="2:18" x14ac:dyDescent="0.2">
      <c r="B2584" s="1"/>
      <c r="C2584" s="2"/>
      <c r="D2584" s="38"/>
      <c r="F2584" s="1"/>
      <c r="G2584" s="2"/>
      <c r="H2584" s="38"/>
      <c r="J2584" s="3"/>
      <c r="K2584" s="3"/>
      <c r="L2584" s="39"/>
      <c r="N2584" s="3"/>
      <c r="O2584" s="3"/>
      <c r="P2584" s="39"/>
      <c r="R2584" s="39"/>
    </row>
    <row r="2585" spans="2:18" x14ac:dyDescent="0.2">
      <c r="B2585" s="1"/>
      <c r="C2585" s="2"/>
      <c r="D2585" s="38"/>
      <c r="F2585" s="1"/>
      <c r="G2585" s="2"/>
      <c r="H2585" s="38"/>
      <c r="J2585" s="3"/>
      <c r="K2585" s="3"/>
      <c r="L2585" s="39"/>
      <c r="N2585" s="3"/>
      <c r="O2585" s="3"/>
      <c r="P2585" s="39"/>
      <c r="R2585" s="39"/>
    </row>
    <row r="2586" spans="2:18" x14ac:dyDescent="0.2">
      <c r="B2586" s="1"/>
      <c r="C2586" s="2"/>
      <c r="D2586" s="38"/>
      <c r="F2586" s="1"/>
      <c r="G2586" s="2"/>
      <c r="H2586" s="38"/>
      <c r="J2586" s="3"/>
      <c r="K2586" s="3"/>
      <c r="L2586" s="39"/>
      <c r="N2586" s="3"/>
      <c r="O2586" s="3"/>
      <c r="P2586" s="39"/>
      <c r="R2586" s="39"/>
    </row>
    <row r="2587" spans="2:18" x14ac:dyDescent="0.2">
      <c r="B2587" s="1"/>
      <c r="C2587" s="2"/>
      <c r="D2587" s="38"/>
      <c r="F2587" s="1"/>
      <c r="G2587" s="2"/>
      <c r="H2587" s="38"/>
      <c r="J2587" s="3"/>
      <c r="K2587" s="3"/>
      <c r="L2587" s="39"/>
      <c r="N2587" s="3"/>
      <c r="O2587" s="3"/>
      <c r="P2587" s="39"/>
      <c r="R2587" s="39"/>
    </row>
    <row r="2588" spans="2:18" x14ac:dyDescent="0.2">
      <c r="B2588" s="1"/>
      <c r="C2588" s="2"/>
      <c r="D2588" s="38"/>
      <c r="F2588" s="1"/>
      <c r="G2588" s="2"/>
      <c r="H2588" s="38"/>
      <c r="J2588" s="3"/>
      <c r="K2588" s="3"/>
      <c r="L2588" s="39"/>
      <c r="N2588" s="3"/>
      <c r="O2588" s="3"/>
      <c r="P2588" s="39"/>
      <c r="R2588" s="39"/>
    </row>
    <row r="2589" spans="2:18" x14ac:dyDescent="0.2">
      <c r="B2589" s="1"/>
      <c r="C2589" s="2"/>
      <c r="D2589" s="38"/>
      <c r="F2589" s="1"/>
      <c r="G2589" s="2"/>
      <c r="H2589" s="38"/>
      <c r="J2589" s="3"/>
      <c r="K2589" s="3"/>
      <c r="L2589" s="39"/>
      <c r="N2589" s="3"/>
      <c r="O2589" s="3"/>
      <c r="P2589" s="39"/>
      <c r="R2589" s="39"/>
    </row>
    <row r="2590" spans="2:18" x14ac:dyDescent="0.2">
      <c r="B2590" s="1"/>
      <c r="C2590" s="2"/>
      <c r="D2590" s="38"/>
      <c r="F2590" s="1"/>
      <c r="G2590" s="2"/>
      <c r="H2590" s="38"/>
      <c r="J2590" s="3"/>
      <c r="K2590" s="3"/>
      <c r="L2590" s="39"/>
      <c r="N2590" s="3"/>
      <c r="O2590" s="3"/>
      <c r="P2590" s="39"/>
      <c r="R2590" s="39"/>
    </row>
    <row r="2591" spans="2:18" x14ac:dyDescent="0.2">
      <c r="B2591" s="1"/>
      <c r="C2591" s="2"/>
      <c r="D2591" s="38"/>
      <c r="F2591" s="1"/>
      <c r="G2591" s="2"/>
      <c r="H2591" s="38"/>
      <c r="J2591" s="3"/>
      <c r="K2591" s="3"/>
      <c r="L2591" s="39"/>
      <c r="N2591" s="3"/>
      <c r="O2591" s="3"/>
      <c r="P2591" s="39"/>
      <c r="R2591" s="39"/>
    </row>
    <row r="2592" spans="2:18" x14ac:dyDescent="0.2">
      <c r="B2592" s="1"/>
      <c r="C2592" s="2"/>
      <c r="D2592" s="38"/>
      <c r="F2592" s="1"/>
      <c r="G2592" s="2"/>
      <c r="H2592" s="38"/>
      <c r="J2592" s="3"/>
      <c r="K2592" s="3"/>
      <c r="L2592" s="39"/>
      <c r="N2592" s="3"/>
      <c r="O2592" s="3"/>
      <c r="P2592" s="39"/>
      <c r="R2592" s="39"/>
    </row>
    <row r="2593" spans="2:18" x14ac:dyDescent="0.2">
      <c r="B2593" s="1"/>
      <c r="C2593" s="2"/>
      <c r="D2593" s="38"/>
      <c r="F2593" s="1"/>
      <c r="G2593" s="2"/>
      <c r="H2593" s="38"/>
      <c r="J2593" s="3"/>
      <c r="K2593" s="3"/>
      <c r="L2593" s="39"/>
      <c r="N2593" s="3"/>
      <c r="O2593" s="3"/>
      <c r="P2593" s="39"/>
      <c r="R2593" s="39"/>
    </row>
    <row r="2594" spans="2:18" x14ac:dyDescent="0.2">
      <c r="B2594" s="1"/>
      <c r="C2594" s="2"/>
      <c r="D2594" s="38"/>
      <c r="F2594" s="1"/>
      <c r="G2594" s="2"/>
      <c r="H2594" s="38"/>
      <c r="J2594" s="3"/>
      <c r="K2594" s="3"/>
      <c r="L2594" s="39"/>
      <c r="N2594" s="3"/>
      <c r="O2594" s="3"/>
      <c r="P2594" s="39"/>
      <c r="R2594" s="39"/>
    </row>
    <row r="2595" spans="2:18" x14ac:dyDescent="0.2">
      <c r="B2595" s="1"/>
      <c r="C2595" s="2"/>
      <c r="D2595" s="38"/>
      <c r="F2595" s="1"/>
      <c r="G2595" s="2"/>
      <c r="H2595" s="38"/>
      <c r="J2595" s="3"/>
      <c r="K2595" s="3"/>
      <c r="L2595" s="39"/>
      <c r="N2595" s="3"/>
      <c r="O2595" s="3"/>
      <c r="P2595" s="39"/>
      <c r="R2595" s="39"/>
    </row>
    <row r="2596" spans="2:18" x14ac:dyDescent="0.2">
      <c r="B2596" s="1"/>
      <c r="C2596" s="2"/>
      <c r="D2596" s="38"/>
      <c r="F2596" s="1"/>
      <c r="G2596" s="2"/>
      <c r="H2596" s="38"/>
      <c r="J2596" s="3"/>
      <c r="K2596" s="3"/>
      <c r="L2596" s="39"/>
      <c r="N2596" s="3"/>
      <c r="O2596" s="3"/>
      <c r="P2596" s="39"/>
      <c r="R2596" s="39"/>
    </row>
    <row r="2597" spans="2:18" x14ac:dyDescent="0.2">
      <c r="B2597" s="1"/>
      <c r="C2597" s="2"/>
      <c r="D2597" s="38"/>
      <c r="F2597" s="1"/>
      <c r="G2597" s="2"/>
      <c r="H2597" s="38"/>
      <c r="J2597" s="3"/>
      <c r="K2597" s="3"/>
      <c r="L2597" s="39"/>
      <c r="N2597" s="3"/>
      <c r="O2597" s="3"/>
      <c r="P2597" s="39"/>
      <c r="R2597" s="39"/>
    </row>
    <row r="2598" spans="2:18" x14ac:dyDescent="0.2">
      <c r="B2598" s="1"/>
      <c r="C2598" s="2"/>
      <c r="D2598" s="38"/>
      <c r="F2598" s="1"/>
      <c r="G2598" s="2"/>
      <c r="H2598" s="38"/>
      <c r="J2598" s="3"/>
      <c r="K2598" s="3"/>
      <c r="L2598" s="39"/>
      <c r="N2598" s="3"/>
      <c r="O2598" s="3"/>
      <c r="P2598" s="39"/>
      <c r="R2598" s="39"/>
    </row>
    <row r="2599" spans="2:18" x14ac:dyDescent="0.2">
      <c r="B2599" s="1"/>
      <c r="C2599" s="2"/>
      <c r="D2599" s="38"/>
      <c r="F2599" s="1"/>
      <c r="G2599" s="2"/>
      <c r="H2599" s="38"/>
      <c r="J2599" s="3"/>
      <c r="K2599" s="3"/>
      <c r="L2599" s="39"/>
      <c r="N2599" s="3"/>
      <c r="O2599" s="3"/>
      <c r="P2599" s="39"/>
      <c r="R2599" s="39"/>
    </row>
    <row r="2600" spans="2:18" x14ac:dyDescent="0.2">
      <c r="B2600" s="1"/>
      <c r="C2600" s="2"/>
      <c r="D2600" s="38"/>
      <c r="F2600" s="1"/>
      <c r="G2600" s="2"/>
      <c r="H2600" s="38"/>
      <c r="J2600" s="3"/>
      <c r="K2600" s="3"/>
      <c r="L2600" s="39"/>
      <c r="N2600" s="3"/>
      <c r="O2600" s="3"/>
      <c r="P2600" s="39"/>
      <c r="R2600" s="39"/>
    </row>
    <row r="2601" spans="2:18" x14ac:dyDescent="0.2">
      <c r="B2601" s="1"/>
      <c r="C2601" s="2"/>
      <c r="D2601" s="38"/>
      <c r="F2601" s="1"/>
      <c r="G2601" s="2"/>
      <c r="H2601" s="38"/>
      <c r="J2601" s="3"/>
      <c r="K2601" s="3"/>
      <c r="L2601" s="39"/>
      <c r="N2601" s="3"/>
      <c r="O2601" s="3"/>
      <c r="P2601" s="39"/>
      <c r="R2601" s="39"/>
    </row>
    <row r="2602" spans="2:18" x14ac:dyDescent="0.2">
      <c r="B2602" s="1"/>
      <c r="C2602" s="2"/>
      <c r="D2602" s="38"/>
      <c r="F2602" s="1"/>
      <c r="G2602" s="2"/>
      <c r="H2602" s="38"/>
      <c r="J2602" s="3"/>
      <c r="K2602" s="3"/>
      <c r="L2602" s="39"/>
      <c r="N2602" s="3"/>
      <c r="O2602" s="3"/>
      <c r="P2602" s="39"/>
      <c r="R2602" s="39"/>
    </row>
    <row r="2603" spans="2:18" x14ac:dyDescent="0.2">
      <c r="B2603" s="1"/>
      <c r="C2603" s="2"/>
      <c r="D2603" s="38"/>
      <c r="F2603" s="1"/>
      <c r="G2603" s="2"/>
      <c r="H2603" s="38"/>
      <c r="J2603" s="3"/>
      <c r="K2603" s="3"/>
      <c r="L2603" s="39"/>
      <c r="N2603" s="3"/>
      <c r="O2603" s="3"/>
      <c r="P2603" s="39"/>
      <c r="R2603" s="39"/>
    </row>
    <row r="2604" spans="2:18" x14ac:dyDescent="0.2">
      <c r="B2604" s="1"/>
      <c r="C2604" s="2"/>
      <c r="D2604" s="38"/>
      <c r="F2604" s="1"/>
      <c r="G2604" s="2"/>
      <c r="H2604" s="38"/>
      <c r="J2604" s="3"/>
      <c r="K2604" s="3"/>
      <c r="L2604" s="39"/>
      <c r="N2604" s="3"/>
      <c r="O2604" s="3"/>
      <c r="P2604" s="39"/>
      <c r="R2604" s="39"/>
    </row>
    <row r="2605" spans="2:18" x14ac:dyDescent="0.2">
      <c r="B2605" s="1"/>
      <c r="C2605" s="2"/>
      <c r="D2605" s="38"/>
      <c r="F2605" s="1"/>
      <c r="G2605" s="2"/>
      <c r="H2605" s="38"/>
      <c r="J2605" s="3"/>
      <c r="K2605" s="3"/>
      <c r="L2605" s="39"/>
      <c r="N2605" s="3"/>
      <c r="O2605" s="3"/>
      <c r="P2605" s="39"/>
      <c r="R2605" s="39"/>
    </row>
    <row r="2606" spans="2:18" x14ac:dyDescent="0.2">
      <c r="B2606" s="1"/>
      <c r="C2606" s="2"/>
      <c r="D2606" s="38"/>
      <c r="F2606" s="1"/>
      <c r="G2606" s="2"/>
      <c r="H2606" s="38"/>
      <c r="J2606" s="3"/>
      <c r="K2606" s="3"/>
      <c r="L2606" s="39"/>
      <c r="N2606" s="3"/>
      <c r="O2606" s="3"/>
      <c r="P2606" s="39"/>
      <c r="R2606" s="39"/>
    </row>
    <row r="2607" spans="2:18" x14ac:dyDescent="0.2">
      <c r="B2607" s="1"/>
      <c r="C2607" s="2"/>
      <c r="D2607" s="38"/>
      <c r="F2607" s="1"/>
      <c r="G2607" s="2"/>
      <c r="H2607" s="38"/>
      <c r="J2607" s="3"/>
      <c r="K2607" s="3"/>
      <c r="L2607" s="39"/>
      <c r="N2607" s="3"/>
      <c r="O2607" s="3"/>
      <c r="P2607" s="39"/>
      <c r="R2607" s="39"/>
    </row>
    <row r="2608" spans="2:18" x14ac:dyDescent="0.2">
      <c r="B2608" s="1"/>
      <c r="C2608" s="2"/>
      <c r="D2608" s="38"/>
      <c r="F2608" s="1"/>
      <c r="G2608" s="2"/>
      <c r="H2608" s="38"/>
      <c r="J2608" s="3"/>
      <c r="K2608" s="3"/>
      <c r="L2608" s="39"/>
      <c r="N2608" s="3"/>
      <c r="O2608" s="3"/>
      <c r="P2608" s="39"/>
      <c r="R2608" s="39"/>
    </row>
    <row r="2609" spans="2:18" x14ac:dyDescent="0.2">
      <c r="B2609" s="1"/>
      <c r="C2609" s="2"/>
      <c r="D2609" s="38"/>
      <c r="F2609" s="1"/>
      <c r="G2609" s="2"/>
      <c r="H2609" s="38"/>
      <c r="J2609" s="3"/>
      <c r="K2609" s="3"/>
      <c r="L2609" s="39"/>
      <c r="N2609" s="3"/>
      <c r="O2609" s="3"/>
      <c r="P2609" s="39"/>
      <c r="R2609" s="39"/>
    </row>
    <row r="2610" spans="2:18" x14ac:dyDescent="0.2">
      <c r="B2610" s="1"/>
      <c r="C2610" s="2"/>
      <c r="D2610" s="38"/>
      <c r="F2610" s="1"/>
      <c r="G2610" s="2"/>
      <c r="H2610" s="38"/>
      <c r="J2610" s="3"/>
      <c r="K2610" s="3"/>
      <c r="L2610" s="39"/>
      <c r="N2610" s="3"/>
      <c r="O2610" s="3"/>
      <c r="P2610" s="39"/>
      <c r="R2610" s="39"/>
    </row>
    <row r="2611" spans="2:18" x14ac:dyDescent="0.2">
      <c r="B2611" s="1"/>
      <c r="C2611" s="2"/>
      <c r="D2611" s="38"/>
      <c r="F2611" s="1"/>
      <c r="G2611" s="2"/>
      <c r="H2611" s="38"/>
      <c r="J2611" s="3"/>
      <c r="K2611" s="3"/>
      <c r="L2611" s="39"/>
      <c r="N2611" s="3"/>
      <c r="O2611" s="3"/>
      <c r="P2611" s="39"/>
      <c r="R2611" s="39"/>
    </row>
    <row r="2612" spans="2:18" x14ac:dyDescent="0.2">
      <c r="B2612" s="1"/>
      <c r="C2612" s="2"/>
      <c r="D2612" s="38"/>
      <c r="F2612" s="1"/>
      <c r="G2612" s="2"/>
      <c r="H2612" s="38"/>
      <c r="J2612" s="3"/>
      <c r="K2612" s="3"/>
      <c r="L2612" s="39"/>
      <c r="N2612" s="3"/>
      <c r="O2612" s="3"/>
      <c r="P2612" s="39"/>
      <c r="R2612" s="39"/>
    </row>
    <row r="2613" spans="2:18" x14ac:dyDescent="0.2">
      <c r="B2613" s="1"/>
      <c r="C2613" s="2"/>
      <c r="D2613" s="38"/>
      <c r="F2613" s="1"/>
      <c r="G2613" s="2"/>
      <c r="H2613" s="38"/>
      <c r="J2613" s="3"/>
      <c r="K2613" s="3"/>
      <c r="L2613" s="39"/>
      <c r="N2613" s="3"/>
      <c r="O2613" s="3"/>
      <c r="P2613" s="39"/>
      <c r="R2613" s="39"/>
    </row>
    <row r="2614" spans="2:18" x14ac:dyDescent="0.2">
      <c r="B2614" s="1"/>
      <c r="C2614" s="2"/>
      <c r="D2614" s="38"/>
      <c r="F2614" s="1"/>
      <c r="G2614" s="2"/>
      <c r="H2614" s="38"/>
      <c r="J2614" s="3"/>
      <c r="K2614" s="3"/>
      <c r="L2614" s="39"/>
      <c r="N2614" s="3"/>
      <c r="O2614" s="3"/>
      <c r="P2614" s="39"/>
      <c r="R2614" s="39"/>
    </row>
    <row r="2615" spans="2:18" x14ac:dyDescent="0.2">
      <c r="B2615" s="1"/>
      <c r="C2615" s="2"/>
      <c r="D2615" s="38"/>
      <c r="F2615" s="1"/>
      <c r="G2615" s="2"/>
      <c r="H2615" s="38"/>
      <c r="J2615" s="3"/>
      <c r="K2615" s="3"/>
      <c r="L2615" s="39"/>
      <c r="N2615" s="3"/>
      <c r="O2615" s="3"/>
      <c r="P2615" s="39"/>
      <c r="R2615" s="39"/>
    </row>
    <row r="2616" spans="2:18" x14ac:dyDescent="0.2">
      <c r="B2616" s="1"/>
      <c r="C2616" s="2"/>
      <c r="D2616" s="38"/>
      <c r="F2616" s="1"/>
      <c r="G2616" s="2"/>
      <c r="H2616" s="38"/>
      <c r="J2616" s="3"/>
      <c r="K2616" s="3"/>
      <c r="L2616" s="39"/>
      <c r="N2616" s="3"/>
      <c r="O2616" s="3"/>
      <c r="P2616" s="39"/>
      <c r="R2616" s="39"/>
    </row>
    <row r="2617" spans="2:18" x14ac:dyDescent="0.2">
      <c r="B2617" s="1"/>
      <c r="C2617" s="2"/>
      <c r="D2617" s="38"/>
      <c r="F2617" s="1"/>
      <c r="G2617" s="2"/>
      <c r="H2617" s="38"/>
      <c r="J2617" s="3"/>
      <c r="K2617" s="3"/>
      <c r="L2617" s="39"/>
      <c r="N2617" s="3"/>
      <c r="O2617" s="3"/>
      <c r="P2617" s="39"/>
      <c r="R2617" s="39"/>
    </row>
    <row r="2618" spans="2:18" x14ac:dyDescent="0.2">
      <c r="B2618" s="1"/>
      <c r="C2618" s="2"/>
      <c r="D2618" s="38"/>
      <c r="F2618" s="1"/>
      <c r="G2618" s="2"/>
      <c r="H2618" s="38"/>
      <c r="J2618" s="3"/>
      <c r="K2618" s="3"/>
      <c r="L2618" s="39"/>
      <c r="N2618" s="3"/>
      <c r="O2618" s="3"/>
      <c r="P2618" s="39"/>
      <c r="R2618" s="39"/>
    </row>
    <row r="2619" spans="2:18" x14ac:dyDescent="0.2">
      <c r="B2619" s="1"/>
      <c r="C2619" s="2"/>
      <c r="D2619" s="38"/>
      <c r="F2619" s="1"/>
      <c r="G2619" s="2"/>
      <c r="H2619" s="38"/>
      <c r="J2619" s="3"/>
      <c r="K2619" s="3"/>
      <c r="L2619" s="39"/>
      <c r="N2619" s="3"/>
      <c r="O2619" s="3"/>
      <c r="P2619" s="39"/>
      <c r="R2619" s="39"/>
    </row>
    <row r="2620" spans="2:18" x14ac:dyDescent="0.2">
      <c r="B2620" s="1"/>
      <c r="C2620" s="2"/>
      <c r="D2620" s="38"/>
      <c r="F2620" s="1"/>
      <c r="G2620" s="2"/>
      <c r="H2620" s="38"/>
      <c r="J2620" s="3"/>
      <c r="K2620" s="3"/>
      <c r="L2620" s="39"/>
      <c r="N2620" s="3"/>
      <c r="O2620" s="3"/>
      <c r="P2620" s="39"/>
      <c r="R2620" s="39"/>
    </row>
    <row r="2621" spans="2:18" x14ac:dyDescent="0.2">
      <c r="B2621" s="1"/>
      <c r="C2621" s="2"/>
      <c r="D2621" s="38"/>
      <c r="F2621" s="1"/>
      <c r="G2621" s="2"/>
      <c r="H2621" s="38"/>
      <c r="J2621" s="3"/>
      <c r="K2621" s="3"/>
      <c r="L2621" s="39"/>
      <c r="N2621" s="3"/>
      <c r="O2621" s="3"/>
      <c r="P2621" s="39"/>
      <c r="R2621" s="39"/>
    </row>
    <row r="2622" spans="2:18" x14ac:dyDescent="0.2">
      <c r="B2622" s="1"/>
      <c r="C2622" s="2"/>
      <c r="D2622" s="38"/>
      <c r="F2622" s="1"/>
      <c r="G2622" s="2"/>
      <c r="H2622" s="38"/>
      <c r="J2622" s="3"/>
      <c r="K2622" s="3"/>
      <c r="L2622" s="39"/>
      <c r="N2622" s="3"/>
      <c r="O2622" s="3"/>
      <c r="P2622" s="39"/>
      <c r="R2622" s="39"/>
    </row>
    <row r="2623" spans="2:18" x14ac:dyDescent="0.2">
      <c r="B2623" s="1"/>
      <c r="C2623" s="2"/>
      <c r="D2623" s="38"/>
      <c r="F2623" s="1"/>
      <c r="G2623" s="2"/>
      <c r="H2623" s="38"/>
      <c r="J2623" s="3"/>
      <c r="K2623" s="3"/>
      <c r="L2623" s="39"/>
      <c r="N2623" s="3"/>
      <c r="O2623" s="3"/>
      <c r="P2623" s="39"/>
      <c r="R2623" s="39"/>
    </row>
    <row r="2624" spans="2:18" x14ac:dyDescent="0.2">
      <c r="B2624" s="1"/>
      <c r="C2624" s="2"/>
      <c r="D2624" s="38"/>
      <c r="F2624" s="1"/>
      <c r="G2624" s="2"/>
      <c r="H2624" s="38"/>
      <c r="J2624" s="3"/>
      <c r="K2624" s="3"/>
      <c r="L2624" s="39"/>
      <c r="N2624" s="3"/>
      <c r="O2624" s="3"/>
      <c r="P2624" s="39"/>
      <c r="R2624" s="39"/>
    </row>
    <row r="2625" spans="2:18" x14ac:dyDescent="0.2">
      <c r="B2625" s="1"/>
      <c r="C2625" s="2"/>
      <c r="D2625" s="38"/>
      <c r="F2625" s="1"/>
      <c r="G2625" s="2"/>
      <c r="H2625" s="38"/>
      <c r="J2625" s="3"/>
      <c r="K2625" s="3"/>
      <c r="L2625" s="39"/>
      <c r="N2625" s="3"/>
      <c r="O2625" s="3"/>
      <c r="P2625" s="39"/>
      <c r="R2625" s="39"/>
    </row>
    <row r="2626" spans="2:18" x14ac:dyDescent="0.2">
      <c r="B2626" s="1"/>
      <c r="C2626" s="2"/>
      <c r="D2626" s="38"/>
      <c r="F2626" s="1"/>
      <c r="G2626" s="2"/>
      <c r="H2626" s="38"/>
      <c r="J2626" s="3"/>
      <c r="K2626" s="3"/>
      <c r="L2626" s="39"/>
      <c r="N2626" s="3"/>
      <c r="O2626" s="3"/>
      <c r="P2626" s="39"/>
      <c r="R2626" s="39"/>
    </row>
    <row r="2627" spans="2:18" x14ac:dyDescent="0.2">
      <c r="B2627" s="1"/>
      <c r="C2627" s="2"/>
      <c r="D2627" s="38"/>
      <c r="F2627" s="1"/>
      <c r="G2627" s="2"/>
      <c r="H2627" s="38"/>
      <c r="J2627" s="3"/>
      <c r="K2627" s="3"/>
      <c r="L2627" s="39"/>
      <c r="N2627" s="3"/>
      <c r="O2627" s="3"/>
      <c r="P2627" s="39"/>
      <c r="R2627" s="39"/>
    </row>
    <row r="2628" spans="2:18" x14ac:dyDescent="0.2">
      <c r="B2628" s="1"/>
      <c r="C2628" s="2"/>
      <c r="D2628" s="38"/>
      <c r="F2628" s="1"/>
      <c r="G2628" s="2"/>
      <c r="H2628" s="38"/>
      <c r="J2628" s="3"/>
      <c r="K2628" s="3"/>
      <c r="L2628" s="39"/>
      <c r="N2628" s="3"/>
      <c r="O2628" s="3"/>
      <c r="P2628" s="39"/>
      <c r="R2628" s="39"/>
    </row>
    <row r="2629" spans="2:18" x14ac:dyDescent="0.2">
      <c r="B2629" s="1"/>
      <c r="C2629" s="2"/>
      <c r="D2629" s="38"/>
      <c r="F2629" s="1"/>
      <c r="G2629" s="2"/>
      <c r="H2629" s="38"/>
      <c r="J2629" s="3"/>
      <c r="K2629" s="3"/>
      <c r="L2629" s="39"/>
      <c r="N2629" s="3"/>
      <c r="O2629" s="3"/>
      <c r="P2629" s="39"/>
      <c r="R2629" s="39"/>
    </row>
    <row r="2630" spans="2:18" x14ac:dyDescent="0.2">
      <c r="B2630" s="1"/>
      <c r="C2630" s="2"/>
      <c r="D2630" s="38"/>
      <c r="F2630" s="1"/>
      <c r="G2630" s="2"/>
      <c r="H2630" s="38"/>
      <c r="J2630" s="3"/>
      <c r="K2630" s="3"/>
      <c r="L2630" s="39"/>
      <c r="N2630" s="3"/>
      <c r="O2630" s="3"/>
      <c r="P2630" s="39"/>
      <c r="R2630" s="39"/>
    </row>
    <row r="2631" spans="2:18" x14ac:dyDescent="0.2">
      <c r="B2631" s="1"/>
      <c r="C2631" s="2"/>
      <c r="D2631" s="38"/>
      <c r="F2631" s="1"/>
      <c r="G2631" s="2"/>
      <c r="H2631" s="38"/>
      <c r="J2631" s="3"/>
      <c r="K2631" s="3"/>
      <c r="L2631" s="39"/>
      <c r="N2631" s="3"/>
      <c r="O2631" s="3"/>
      <c r="P2631" s="39"/>
      <c r="R2631" s="39"/>
    </row>
    <row r="2632" spans="2:18" x14ac:dyDescent="0.2">
      <c r="B2632" s="1"/>
      <c r="C2632" s="2"/>
      <c r="D2632" s="38"/>
      <c r="F2632" s="1"/>
      <c r="G2632" s="2"/>
      <c r="H2632" s="38"/>
      <c r="J2632" s="3"/>
      <c r="K2632" s="3"/>
      <c r="L2632" s="39"/>
      <c r="N2632" s="3"/>
      <c r="O2632" s="3"/>
      <c r="P2632" s="39"/>
      <c r="R2632" s="39"/>
    </row>
    <row r="2633" spans="2:18" x14ac:dyDescent="0.2">
      <c r="B2633" s="1"/>
      <c r="C2633" s="2"/>
      <c r="D2633" s="38"/>
      <c r="F2633" s="1"/>
      <c r="G2633" s="2"/>
      <c r="H2633" s="38"/>
      <c r="J2633" s="3"/>
      <c r="K2633" s="3"/>
      <c r="L2633" s="39"/>
      <c r="N2633" s="3"/>
      <c r="O2633" s="3"/>
      <c r="P2633" s="39"/>
      <c r="R2633" s="39"/>
    </row>
    <row r="2634" spans="2:18" x14ac:dyDescent="0.2">
      <c r="B2634" s="1"/>
      <c r="C2634" s="2"/>
      <c r="D2634" s="38"/>
      <c r="F2634" s="1"/>
      <c r="G2634" s="2"/>
      <c r="H2634" s="38"/>
      <c r="J2634" s="3"/>
      <c r="K2634" s="3"/>
      <c r="L2634" s="39"/>
      <c r="N2634" s="3"/>
      <c r="O2634" s="3"/>
      <c r="P2634" s="39"/>
      <c r="R2634" s="39"/>
    </row>
    <row r="2635" spans="2:18" x14ac:dyDescent="0.2">
      <c r="B2635" s="1"/>
      <c r="C2635" s="2"/>
      <c r="D2635" s="38"/>
      <c r="F2635" s="1"/>
      <c r="G2635" s="2"/>
      <c r="H2635" s="38"/>
      <c r="J2635" s="3"/>
      <c r="K2635" s="3"/>
      <c r="L2635" s="39"/>
      <c r="N2635" s="3"/>
      <c r="O2635" s="3"/>
      <c r="P2635" s="39"/>
      <c r="R2635" s="39"/>
    </row>
    <row r="2636" spans="2:18" x14ac:dyDescent="0.2">
      <c r="B2636" s="1"/>
      <c r="C2636" s="2"/>
      <c r="D2636" s="38"/>
      <c r="F2636" s="1"/>
      <c r="G2636" s="2"/>
      <c r="H2636" s="38"/>
      <c r="J2636" s="3"/>
      <c r="K2636" s="3"/>
      <c r="L2636" s="39"/>
      <c r="N2636" s="3"/>
      <c r="O2636" s="3"/>
      <c r="P2636" s="39"/>
      <c r="R2636" s="39"/>
    </row>
    <row r="2637" spans="2:18" x14ac:dyDescent="0.2">
      <c r="B2637" s="1"/>
      <c r="C2637" s="2"/>
      <c r="D2637" s="38"/>
      <c r="F2637" s="1"/>
      <c r="G2637" s="2"/>
      <c r="H2637" s="38"/>
      <c r="J2637" s="3"/>
      <c r="K2637" s="3"/>
      <c r="L2637" s="39"/>
      <c r="N2637" s="3"/>
      <c r="O2637" s="3"/>
      <c r="P2637" s="39"/>
      <c r="R2637" s="39"/>
    </row>
    <row r="2638" spans="2:18" x14ac:dyDescent="0.2">
      <c r="B2638" s="1"/>
      <c r="C2638" s="2"/>
      <c r="D2638" s="38"/>
      <c r="F2638" s="1"/>
      <c r="G2638" s="2"/>
      <c r="H2638" s="38"/>
      <c r="J2638" s="3"/>
      <c r="K2638" s="3"/>
      <c r="L2638" s="39"/>
      <c r="N2638" s="3"/>
      <c r="O2638" s="3"/>
      <c r="P2638" s="39"/>
      <c r="R2638" s="39"/>
    </row>
    <row r="2639" spans="2:18" x14ac:dyDescent="0.2">
      <c r="B2639" s="1"/>
      <c r="C2639" s="2"/>
      <c r="D2639" s="38"/>
      <c r="F2639" s="1"/>
      <c r="G2639" s="2"/>
      <c r="H2639" s="38"/>
      <c r="J2639" s="3"/>
      <c r="K2639" s="3"/>
      <c r="L2639" s="39"/>
      <c r="N2639" s="3"/>
      <c r="O2639" s="3"/>
      <c r="P2639" s="39"/>
      <c r="R2639" s="39"/>
    </row>
    <row r="2640" spans="2:18" x14ac:dyDescent="0.2">
      <c r="B2640" s="1"/>
      <c r="C2640" s="2"/>
      <c r="D2640" s="38"/>
      <c r="F2640" s="1"/>
      <c r="G2640" s="2"/>
      <c r="H2640" s="38"/>
      <c r="J2640" s="3"/>
      <c r="K2640" s="3"/>
      <c r="L2640" s="39"/>
      <c r="N2640" s="3"/>
      <c r="O2640" s="3"/>
      <c r="P2640" s="39"/>
      <c r="R2640" s="39"/>
    </row>
    <row r="2641" spans="2:18" x14ac:dyDescent="0.2">
      <c r="B2641" s="1"/>
      <c r="C2641" s="2"/>
      <c r="D2641" s="38"/>
      <c r="F2641" s="1"/>
      <c r="G2641" s="2"/>
      <c r="H2641" s="38"/>
      <c r="J2641" s="3"/>
      <c r="K2641" s="3"/>
      <c r="L2641" s="39"/>
      <c r="N2641" s="3"/>
      <c r="O2641" s="3"/>
      <c r="P2641" s="39"/>
      <c r="R2641" s="39"/>
    </row>
    <row r="2642" spans="2:18" x14ac:dyDescent="0.2">
      <c r="B2642" s="1"/>
      <c r="C2642" s="2"/>
      <c r="D2642" s="38"/>
      <c r="F2642" s="1"/>
      <c r="G2642" s="2"/>
      <c r="H2642" s="38"/>
      <c r="J2642" s="3"/>
      <c r="K2642" s="3"/>
      <c r="L2642" s="39"/>
      <c r="N2642" s="3"/>
      <c r="O2642" s="3"/>
      <c r="P2642" s="39"/>
      <c r="R2642" s="39"/>
    </row>
    <row r="2643" spans="2:18" x14ac:dyDescent="0.2">
      <c r="B2643" s="1"/>
      <c r="C2643" s="2"/>
      <c r="D2643" s="38"/>
      <c r="F2643" s="1"/>
      <c r="G2643" s="2"/>
      <c r="H2643" s="38"/>
      <c r="J2643" s="3"/>
      <c r="K2643" s="3"/>
      <c r="L2643" s="39"/>
      <c r="N2643" s="3"/>
      <c r="O2643" s="3"/>
      <c r="P2643" s="39"/>
      <c r="R2643" s="39"/>
    </row>
    <row r="2644" spans="2:18" x14ac:dyDescent="0.2">
      <c r="B2644" s="1"/>
      <c r="C2644" s="2"/>
      <c r="D2644" s="38"/>
      <c r="F2644" s="1"/>
      <c r="G2644" s="2"/>
      <c r="H2644" s="38"/>
      <c r="J2644" s="3"/>
      <c r="K2644" s="3"/>
      <c r="L2644" s="39"/>
      <c r="N2644" s="3"/>
      <c r="O2644" s="3"/>
      <c r="P2644" s="39"/>
      <c r="R2644" s="39"/>
    </row>
    <row r="2645" spans="2:18" x14ac:dyDescent="0.2">
      <c r="B2645" s="1"/>
      <c r="C2645" s="2"/>
      <c r="D2645" s="38"/>
      <c r="F2645" s="1"/>
      <c r="G2645" s="2"/>
      <c r="H2645" s="38"/>
      <c r="J2645" s="3"/>
      <c r="K2645" s="3"/>
      <c r="L2645" s="39"/>
      <c r="N2645" s="3"/>
      <c r="O2645" s="3"/>
      <c r="P2645" s="39"/>
      <c r="R2645" s="39"/>
    </row>
    <row r="2646" spans="2:18" x14ac:dyDescent="0.2">
      <c r="B2646" s="1"/>
      <c r="C2646" s="2"/>
      <c r="D2646" s="38"/>
      <c r="F2646" s="1"/>
      <c r="G2646" s="2"/>
      <c r="H2646" s="38"/>
      <c r="J2646" s="3"/>
      <c r="K2646" s="3"/>
      <c r="L2646" s="39"/>
      <c r="N2646" s="3"/>
      <c r="O2646" s="3"/>
      <c r="P2646" s="39"/>
      <c r="R2646" s="39"/>
    </row>
    <row r="2647" spans="2:18" x14ac:dyDescent="0.2">
      <c r="B2647" s="1"/>
      <c r="C2647" s="2"/>
      <c r="D2647" s="38"/>
      <c r="F2647" s="1"/>
      <c r="G2647" s="2"/>
      <c r="H2647" s="38"/>
      <c r="J2647" s="3"/>
      <c r="K2647" s="3"/>
      <c r="L2647" s="39"/>
      <c r="N2647" s="3"/>
      <c r="O2647" s="3"/>
      <c r="P2647" s="39"/>
      <c r="R2647" s="39"/>
    </row>
    <row r="2648" spans="2:18" x14ac:dyDescent="0.2">
      <c r="B2648" s="1"/>
      <c r="C2648" s="2"/>
      <c r="D2648" s="38"/>
      <c r="F2648" s="1"/>
      <c r="G2648" s="2"/>
      <c r="H2648" s="38"/>
      <c r="J2648" s="3"/>
      <c r="K2648" s="3"/>
      <c r="L2648" s="39"/>
      <c r="N2648" s="3"/>
      <c r="O2648" s="3"/>
      <c r="P2648" s="39"/>
      <c r="R2648" s="39"/>
    </row>
    <row r="2649" spans="2:18" x14ac:dyDescent="0.2">
      <c r="B2649" s="1"/>
      <c r="C2649" s="2"/>
      <c r="D2649" s="38"/>
      <c r="F2649" s="1"/>
      <c r="G2649" s="2"/>
      <c r="H2649" s="38"/>
      <c r="J2649" s="3"/>
      <c r="K2649" s="3"/>
      <c r="L2649" s="39"/>
      <c r="N2649" s="3"/>
      <c r="O2649" s="3"/>
      <c r="P2649" s="39"/>
      <c r="R2649" s="39"/>
    </row>
    <row r="2650" spans="2:18" x14ac:dyDescent="0.2">
      <c r="B2650" s="1"/>
      <c r="C2650" s="2"/>
      <c r="D2650" s="38"/>
      <c r="F2650" s="1"/>
      <c r="G2650" s="2"/>
      <c r="H2650" s="38"/>
      <c r="J2650" s="3"/>
      <c r="K2650" s="3"/>
      <c r="L2650" s="39"/>
      <c r="N2650" s="3"/>
      <c r="O2650" s="3"/>
      <c r="P2650" s="39"/>
      <c r="R2650" s="39"/>
    </row>
    <row r="2651" spans="2:18" x14ac:dyDescent="0.2">
      <c r="B2651" s="1"/>
      <c r="C2651" s="2"/>
      <c r="D2651" s="38"/>
      <c r="F2651" s="1"/>
      <c r="G2651" s="2"/>
      <c r="H2651" s="38"/>
      <c r="J2651" s="3"/>
      <c r="K2651" s="3"/>
      <c r="L2651" s="39"/>
      <c r="N2651" s="3"/>
      <c r="O2651" s="3"/>
      <c r="P2651" s="39"/>
      <c r="R2651" s="39"/>
    </row>
    <row r="2652" spans="2:18" x14ac:dyDescent="0.2">
      <c r="B2652" s="1"/>
      <c r="C2652" s="2"/>
      <c r="D2652" s="38"/>
      <c r="F2652" s="1"/>
      <c r="G2652" s="2"/>
      <c r="H2652" s="38"/>
      <c r="J2652" s="3"/>
      <c r="K2652" s="3"/>
      <c r="L2652" s="39"/>
      <c r="N2652" s="3"/>
      <c r="O2652" s="3"/>
      <c r="P2652" s="39"/>
      <c r="R2652" s="39"/>
    </row>
    <row r="2653" spans="2:18" x14ac:dyDescent="0.2">
      <c r="B2653" s="1"/>
      <c r="C2653" s="2"/>
      <c r="D2653" s="38"/>
      <c r="F2653" s="1"/>
      <c r="G2653" s="2"/>
      <c r="H2653" s="38"/>
      <c r="J2653" s="3"/>
      <c r="K2653" s="3"/>
      <c r="L2653" s="39"/>
      <c r="N2653" s="3"/>
      <c r="O2653" s="3"/>
      <c r="P2653" s="39"/>
      <c r="R2653" s="39"/>
    </row>
    <row r="2654" spans="2:18" x14ac:dyDescent="0.2">
      <c r="B2654" s="1"/>
      <c r="C2654" s="2"/>
      <c r="D2654" s="38"/>
      <c r="F2654" s="1"/>
      <c r="G2654" s="2"/>
      <c r="H2654" s="38"/>
      <c r="J2654" s="3"/>
      <c r="K2654" s="3"/>
      <c r="L2654" s="39"/>
      <c r="N2654" s="3"/>
      <c r="O2654" s="3"/>
      <c r="P2654" s="39"/>
      <c r="R2654" s="39"/>
    </row>
    <row r="2655" spans="2:18" x14ac:dyDescent="0.2">
      <c r="B2655" s="1"/>
      <c r="C2655" s="2"/>
      <c r="D2655" s="38"/>
      <c r="F2655" s="1"/>
      <c r="G2655" s="2"/>
      <c r="H2655" s="38"/>
      <c r="J2655" s="3"/>
      <c r="K2655" s="3"/>
      <c r="L2655" s="39"/>
      <c r="N2655" s="3"/>
      <c r="O2655" s="3"/>
      <c r="P2655" s="39"/>
      <c r="R2655" s="39"/>
    </row>
    <row r="2656" spans="2:18" x14ac:dyDescent="0.2">
      <c r="B2656" s="1"/>
      <c r="C2656" s="2"/>
      <c r="D2656" s="38"/>
      <c r="F2656" s="1"/>
      <c r="G2656" s="2"/>
      <c r="H2656" s="38"/>
      <c r="J2656" s="3"/>
      <c r="K2656" s="3"/>
      <c r="L2656" s="39"/>
      <c r="N2656" s="3"/>
      <c r="O2656" s="3"/>
      <c r="P2656" s="39"/>
      <c r="R2656" s="39"/>
    </row>
    <row r="2657" spans="2:18" x14ac:dyDescent="0.2">
      <c r="B2657" s="1"/>
      <c r="C2657" s="2"/>
      <c r="D2657" s="38"/>
      <c r="F2657" s="1"/>
      <c r="G2657" s="2"/>
      <c r="H2657" s="38"/>
      <c r="J2657" s="3"/>
      <c r="K2657" s="3"/>
      <c r="L2657" s="39"/>
      <c r="N2657" s="3"/>
      <c r="O2657" s="3"/>
      <c r="P2657" s="39"/>
      <c r="R2657" s="39"/>
    </row>
    <row r="2658" spans="2:18" x14ac:dyDescent="0.2">
      <c r="B2658" s="1"/>
      <c r="C2658" s="2"/>
      <c r="D2658" s="38"/>
      <c r="F2658" s="1"/>
      <c r="G2658" s="2"/>
      <c r="H2658" s="38"/>
      <c r="J2658" s="3"/>
      <c r="K2658" s="3"/>
      <c r="L2658" s="39"/>
      <c r="N2658" s="3"/>
      <c r="O2658" s="3"/>
      <c r="P2658" s="39"/>
      <c r="R2658" s="39"/>
    </row>
    <row r="2659" spans="2:18" x14ac:dyDescent="0.2">
      <c r="B2659" s="1"/>
      <c r="C2659" s="2"/>
      <c r="D2659" s="38"/>
      <c r="F2659" s="1"/>
      <c r="G2659" s="2"/>
      <c r="H2659" s="38"/>
      <c r="J2659" s="3"/>
      <c r="K2659" s="3"/>
      <c r="L2659" s="39"/>
      <c r="N2659" s="3"/>
      <c r="O2659" s="3"/>
      <c r="P2659" s="39"/>
      <c r="R2659" s="39"/>
    </row>
    <row r="2660" spans="2:18" x14ac:dyDescent="0.2">
      <c r="B2660" s="1"/>
      <c r="C2660" s="2"/>
      <c r="D2660" s="38"/>
      <c r="F2660" s="1"/>
      <c r="G2660" s="2"/>
      <c r="H2660" s="38"/>
      <c r="J2660" s="3"/>
      <c r="K2660" s="3"/>
      <c r="L2660" s="39"/>
      <c r="N2660" s="3"/>
      <c r="O2660" s="3"/>
      <c r="P2660" s="39"/>
      <c r="R2660" s="39"/>
    </row>
    <row r="2661" spans="2:18" x14ac:dyDescent="0.2">
      <c r="B2661" s="1"/>
      <c r="C2661" s="2"/>
      <c r="D2661" s="38"/>
      <c r="F2661" s="1"/>
      <c r="G2661" s="2"/>
      <c r="H2661" s="38"/>
      <c r="J2661" s="3"/>
      <c r="K2661" s="3"/>
      <c r="L2661" s="39"/>
      <c r="N2661" s="3"/>
      <c r="O2661" s="3"/>
      <c r="P2661" s="39"/>
      <c r="R2661" s="39"/>
    </row>
    <row r="2662" spans="2:18" x14ac:dyDescent="0.2">
      <c r="B2662" s="1"/>
      <c r="C2662" s="2"/>
      <c r="D2662" s="38"/>
      <c r="F2662" s="1"/>
      <c r="G2662" s="2"/>
      <c r="H2662" s="38"/>
      <c r="J2662" s="3"/>
      <c r="K2662" s="3"/>
      <c r="L2662" s="39"/>
      <c r="N2662" s="3"/>
      <c r="O2662" s="3"/>
      <c r="P2662" s="39"/>
      <c r="R2662" s="39"/>
    </row>
    <row r="2663" spans="2:18" x14ac:dyDescent="0.2">
      <c r="B2663" s="1"/>
      <c r="C2663" s="2"/>
      <c r="D2663" s="38"/>
      <c r="F2663" s="1"/>
      <c r="G2663" s="2"/>
      <c r="H2663" s="38"/>
      <c r="J2663" s="3"/>
      <c r="K2663" s="3"/>
      <c r="L2663" s="39"/>
      <c r="N2663" s="3"/>
      <c r="O2663" s="3"/>
      <c r="P2663" s="39"/>
      <c r="R2663" s="39"/>
    </row>
    <row r="2664" spans="2:18" x14ac:dyDescent="0.2">
      <c r="B2664" s="1"/>
      <c r="C2664" s="2"/>
      <c r="D2664" s="38"/>
      <c r="F2664" s="1"/>
      <c r="G2664" s="2"/>
      <c r="H2664" s="38"/>
      <c r="J2664" s="3"/>
      <c r="K2664" s="3"/>
      <c r="L2664" s="39"/>
      <c r="N2664" s="3"/>
      <c r="O2664" s="3"/>
      <c r="P2664" s="39"/>
      <c r="R2664" s="39"/>
    </row>
    <row r="2665" spans="2:18" x14ac:dyDescent="0.2">
      <c r="B2665" s="1"/>
      <c r="C2665" s="2"/>
      <c r="D2665" s="38"/>
      <c r="F2665" s="1"/>
      <c r="G2665" s="2"/>
      <c r="H2665" s="38"/>
      <c r="J2665" s="3"/>
      <c r="K2665" s="3"/>
      <c r="L2665" s="39"/>
      <c r="N2665" s="3"/>
      <c r="O2665" s="3"/>
      <c r="P2665" s="39"/>
      <c r="R2665" s="39"/>
    </row>
    <row r="2666" spans="2:18" x14ac:dyDescent="0.2">
      <c r="B2666" s="1"/>
      <c r="C2666" s="2"/>
      <c r="D2666" s="38"/>
      <c r="F2666" s="1"/>
      <c r="G2666" s="2"/>
      <c r="H2666" s="38"/>
      <c r="J2666" s="3"/>
      <c r="K2666" s="3"/>
      <c r="L2666" s="39"/>
      <c r="N2666" s="3"/>
      <c r="O2666" s="3"/>
      <c r="P2666" s="39"/>
      <c r="R2666" s="39"/>
    </row>
    <row r="2667" spans="2:18" x14ac:dyDescent="0.2">
      <c r="B2667" s="1"/>
      <c r="C2667" s="2"/>
      <c r="D2667" s="38"/>
      <c r="F2667" s="1"/>
      <c r="G2667" s="2"/>
      <c r="H2667" s="38"/>
      <c r="J2667" s="3"/>
      <c r="K2667" s="3"/>
      <c r="L2667" s="39"/>
      <c r="N2667" s="3"/>
      <c r="O2667" s="3"/>
      <c r="P2667" s="39"/>
      <c r="R2667" s="39"/>
    </row>
    <row r="2668" spans="2:18" x14ac:dyDescent="0.2">
      <c r="B2668" s="1"/>
      <c r="C2668" s="2"/>
      <c r="D2668" s="38"/>
      <c r="F2668" s="1"/>
      <c r="G2668" s="2"/>
      <c r="H2668" s="38"/>
      <c r="J2668" s="3"/>
      <c r="K2668" s="3"/>
      <c r="L2668" s="39"/>
      <c r="N2668" s="3"/>
      <c r="O2668" s="3"/>
      <c r="P2668" s="39"/>
      <c r="R2668" s="39"/>
    </row>
    <row r="2669" spans="2:18" x14ac:dyDescent="0.2">
      <c r="B2669" s="1"/>
      <c r="C2669" s="2"/>
      <c r="D2669" s="38"/>
      <c r="F2669" s="1"/>
      <c r="G2669" s="2"/>
      <c r="H2669" s="38"/>
      <c r="J2669" s="3"/>
      <c r="K2669" s="3"/>
      <c r="L2669" s="39"/>
      <c r="N2669" s="3"/>
      <c r="O2669" s="3"/>
      <c r="P2669" s="39"/>
      <c r="R2669" s="39"/>
    </row>
    <row r="2670" spans="2:18" x14ac:dyDescent="0.2">
      <c r="B2670" s="1"/>
      <c r="C2670" s="2"/>
      <c r="D2670" s="38"/>
      <c r="F2670" s="1"/>
      <c r="G2670" s="2"/>
      <c r="H2670" s="38"/>
      <c r="J2670" s="3"/>
      <c r="K2670" s="3"/>
      <c r="L2670" s="39"/>
      <c r="N2670" s="3"/>
      <c r="O2670" s="3"/>
      <c r="P2670" s="39"/>
      <c r="R2670" s="39"/>
    </row>
    <row r="2671" spans="2:18" x14ac:dyDescent="0.2">
      <c r="B2671" s="1"/>
      <c r="C2671" s="2"/>
      <c r="D2671" s="38"/>
      <c r="F2671" s="1"/>
      <c r="G2671" s="2"/>
      <c r="H2671" s="38"/>
      <c r="J2671" s="3"/>
      <c r="K2671" s="3"/>
      <c r="L2671" s="39"/>
      <c r="N2671" s="3"/>
      <c r="O2671" s="3"/>
      <c r="P2671" s="39"/>
      <c r="R2671" s="39"/>
    </row>
    <row r="2672" spans="2:18" x14ac:dyDescent="0.2">
      <c r="B2672" s="1"/>
      <c r="C2672" s="2"/>
      <c r="D2672" s="38"/>
      <c r="F2672" s="1"/>
      <c r="G2672" s="2"/>
      <c r="H2672" s="38"/>
      <c r="J2672" s="3"/>
      <c r="K2672" s="3"/>
      <c r="L2672" s="39"/>
      <c r="N2672" s="3"/>
      <c r="O2672" s="3"/>
      <c r="P2672" s="39"/>
      <c r="R2672" s="39"/>
    </row>
    <row r="2673" spans="2:18" x14ac:dyDescent="0.2">
      <c r="B2673" s="1"/>
      <c r="C2673" s="2"/>
      <c r="D2673" s="38"/>
      <c r="F2673" s="1"/>
      <c r="G2673" s="2"/>
      <c r="H2673" s="38"/>
      <c r="J2673" s="3"/>
      <c r="K2673" s="3"/>
      <c r="L2673" s="39"/>
      <c r="N2673" s="3"/>
      <c r="O2673" s="3"/>
      <c r="P2673" s="39"/>
      <c r="R2673" s="39"/>
    </row>
    <row r="2674" spans="2:18" x14ac:dyDescent="0.2">
      <c r="B2674" s="1"/>
      <c r="C2674" s="2"/>
      <c r="D2674" s="38"/>
      <c r="F2674" s="1"/>
      <c r="G2674" s="2"/>
      <c r="H2674" s="38"/>
      <c r="J2674" s="3"/>
      <c r="K2674" s="3"/>
      <c r="L2674" s="39"/>
      <c r="N2674" s="3"/>
      <c r="O2674" s="3"/>
      <c r="P2674" s="39"/>
      <c r="R2674" s="39"/>
    </row>
    <row r="2675" spans="2:18" x14ac:dyDescent="0.2">
      <c r="B2675" s="1"/>
      <c r="C2675" s="2"/>
      <c r="D2675" s="38"/>
      <c r="F2675" s="1"/>
      <c r="G2675" s="2"/>
      <c r="H2675" s="38"/>
      <c r="J2675" s="3"/>
      <c r="K2675" s="3"/>
      <c r="L2675" s="39"/>
      <c r="N2675" s="3"/>
      <c r="O2675" s="3"/>
      <c r="P2675" s="39"/>
      <c r="R2675" s="39"/>
    </row>
    <row r="2676" spans="2:18" x14ac:dyDescent="0.2">
      <c r="B2676" s="1"/>
      <c r="C2676" s="2"/>
      <c r="D2676" s="38"/>
      <c r="F2676" s="1"/>
      <c r="G2676" s="2"/>
      <c r="H2676" s="38"/>
      <c r="J2676" s="3"/>
      <c r="K2676" s="3"/>
      <c r="L2676" s="39"/>
      <c r="N2676" s="3"/>
      <c r="O2676" s="3"/>
      <c r="P2676" s="39"/>
      <c r="R2676" s="39"/>
    </row>
    <row r="2677" spans="2:18" x14ac:dyDescent="0.2">
      <c r="B2677" s="1"/>
      <c r="C2677" s="2"/>
      <c r="D2677" s="38"/>
      <c r="F2677" s="1"/>
      <c r="G2677" s="2"/>
      <c r="H2677" s="38"/>
      <c r="J2677" s="3"/>
      <c r="K2677" s="3"/>
      <c r="L2677" s="39"/>
      <c r="N2677" s="3"/>
      <c r="O2677" s="3"/>
      <c r="P2677" s="39"/>
      <c r="R2677" s="39"/>
    </row>
    <row r="2678" spans="2:18" x14ac:dyDescent="0.2">
      <c r="B2678" s="1"/>
      <c r="C2678" s="2"/>
      <c r="D2678" s="38"/>
      <c r="F2678" s="1"/>
      <c r="G2678" s="2"/>
      <c r="H2678" s="38"/>
      <c r="J2678" s="3"/>
      <c r="K2678" s="3"/>
      <c r="L2678" s="39"/>
      <c r="N2678" s="3"/>
      <c r="O2678" s="3"/>
      <c r="P2678" s="39"/>
      <c r="R2678" s="39"/>
    </row>
    <row r="2679" spans="2:18" x14ac:dyDescent="0.2">
      <c r="B2679" s="1"/>
      <c r="C2679" s="2"/>
      <c r="D2679" s="38"/>
      <c r="F2679" s="1"/>
      <c r="G2679" s="2"/>
      <c r="H2679" s="38"/>
      <c r="J2679" s="3"/>
      <c r="K2679" s="3"/>
      <c r="L2679" s="39"/>
      <c r="N2679" s="3"/>
      <c r="O2679" s="3"/>
      <c r="P2679" s="39"/>
      <c r="R2679" s="39"/>
    </row>
    <row r="2680" spans="2:18" x14ac:dyDescent="0.2">
      <c r="B2680" s="1"/>
      <c r="C2680" s="2"/>
      <c r="D2680" s="38"/>
      <c r="F2680" s="1"/>
      <c r="G2680" s="2"/>
      <c r="H2680" s="38"/>
      <c r="J2680" s="3"/>
      <c r="K2680" s="3"/>
      <c r="L2680" s="39"/>
      <c r="N2680" s="3"/>
      <c r="O2680" s="3"/>
      <c r="P2680" s="39"/>
      <c r="R2680" s="39"/>
    </row>
    <row r="2681" spans="2:18" x14ac:dyDescent="0.2">
      <c r="B2681" s="1"/>
      <c r="C2681" s="2"/>
      <c r="D2681" s="38"/>
      <c r="F2681" s="1"/>
      <c r="G2681" s="2"/>
      <c r="H2681" s="38"/>
      <c r="J2681" s="3"/>
      <c r="K2681" s="3"/>
      <c r="L2681" s="39"/>
      <c r="N2681" s="3"/>
      <c r="O2681" s="3"/>
      <c r="P2681" s="39"/>
      <c r="R2681" s="39"/>
    </row>
    <row r="2682" spans="2:18" x14ac:dyDescent="0.2">
      <c r="B2682" s="1"/>
      <c r="C2682" s="2"/>
      <c r="D2682" s="38"/>
      <c r="F2682" s="1"/>
      <c r="G2682" s="2"/>
      <c r="H2682" s="38"/>
      <c r="J2682" s="3"/>
      <c r="K2682" s="3"/>
      <c r="L2682" s="39"/>
      <c r="N2682" s="3"/>
      <c r="O2682" s="3"/>
      <c r="P2682" s="39"/>
      <c r="R2682" s="39"/>
    </row>
    <row r="2683" spans="2:18" x14ac:dyDescent="0.2">
      <c r="B2683" s="1"/>
      <c r="C2683" s="2"/>
      <c r="D2683" s="38"/>
      <c r="F2683" s="1"/>
      <c r="G2683" s="2"/>
      <c r="H2683" s="38"/>
      <c r="J2683" s="3"/>
      <c r="K2683" s="3"/>
      <c r="L2683" s="39"/>
      <c r="N2683" s="3"/>
      <c r="O2683" s="3"/>
      <c r="P2683" s="39"/>
      <c r="R2683" s="39"/>
    </row>
    <row r="2684" spans="2:18" x14ac:dyDescent="0.2">
      <c r="B2684" s="1"/>
      <c r="C2684" s="2"/>
      <c r="D2684" s="38"/>
      <c r="F2684" s="1"/>
      <c r="G2684" s="2"/>
      <c r="H2684" s="38"/>
      <c r="J2684" s="3"/>
      <c r="K2684" s="3"/>
      <c r="L2684" s="39"/>
      <c r="N2684" s="3"/>
      <c r="O2684" s="3"/>
      <c r="P2684" s="39"/>
      <c r="R2684" s="39"/>
    </row>
    <row r="2685" spans="2:18" x14ac:dyDescent="0.2">
      <c r="B2685" s="1"/>
      <c r="C2685" s="2"/>
      <c r="D2685" s="38"/>
      <c r="F2685" s="1"/>
      <c r="G2685" s="2"/>
      <c r="H2685" s="38"/>
      <c r="J2685" s="3"/>
      <c r="K2685" s="3"/>
      <c r="L2685" s="39"/>
      <c r="N2685" s="3"/>
      <c r="O2685" s="3"/>
      <c r="P2685" s="39"/>
      <c r="R2685" s="39"/>
    </row>
    <row r="2686" spans="2:18" x14ac:dyDescent="0.2">
      <c r="B2686" s="1"/>
      <c r="C2686" s="2"/>
      <c r="D2686" s="38"/>
      <c r="F2686" s="1"/>
      <c r="G2686" s="2"/>
      <c r="H2686" s="38"/>
      <c r="J2686" s="3"/>
      <c r="K2686" s="3"/>
      <c r="L2686" s="39"/>
      <c r="N2686" s="3"/>
      <c r="O2686" s="3"/>
      <c r="P2686" s="39"/>
      <c r="R2686" s="39"/>
    </row>
    <row r="2687" spans="2:18" x14ac:dyDescent="0.2">
      <c r="B2687" s="1"/>
      <c r="C2687" s="2"/>
      <c r="D2687" s="38"/>
      <c r="F2687" s="1"/>
      <c r="G2687" s="2"/>
      <c r="H2687" s="38"/>
      <c r="J2687" s="3"/>
      <c r="K2687" s="3"/>
      <c r="L2687" s="39"/>
      <c r="N2687" s="3"/>
      <c r="O2687" s="3"/>
      <c r="P2687" s="39"/>
      <c r="R2687" s="39"/>
    </row>
    <row r="2688" spans="2:18" x14ac:dyDescent="0.2">
      <c r="B2688" s="1"/>
      <c r="C2688" s="2"/>
      <c r="D2688" s="38"/>
      <c r="F2688" s="1"/>
      <c r="G2688" s="2"/>
      <c r="H2688" s="38"/>
      <c r="J2688" s="3"/>
      <c r="K2688" s="3"/>
      <c r="L2688" s="39"/>
      <c r="N2688" s="3"/>
      <c r="O2688" s="3"/>
      <c r="P2688" s="39"/>
      <c r="R2688" s="39"/>
    </row>
    <row r="2689" spans="2:18" x14ac:dyDescent="0.2">
      <c r="B2689" s="1"/>
      <c r="C2689" s="2"/>
      <c r="D2689" s="38"/>
      <c r="F2689" s="1"/>
      <c r="G2689" s="2"/>
      <c r="H2689" s="38"/>
      <c r="J2689" s="3"/>
      <c r="K2689" s="3"/>
      <c r="L2689" s="39"/>
      <c r="N2689" s="3"/>
      <c r="O2689" s="3"/>
      <c r="P2689" s="39"/>
      <c r="R2689" s="39"/>
    </row>
    <row r="2690" spans="2:18" x14ac:dyDescent="0.2">
      <c r="B2690" s="1"/>
      <c r="C2690" s="2"/>
      <c r="D2690" s="38"/>
      <c r="F2690" s="1"/>
      <c r="G2690" s="2"/>
      <c r="H2690" s="38"/>
      <c r="J2690" s="3"/>
      <c r="K2690" s="3"/>
      <c r="L2690" s="39"/>
      <c r="N2690" s="3"/>
      <c r="O2690" s="3"/>
      <c r="P2690" s="39"/>
      <c r="R2690" s="39"/>
    </row>
    <row r="2691" spans="2:18" x14ac:dyDescent="0.2">
      <c r="B2691" s="1"/>
      <c r="C2691" s="2"/>
      <c r="D2691" s="38"/>
      <c r="F2691" s="1"/>
      <c r="G2691" s="2"/>
      <c r="H2691" s="38"/>
      <c r="J2691" s="3"/>
      <c r="K2691" s="3"/>
      <c r="L2691" s="39"/>
      <c r="N2691" s="3"/>
      <c r="O2691" s="3"/>
      <c r="P2691" s="39"/>
      <c r="R2691" s="39"/>
    </row>
    <row r="2692" spans="2:18" x14ac:dyDescent="0.2">
      <c r="B2692" s="1"/>
      <c r="C2692" s="2"/>
      <c r="D2692" s="38"/>
      <c r="F2692" s="1"/>
      <c r="G2692" s="2"/>
      <c r="H2692" s="38"/>
      <c r="J2692" s="3"/>
      <c r="K2692" s="3"/>
      <c r="L2692" s="39"/>
      <c r="N2692" s="3"/>
      <c r="O2692" s="3"/>
      <c r="P2692" s="39"/>
      <c r="R2692" s="39"/>
    </row>
    <row r="2693" spans="2:18" x14ac:dyDescent="0.2">
      <c r="B2693" s="1"/>
      <c r="C2693" s="2"/>
      <c r="D2693" s="38"/>
      <c r="F2693" s="1"/>
      <c r="G2693" s="2"/>
      <c r="H2693" s="38"/>
      <c r="J2693" s="3"/>
      <c r="K2693" s="3"/>
      <c r="L2693" s="39"/>
      <c r="N2693" s="3"/>
      <c r="O2693" s="3"/>
      <c r="P2693" s="39"/>
      <c r="R2693" s="39"/>
    </row>
    <row r="2694" spans="2:18" x14ac:dyDescent="0.2">
      <c r="B2694" s="1"/>
      <c r="C2694" s="2"/>
      <c r="D2694" s="38"/>
      <c r="F2694" s="1"/>
      <c r="G2694" s="2"/>
      <c r="H2694" s="38"/>
      <c r="J2694" s="3"/>
      <c r="K2694" s="3"/>
      <c r="L2694" s="39"/>
      <c r="N2694" s="3"/>
      <c r="O2694" s="3"/>
      <c r="P2694" s="39"/>
      <c r="R2694" s="39"/>
    </row>
    <row r="2695" spans="2:18" x14ac:dyDescent="0.2">
      <c r="B2695" s="1"/>
      <c r="C2695" s="2"/>
      <c r="D2695" s="38"/>
      <c r="F2695" s="1"/>
      <c r="G2695" s="2"/>
      <c r="H2695" s="38"/>
      <c r="J2695" s="3"/>
      <c r="K2695" s="3"/>
      <c r="L2695" s="39"/>
      <c r="N2695" s="3"/>
      <c r="O2695" s="3"/>
      <c r="P2695" s="39"/>
      <c r="R2695" s="39"/>
    </row>
    <row r="2696" spans="2:18" x14ac:dyDescent="0.2">
      <c r="B2696" s="1"/>
      <c r="C2696" s="2"/>
      <c r="D2696" s="38"/>
      <c r="F2696" s="1"/>
      <c r="G2696" s="2"/>
      <c r="H2696" s="38"/>
      <c r="J2696" s="3"/>
      <c r="K2696" s="3"/>
      <c r="L2696" s="39"/>
      <c r="N2696" s="3"/>
      <c r="O2696" s="3"/>
      <c r="P2696" s="39"/>
      <c r="R2696" s="39"/>
    </row>
    <row r="2697" spans="2:18" x14ac:dyDescent="0.2">
      <c r="B2697" s="1"/>
      <c r="C2697" s="2"/>
      <c r="D2697" s="38"/>
      <c r="F2697" s="1"/>
      <c r="G2697" s="2"/>
      <c r="H2697" s="38"/>
      <c r="J2697" s="3"/>
      <c r="K2697" s="3"/>
      <c r="L2697" s="39"/>
      <c r="N2697" s="3"/>
      <c r="O2697" s="3"/>
      <c r="P2697" s="39"/>
      <c r="R2697" s="39"/>
    </row>
    <row r="2698" spans="2:18" x14ac:dyDescent="0.2">
      <c r="B2698" s="1"/>
      <c r="C2698" s="2"/>
      <c r="D2698" s="38"/>
      <c r="F2698" s="1"/>
      <c r="G2698" s="2"/>
      <c r="H2698" s="38"/>
      <c r="J2698" s="3"/>
      <c r="K2698" s="3"/>
      <c r="L2698" s="39"/>
      <c r="N2698" s="3"/>
      <c r="O2698" s="3"/>
      <c r="P2698" s="39"/>
      <c r="R2698" s="39"/>
    </row>
    <row r="2699" spans="2:18" x14ac:dyDescent="0.2">
      <c r="B2699" s="1"/>
      <c r="C2699" s="2"/>
      <c r="D2699" s="38"/>
      <c r="F2699" s="1"/>
      <c r="G2699" s="2"/>
      <c r="H2699" s="38"/>
      <c r="J2699" s="3"/>
      <c r="K2699" s="3"/>
      <c r="L2699" s="39"/>
      <c r="N2699" s="3"/>
      <c r="O2699" s="3"/>
      <c r="P2699" s="39"/>
      <c r="R2699" s="39"/>
    </row>
    <row r="2700" spans="2:18" x14ac:dyDescent="0.2">
      <c r="B2700" s="1"/>
      <c r="C2700" s="2"/>
      <c r="D2700" s="38"/>
      <c r="F2700" s="1"/>
      <c r="G2700" s="2"/>
      <c r="H2700" s="38"/>
      <c r="J2700" s="3"/>
      <c r="K2700" s="3"/>
      <c r="L2700" s="39"/>
      <c r="N2700" s="3"/>
      <c r="O2700" s="3"/>
      <c r="P2700" s="39"/>
      <c r="R2700" s="39"/>
    </row>
    <row r="2701" spans="2:18" x14ac:dyDescent="0.2">
      <c r="B2701" s="1"/>
      <c r="C2701" s="2"/>
      <c r="D2701" s="38"/>
      <c r="F2701" s="1"/>
      <c r="G2701" s="2"/>
      <c r="H2701" s="38"/>
      <c r="J2701" s="3"/>
      <c r="K2701" s="3"/>
      <c r="L2701" s="39"/>
      <c r="N2701" s="3"/>
      <c r="O2701" s="3"/>
      <c r="P2701" s="39"/>
      <c r="R2701" s="39"/>
    </row>
    <row r="2702" spans="2:18" x14ac:dyDescent="0.2">
      <c r="B2702" s="1"/>
      <c r="C2702" s="2"/>
      <c r="D2702" s="38"/>
      <c r="F2702" s="1"/>
      <c r="G2702" s="2"/>
      <c r="H2702" s="38"/>
      <c r="J2702" s="3"/>
      <c r="K2702" s="3"/>
      <c r="L2702" s="39"/>
      <c r="N2702" s="3"/>
      <c r="O2702" s="3"/>
      <c r="P2702" s="39"/>
      <c r="R2702" s="39"/>
    </row>
    <row r="2703" spans="2:18" x14ac:dyDescent="0.2">
      <c r="B2703" s="1"/>
      <c r="C2703" s="2"/>
      <c r="D2703" s="38"/>
      <c r="F2703" s="1"/>
      <c r="G2703" s="2"/>
      <c r="H2703" s="38"/>
      <c r="J2703" s="3"/>
      <c r="K2703" s="3"/>
      <c r="L2703" s="39"/>
      <c r="N2703" s="3"/>
      <c r="O2703" s="3"/>
      <c r="P2703" s="39"/>
      <c r="R2703" s="39"/>
    </row>
    <row r="2704" spans="2:18" x14ac:dyDescent="0.2">
      <c r="B2704" s="1"/>
      <c r="C2704" s="2"/>
      <c r="D2704" s="38"/>
      <c r="F2704" s="1"/>
      <c r="G2704" s="2"/>
      <c r="H2704" s="38"/>
      <c r="J2704" s="3"/>
      <c r="K2704" s="3"/>
      <c r="L2704" s="39"/>
      <c r="N2704" s="3"/>
      <c r="O2704" s="3"/>
      <c r="P2704" s="39"/>
      <c r="R2704" s="39"/>
    </row>
    <row r="2705" spans="2:18" x14ac:dyDescent="0.2">
      <c r="B2705" s="1"/>
      <c r="C2705" s="2"/>
      <c r="D2705" s="38"/>
      <c r="F2705" s="1"/>
      <c r="G2705" s="2"/>
      <c r="H2705" s="38"/>
      <c r="J2705" s="3"/>
      <c r="K2705" s="3"/>
      <c r="L2705" s="39"/>
      <c r="N2705" s="3"/>
      <c r="O2705" s="3"/>
      <c r="P2705" s="39"/>
      <c r="R2705" s="39"/>
    </row>
    <row r="2706" spans="2:18" x14ac:dyDescent="0.2">
      <c r="B2706" s="1"/>
      <c r="C2706" s="2"/>
      <c r="D2706" s="38"/>
      <c r="F2706" s="1"/>
      <c r="G2706" s="2"/>
      <c r="H2706" s="38"/>
      <c r="J2706" s="3"/>
      <c r="K2706" s="3"/>
      <c r="L2706" s="39"/>
      <c r="N2706" s="3"/>
      <c r="O2706" s="3"/>
      <c r="P2706" s="39"/>
      <c r="R2706" s="39"/>
    </row>
    <row r="2707" spans="2:18" x14ac:dyDescent="0.2">
      <c r="B2707" s="1"/>
      <c r="C2707" s="2"/>
      <c r="D2707" s="38"/>
      <c r="F2707" s="1"/>
      <c r="G2707" s="2"/>
      <c r="H2707" s="38"/>
      <c r="J2707" s="3"/>
      <c r="K2707" s="3"/>
      <c r="L2707" s="39"/>
      <c r="N2707" s="3"/>
      <c r="O2707" s="3"/>
      <c r="P2707" s="39"/>
      <c r="R2707" s="39"/>
    </row>
    <row r="2708" spans="2:18" x14ac:dyDescent="0.2">
      <c r="B2708" s="1"/>
      <c r="C2708" s="2"/>
      <c r="D2708" s="38"/>
      <c r="F2708" s="1"/>
      <c r="G2708" s="2"/>
      <c r="H2708" s="38"/>
      <c r="J2708" s="3"/>
      <c r="K2708" s="3"/>
      <c r="L2708" s="39"/>
      <c r="N2708" s="3"/>
      <c r="O2708" s="3"/>
      <c r="P2708" s="39"/>
      <c r="R2708" s="39"/>
    </row>
    <row r="2709" spans="2:18" x14ac:dyDescent="0.2">
      <c r="B2709" s="1"/>
      <c r="C2709" s="2"/>
      <c r="D2709" s="38"/>
      <c r="F2709" s="1"/>
      <c r="G2709" s="2"/>
      <c r="H2709" s="38"/>
      <c r="J2709" s="3"/>
      <c r="K2709" s="3"/>
      <c r="L2709" s="39"/>
      <c r="N2709" s="3"/>
      <c r="O2709" s="3"/>
      <c r="P2709" s="39"/>
      <c r="R2709" s="39"/>
    </row>
    <row r="2710" spans="2:18" x14ac:dyDescent="0.2">
      <c r="B2710" s="1"/>
      <c r="C2710" s="2"/>
      <c r="D2710" s="38"/>
      <c r="F2710" s="1"/>
      <c r="G2710" s="2"/>
      <c r="H2710" s="38"/>
      <c r="J2710" s="3"/>
      <c r="K2710" s="3"/>
      <c r="L2710" s="39"/>
      <c r="N2710" s="3"/>
      <c r="O2710" s="3"/>
      <c r="P2710" s="39"/>
      <c r="R2710" s="39"/>
    </row>
    <row r="2711" spans="2:18" x14ac:dyDescent="0.2">
      <c r="B2711" s="1"/>
      <c r="C2711" s="2"/>
      <c r="D2711" s="38"/>
      <c r="F2711" s="1"/>
      <c r="G2711" s="2"/>
      <c r="H2711" s="38"/>
      <c r="J2711" s="3"/>
      <c r="K2711" s="3"/>
      <c r="L2711" s="39"/>
      <c r="N2711" s="3"/>
      <c r="O2711" s="3"/>
      <c r="P2711" s="39"/>
      <c r="R2711" s="39"/>
    </row>
    <row r="2712" spans="2:18" x14ac:dyDescent="0.2">
      <c r="B2712" s="1"/>
      <c r="C2712" s="2"/>
      <c r="D2712" s="38"/>
      <c r="F2712" s="1"/>
      <c r="G2712" s="2"/>
      <c r="H2712" s="38"/>
      <c r="J2712" s="3"/>
      <c r="K2712" s="3"/>
      <c r="L2712" s="39"/>
      <c r="N2712" s="3"/>
      <c r="O2712" s="3"/>
      <c r="P2712" s="39"/>
      <c r="R2712" s="39"/>
    </row>
    <row r="2713" spans="2:18" x14ac:dyDescent="0.2">
      <c r="B2713" s="1"/>
      <c r="C2713" s="2"/>
      <c r="D2713" s="38"/>
      <c r="F2713" s="1"/>
      <c r="G2713" s="2"/>
      <c r="H2713" s="38"/>
      <c r="J2713" s="3"/>
      <c r="K2713" s="3"/>
      <c r="L2713" s="39"/>
      <c r="N2713" s="3"/>
      <c r="O2713" s="3"/>
      <c r="P2713" s="39"/>
      <c r="R2713" s="39"/>
    </row>
    <row r="2714" spans="2:18" x14ac:dyDescent="0.2">
      <c r="B2714" s="1"/>
      <c r="C2714" s="2"/>
      <c r="D2714" s="38"/>
      <c r="F2714" s="1"/>
      <c r="G2714" s="2"/>
      <c r="H2714" s="38"/>
      <c r="J2714" s="3"/>
      <c r="K2714" s="3"/>
      <c r="L2714" s="39"/>
      <c r="N2714" s="3"/>
      <c r="O2714" s="3"/>
      <c r="P2714" s="39"/>
      <c r="R2714" s="39"/>
    </row>
    <row r="2715" spans="2:18" x14ac:dyDescent="0.2">
      <c r="B2715" s="1"/>
      <c r="C2715" s="2"/>
      <c r="D2715" s="38"/>
      <c r="F2715" s="1"/>
      <c r="G2715" s="2"/>
      <c r="H2715" s="38"/>
      <c r="J2715" s="3"/>
      <c r="K2715" s="3"/>
      <c r="L2715" s="39"/>
      <c r="N2715" s="3"/>
      <c r="O2715" s="3"/>
      <c r="P2715" s="39"/>
      <c r="R2715" s="39"/>
    </row>
    <row r="2716" spans="2:18" x14ac:dyDescent="0.2">
      <c r="B2716" s="1"/>
      <c r="C2716" s="2"/>
      <c r="D2716" s="38"/>
      <c r="F2716" s="1"/>
      <c r="G2716" s="2"/>
      <c r="H2716" s="38"/>
      <c r="J2716" s="3"/>
      <c r="K2716" s="3"/>
      <c r="L2716" s="39"/>
      <c r="N2716" s="3"/>
      <c r="O2716" s="3"/>
      <c r="P2716" s="39"/>
      <c r="R2716" s="39"/>
    </row>
    <row r="2717" spans="2:18" x14ac:dyDescent="0.2">
      <c r="B2717" s="1"/>
      <c r="C2717" s="2"/>
      <c r="D2717" s="38"/>
      <c r="F2717" s="1"/>
      <c r="G2717" s="2"/>
      <c r="H2717" s="38"/>
      <c r="J2717" s="3"/>
      <c r="K2717" s="3"/>
      <c r="L2717" s="39"/>
      <c r="N2717" s="3"/>
      <c r="O2717" s="3"/>
      <c r="P2717" s="39"/>
      <c r="R2717" s="39"/>
    </row>
    <row r="2718" spans="2:18" x14ac:dyDescent="0.2">
      <c r="B2718" s="1"/>
      <c r="C2718" s="2"/>
      <c r="D2718" s="38"/>
      <c r="F2718" s="1"/>
      <c r="G2718" s="2"/>
      <c r="H2718" s="38"/>
      <c r="J2718" s="3"/>
      <c r="K2718" s="3"/>
      <c r="L2718" s="39"/>
      <c r="N2718" s="3"/>
      <c r="O2718" s="3"/>
      <c r="P2718" s="39"/>
      <c r="R2718" s="39"/>
    </row>
    <row r="2719" spans="2:18" x14ac:dyDescent="0.2">
      <c r="B2719" s="1"/>
      <c r="C2719" s="2"/>
      <c r="D2719" s="38"/>
      <c r="F2719" s="1"/>
      <c r="G2719" s="2"/>
      <c r="H2719" s="38"/>
      <c r="J2719" s="3"/>
      <c r="K2719" s="3"/>
      <c r="L2719" s="39"/>
      <c r="N2719" s="3"/>
      <c r="O2719" s="3"/>
      <c r="P2719" s="39"/>
      <c r="R2719" s="39"/>
    </row>
    <row r="2720" spans="2:18" x14ac:dyDescent="0.2">
      <c r="B2720" s="1"/>
      <c r="C2720" s="2"/>
      <c r="D2720" s="38"/>
      <c r="F2720" s="1"/>
      <c r="G2720" s="2"/>
      <c r="H2720" s="38"/>
      <c r="J2720" s="3"/>
      <c r="K2720" s="3"/>
      <c r="L2720" s="39"/>
      <c r="N2720" s="3"/>
      <c r="O2720" s="3"/>
      <c r="P2720" s="39"/>
      <c r="R2720" s="39"/>
    </row>
    <row r="2721" spans="2:18" x14ac:dyDescent="0.2">
      <c r="B2721" s="1"/>
      <c r="C2721" s="2"/>
      <c r="D2721" s="38"/>
      <c r="F2721" s="1"/>
      <c r="G2721" s="2"/>
      <c r="H2721" s="38"/>
      <c r="J2721" s="3"/>
      <c r="K2721" s="3"/>
      <c r="L2721" s="39"/>
      <c r="N2721" s="3"/>
      <c r="O2721" s="3"/>
      <c r="P2721" s="39"/>
      <c r="R2721" s="39"/>
    </row>
    <row r="2722" spans="2:18" x14ac:dyDescent="0.2">
      <c r="B2722" s="1"/>
      <c r="C2722" s="2"/>
      <c r="D2722" s="38"/>
      <c r="F2722" s="1"/>
      <c r="G2722" s="2"/>
      <c r="H2722" s="38"/>
      <c r="J2722" s="3"/>
      <c r="K2722" s="3"/>
      <c r="L2722" s="39"/>
      <c r="N2722" s="3"/>
      <c r="O2722" s="3"/>
      <c r="P2722" s="39"/>
      <c r="R2722" s="39"/>
    </row>
    <row r="2723" spans="2:18" x14ac:dyDescent="0.2">
      <c r="B2723" s="1"/>
      <c r="C2723" s="2"/>
      <c r="D2723" s="38"/>
      <c r="F2723" s="1"/>
      <c r="G2723" s="2"/>
      <c r="H2723" s="38"/>
      <c r="J2723" s="3"/>
      <c r="K2723" s="3"/>
      <c r="L2723" s="39"/>
      <c r="N2723" s="3"/>
      <c r="O2723" s="3"/>
      <c r="P2723" s="39"/>
      <c r="R2723" s="39"/>
    </row>
    <row r="2724" spans="2:18" x14ac:dyDescent="0.2">
      <c r="B2724" s="1"/>
      <c r="C2724" s="2"/>
      <c r="D2724" s="38"/>
      <c r="F2724" s="1"/>
      <c r="G2724" s="2"/>
      <c r="H2724" s="38"/>
      <c r="J2724" s="3"/>
      <c r="K2724" s="3"/>
      <c r="L2724" s="39"/>
      <c r="N2724" s="3"/>
      <c r="O2724" s="3"/>
      <c r="P2724" s="39"/>
      <c r="R2724" s="39"/>
    </row>
    <row r="2725" spans="2:18" x14ac:dyDescent="0.2">
      <c r="B2725" s="1"/>
      <c r="C2725" s="2"/>
      <c r="D2725" s="38"/>
      <c r="F2725" s="1"/>
      <c r="G2725" s="2"/>
      <c r="H2725" s="38"/>
      <c r="J2725" s="3"/>
      <c r="K2725" s="3"/>
      <c r="L2725" s="39"/>
      <c r="N2725" s="3"/>
      <c r="O2725" s="3"/>
      <c r="P2725" s="39"/>
      <c r="R2725" s="39"/>
    </row>
    <row r="2726" spans="2:18" x14ac:dyDescent="0.2">
      <c r="B2726" s="1"/>
      <c r="C2726" s="2"/>
      <c r="D2726" s="38"/>
      <c r="F2726" s="1"/>
      <c r="G2726" s="2"/>
      <c r="H2726" s="38"/>
      <c r="J2726" s="3"/>
      <c r="K2726" s="3"/>
      <c r="L2726" s="39"/>
      <c r="N2726" s="3"/>
      <c r="O2726" s="3"/>
      <c r="P2726" s="39"/>
      <c r="R2726" s="39"/>
    </row>
    <row r="2727" spans="2:18" x14ac:dyDescent="0.2">
      <c r="B2727" s="1"/>
      <c r="C2727" s="2"/>
      <c r="D2727" s="38"/>
      <c r="F2727" s="1"/>
      <c r="G2727" s="2"/>
      <c r="H2727" s="38"/>
      <c r="J2727" s="3"/>
      <c r="K2727" s="3"/>
      <c r="L2727" s="39"/>
      <c r="N2727" s="3"/>
      <c r="O2727" s="3"/>
      <c r="P2727" s="39"/>
      <c r="R2727" s="39"/>
    </row>
    <row r="2728" spans="2:18" x14ac:dyDescent="0.2">
      <c r="B2728" s="1"/>
      <c r="C2728" s="2"/>
      <c r="D2728" s="38"/>
      <c r="F2728" s="1"/>
      <c r="G2728" s="2"/>
      <c r="H2728" s="38"/>
      <c r="J2728" s="3"/>
      <c r="K2728" s="3"/>
      <c r="L2728" s="39"/>
      <c r="N2728" s="3"/>
      <c r="O2728" s="3"/>
      <c r="P2728" s="39"/>
      <c r="R2728" s="39"/>
    </row>
    <row r="2729" spans="2:18" x14ac:dyDescent="0.2">
      <c r="B2729" s="1"/>
      <c r="C2729" s="2"/>
      <c r="D2729" s="38"/>
      <c r="F2729" s="1"/>
      <c r="G2729" s="2"/>
      <c r="H2729" s="38"/>
      <c r="J2729" s="3"/>
      <c r="K2729" s="3"/>
      <c r="L2729" s="39"/>
      <c r="N2729" s="3"/>
      <c r="O2729" s="3"/>
      <c r="P2729" s="39"/>
      <c r="R2729" s="39"/>
    </row>
    <row r="2730" spans="2:18" x14ac:dyDescent="0.2">
      <c r="B2730" s="1"/>
      <c r="C2730" s="2"/>
      <c r="D2730" s="38"/>
      <c r="F2730" s="1"/>
      <c r="G2730" s="2"/>
      <c r="H2730" s="38"/>
      <c r="J2730" s="3"/>
      <c r="K2730" s="3"/>
      <c r="L2730" s="39"/>
      <c r="N2730" s="3"/>
      <c r="O2730" s="3"/>
      <c r="P2730" s="39"/>
      <c r="R2730" s="39"/>
    </row>
    <row r="2731" spans="2:18" x14ac:dyDescent="0.2">
      <c r="B2731" s="1"/>
      <c r="C2731" s="2"/>
      <c r="D2731" s="38"/>
      <c r="F2731" s="1"/>
      <c r="G2731" s="2"/>
      <c r="H2731" s="38"/>
      <c r="J2731" s="3"/>
      <c r="K2731" s="3"/>
      <c r="L2731" s="39"/>
      <c r="N2731" s="3"/>
      <c r="O2731" s="3"/>
      <c r="P2731" s="39"/>
      <c r="R2731" s="39"/>
    </row>
    <row r="2732" spans="2:18" x14ac:dyDescent="0.2">
      <c r="B2732" s="1"/>
      <c r="C2732" s="2"/>
      <c r="D2732" s="38"/>
      <c r="F2732" s="1"/>
      <c r="G2732" s="2"/>
      <c r="H2732" s="38"/>
      <c r="J2732" s="3"/>
      <c r="K2732" s="3"/>
      <c r="L2732" s="39"/>
      <c r="N2732" s="3"/>
      <c r="O2732" s="3"/>
      <c r="P2732" s="39"/>
      <c r="R2732" s="39"/>
    </row>
    <row r="2733" spans="2:18" x14ac:dyDescent="0.2">
      <c r="B2733" s="1"/>
      <c r="C2733" s="2"/>
      <c r="D2733" s="38"/>
      <c r="F2733" s="1"/>
      <c r="G2733" s="2"/>
      <c r="H2733" s="38"/>
      <c r="J2733" s="3"/>
      <c r="K2733" s="3"/>
      <c r="L2733" s="39"/>
      <c r="N2733" s="3"/>
      <c r="O2733" s="3"/>
      <c r="P2733" s="39"/>
      <c r="R2733" s="39"/>
    </row>
    <row r="2734" spans="2:18" x14ac:dyDescent="0.2">
      <c r="B2734" s="1"/>
      <c r="C2734" s="2"/>
      <c r="D2734" s="38"/>
      <c r="F2734" s="1"/>
      <c r="G2734" s="2"/>
      <c r="H2734" s="38"/>
      <c r="J2734" s="3"/>
      <c r="K2734" s="3"/>
      <c r="L2734" s="39"/>
      <c r="N2734" s="3"/>
      <c r="O2734" s="3"/>
      <c r="P2734" s="39"/>
      <c r="R2734" s="39"/>
    </row>
    <row r="2735" spans="2:18" x14ac:dyDescent="0.2">
      <c r="B2735" s="1"/>
      <c r="C2735" s="2"/>
      <c r="D2735" s="38"/>
      <c r="F2735" s="1"/>
      <c r="G2735" s="2"/>
      <c r="H2735" s="38"/>
      <c r="J2735" s="3"/>
      <c r="K2735" s="3"/>
      <c r="L2735" s="39"/>
      <c r="N2735" s="3"/>
      <c r="O2735" s="3"/>
      <c r="P2735" s="39"/>
      <c r="R2735" s="39"/>
    </row>
    <row r="2736" spans="2:18" x14ac:dyDescent="0.2">
      <c r="B2736" s="1"/>
      <c r="C2736" s="2"/>
      <c r="D2736" s="38"/>
      <c r="F2736" s="1"/>
      <c r="G2736" s="2"/>
      <c r="H2736" s="38"/>
      <c r="J2736" s="3"/>
      <c r="K2736" s="3"/>
      <c r="L2736" s="39"/>
      <c r="N2736" s="3"/>
      <c r="O2736" s="3"/>
      <c r="P2736" s="39"/>
      <c r="R2736" s="39"/>
    </row>
    <row r="2737" spans="2:18" x14ac:dyDescent="0.2">
      <c r="B2737" s="1"/>
      <c r="C2737" s="2"/>
      <c r="D2737" s="38"/>
      <c r="F2737" s="1"/>
      <c r="G2737" s="2"/>
      <c r="H2737" s="38"/>
      <c r="J2737" s="3"/>
      <c r="K2737" s="3"/>
      <c r="L2737" s="39"/>
      <c r="N2737" s="3"/>
      <c r="O2737" s="3"/>
      <c r="P2737" s="39"/>
      <c r="R2737" s="39"/>
    </row>
    <row r="2738" spans="2:18" x14ac:dyDescent="0.2">
      <c r="B2738" s="1"/>
      <c r="C2738" s="2"/>
      <c r="D2738" s="38"/>
      <c r="F2738" s="1"/>
      <c r="G2738" s="2"/>
      <c r="H2738" s="38"/>
      <c r="J2738" s="3"/>
      <c r="K2738" s="3"/>
      <c r="L2738" s="39"/>
      <c r="N2738" s="3"/>
      <c r="O2738" s="3"/>
      <c r="P2738" s="39"/>
      <c r="R2738" s="39"/>
    </row>
    <row r="2739" spans="2:18" x14ac:dyDescent="0.2">
      <c r="B2739" s="1"/>
      <c r="C2739" s="2"/>
      <c r="D2739" s="38"/>
      <c r="F2739" s="1"/>
      <c r="G2739" s="2"/>
      <c r="H2739" s="38"/>
      <c r="J2739" s="3"/>
      <c r="K2739" s="3"/>
      <c r="L2739" s="39"/>
      <c r="N2739" s="3"/>
      <c r="O2739" s="3"/>
      <c r="P2739" s="39"/>
      <c r="R2739" s="39"/>
    </row>
    <row r="2740" spans="2:18" x14ac:dyDescent="0.2">
      <c r="B2740" s="1"/>
      <c r="C2740" s="2"/>
      <c r="D2740" s="38"/>
      <c r="F2740" s="1"/>
      <c r="G2740" s="2"/>
      <c r="H2740" s="38"/>
      <c r="J2740" s="3"/>
      <c r="K2740" s="3"/>
      <c r="L2740" s="39"/>
      <c r="N2740" s="3"/>
      <c r="O2740" s="3"/>
      <c r="P2740" s="39"/>
      <c r="R2740" s="39"/>
    </row>
    <row r="2741" spans="2:18" x14ac:dyDescent="0.2">
      <c r="B2741" s="1"/>
      <c r="C2741" s="2"/>
      <c r="D2741" s="38"/>
      <c r="F2741" s="1"/>
      <c r="G2741" s="2"/>
      <c r="H2741" s="38"/>
      <c r="J2741" s="3"/>
      <c r="K2741" s="3"/>
      <c r="L2741" s="39"/>
      <c r="N2741" s="3"/>
      <c r="O2741" s="3"/>
      <c r="P2741" s="39"/>
      <c r="R2741" s="39"/>
    </row>
    <row r="2742" spans="2:18" x14ac:dyDescent="0.2">
      <c r="B2742" s="1"/>
      <c r="C2742" s="2"/>
      <c r="D2742" s="38"/>
      <c r="F2742" s="1"/>
      <c r="G2742" s="2"/>
      <c r="H2742" s="38"/>
      <c r="J2742" s="3"/>
      <c r="K2742" s="3"/>
      <c r="L2742" s="39"/>
      <c r="N2742" s="3"/>
      <c r="O2742" s="3"/>
      <c r="P2742" s="39"/>
      <c r="R2742" s="39"/>
    </row>
    <row r="2743" spans="2:18" x14ac:dyDescent="0.2">
      <c r="B2743" s="1"/>
      <c r="C2743" s="2"/>
      <c r="D2743" s="38"/>
      <c r="F2743" s="1"/>
      <c r="G2743" s="2"/>
      <c r="H2743" s="38"/>
      <c r="J2743" s="3"/>
      <c r="K2743" s="3"/>
      <c r="L2743" s="39"/>
      <c r="N2743" s="3"/>
      <c r="O2743" s="3"/>
      <c r="P2743" s="39"/>
      <c r="R2743" s="39"/>
    </row>
    <row r="2744" spans="2:18" x14ac:dyDescent="0.2">
      <c r="B2744" s="1"/>
      <c r="C2744" s="2"/>
      <c r="D2744" s="38"/>
      <c r="F2744" s="1"/>
      <c r="G2744" s="2"/>
      <c r="H2744" s="38"/>
      <c r="J2744" s="3"/>
      <c r="K2744" s="3"/>
      <c r="L2744" s="39"/>
      <c r="N2744" s="3"/>
      <c r="O2744" s="3"/>
      <c r="P2744" s="39"/>
      <c r="R2744" s="39"/>
    </row>
    <row r="2745" spans="2:18" x14ac:dyDescent="0.2">
      <c r="B2745" s="1"/>
      <c r="C2745" s="2"/>
      <c r="D2745" s="38"/>
      <c r="F2745" s="1"/>
      <c r="G2745" s="2"/>
      <c r="H2745" s="38"/>
      <c r="J2745" s="3"/>
      <c r="K2745" s="3"/>
      <c r="L2745" s="39"/>
      <c r="N2745" s="3"/>
      <c r="O2745" s="3"/>
      <c r="P2745" s="39"/>
      <c r="R2745" s="39"/>
    </row>
    <row r="2746" spans="2:18" x14ac:dyDescent="0.2">
      <c r="B2746" s="1"/>
      <c r="C2746" s="2"/>
      <c r="D2746" s="38"/>
      <c r="F2746" s="1"/>
      <c r="G2746" s="2"/>
      <c r="H2746" s="38"/>
      <c r="J2746" s="3"/>
      <c r="K2746" s="3"/>
      <c r="L2746" s="39"/>
      <c r="N2746" s="3"/>
      <c r="O2746" s="3"/>
      <c r="P2746" s="39"/>
      <c r="R2746" s="39"/>
    </row>
    <row r="2747" spans="2:18" x14ac:dyDescent="0.2">
      <c r="B2747" s="1"/>
      <c r="C2747" s="2"/>
      <c r="D2747" s="38"/>
      <c r="F2747" s="1"/>
      <c r="G2747" s="2"/>
      <c r="H2747" s="38"/>
      <c r="J2747" s="3"/>
      <c r="K2747" s="3"/>
      <c r="L2747" s="39"/>
      <c r="N2747" s="3"/>
      <c r="O2747" s="3"/>
      <c r="P2747" s="39"/>
      <c r="R2747" s="39"/>
    </row>
    <row r="2748" spans="2:18" x14ac:dyDescent="0.2">
      <c r="B2748" s="1"/>
      <c r="C2748" s="2"/>
      <c r="D2748" s="38"/>
      <c r="F2748" s="1"/>
      <c r="G2748" s="2"/>
      <c r="H2748" s="38"/>
      <c r="J2748" s="3"/>
      <c r="K2748" s="3"/>
      <c r="L2748" s="39"/>
      <c r="N2748" s="3"/>
      <c r="O2748" s="3"/>
      <c r="P2748" s="39"/>
      <c r="R2748" s="39"/>
    </row>
    <row r="2749" spans="2:18" x14ac:dyDescent="0.2">
      <c r="B2749" s="1"/>
      <c r="C2749" s="2"/>
      <c r="D2749" s="38"/>
      <c r="F2749" s="1"/>
      <c r="G2749" s="2"/>
      <c r="H2749" s="38"/>
      <c r="J2749" s="3"/>
      <c r="K2749" s="3"/>
      <c r="L2749" s="39"/>
      <c r="N2749" s="3"/>
      <c r="O2749" s="3"/>
      <c r="P2749" s="39"/>
      <c r="R2749" s="39"/>
    </row>
    <row r="2750" spans="2:18" x14ac:dyDescent="0.2">
      <c r="B2750" s="1"/>
      <c r="C2750" s="2"/>
      <c r="D2750" s="38"/>
      <c r="F2750" s="1"/>
      <c r="G2750" s="2"/>
      <c r="H2750" s="38"/>
      <c r="J2750" s="3"/>
      <c r="K2750" s="3"/>
      <c r="L2750" s="39"/>
      <c r="N2750" s="3"/>
      <c r="O2750" s="3"/>
      <c r="P2750" s="39"/>
      <c r="R2750" s="39"/>
    </row>
    <row r="2751" spans="2:18" x14ac:dyDescent="0.2">
      <c r="B2751" s="1"/>
      <c r="C2751" s="2"/>
      <c r="D2751" s="38"/>
      <c r="F2751" s="1"/>
      <c r="G2751" s="2"/>
      <c r="H2751" s="38"/>
      <c r="J2751" s="3"/>
      <c r="K2751" s="3"/>
      <c r="L2751" s="39"/>
      <c r="N2751" s="3"/>
      <c r="O2751" s="3"/>
      <c r="P2751" s="39"/>
      <c r="R2751" s="39"/>
    </row>
    <row r="2752" spans="2:18" x14ac:dyDescent="0.2">
      <c r="B2752" s="1"/>
      <c r="C2752" s="2"/>
      <c r="D2752" s="38"/>
      <c r="F2752" s="1"/>
      <c r="G2752" s="2"/>
      <c r="H2752" s="38"/>
      <c r="J2752" s="3"/>
      <c r="K2752" s="3"/>
      <c r="L2752" s="39"/>
      <c r="N2752" s="3"/>
      <c r="O2752" s="3"/>
      <c r="P2752" s="39"/>
      <c r="R2752" s="39"/>
    </row>
    <row r="2753" spans="2:18" x14ac:dyDescent="0.2">
      <c r="B2753" s="1"/>
      <c r="C2753" s="2"/>
      <c r="D2753" s="38"/>
      <c r="F2753" s="1"/>
      <c r="G2753" s="2"/>
      <c r="H2753" s="38"/>
      <c r="J2753" s="3"/>
      <c r="K2753" s="3"/>
      <c r="L2753" s="39"/>
      <c r="N2753" s="3"/>
      <c r="O2753" s="3"/>
      <c r="P2753" s="39"/>
      <c r="R2753" s="39"/>
    </row>
    <row r="2754" spans="2:18" x14ac:dyDescent="0.2">
      <c r="B2754" s="1"/>
      <c r="C2754" s="2"/>
      <c r="D2754" s="38"/>
      <c r="F2754" s="1"/>
      <c r="G2754" s="2"/>
      <c r="H2754" s="38"/>
      <c r="J2754" s="3"/>
      <c r="K2754" s="3"/>
      <c r="L2754" s="39"/>
      <c r="N2754" s="3"/>
      <c r="O2754" s="3"/>
      <c r="P2754" s="39"/>
      <c r="R2754" s="39"/>
    </row>
    <row r="2755" spans="2:18" x14ac:dyDescent="0.2">
      <c r="B2755" s="1"/>
      <c r="C2755" s="2"/>
      <c r="D2755" s="38"/>
      <c r="F2755" s="1"/>
      <c r="G2755" s="2"/>
      <c r="H2755" s="38"/>
      <c r="J2755" s="3"/>
      <c r="K2755" s="3"/>
      <c r="L2755" s="39"/>
      <c r="N2755" s="3"/>
      <c r="O2755" s="3"/>
      <c r="P2755" s="39"/>
      <c r="R2755" s="39"/>
    </row>
    <row r="2756" spans="2:18" x14ac:dyDescent="0.2">
      <c r="B2756" s="1"/>
      <c r="C2756" s="2"/>
      <c r="D2756" s="38"/>
      <c r="F2756" s="1"/>
      <c r="G2756" s="2"/>
      <c r="H2756" s="38"/>
      <c r="J2756" s="3"/>
      <c r="K2756" s="3"/>
      <c r="L2756" s="39"/>
      <c r="N2756" s="3"/>
      <c r="O2756" s="3"/>
      <c r="P2756" s="39"/>
      <c r="R2756" s="39"/>
    </row>
    <row r="2757" spans="2:18" x14ac:dyDescent="0.2">
      <c r="B2757" s="1"/>
      <c r="C2757" s="2"/>
      <c r="D2757" s="38"/>
      <c r="F2757" s="1"/>
      <c r="G2757" s="2"/>
      <c r="H2757" s="38"/>
      <c r="J2757" s="3"/>
      <c r="K2757" s="3"/>
      <c r="L2757" s="39"/>
      <c r="N2757" s="3"/>
      <c r="O2757" s="3"/>
      <c r="P2757" s="39"/>
      <c r="R2757" s="39"/>
    </row>
    <row r="2758" spans="2:18" x14ac:dyDescent="0.2">
      <c r="B2758" s="1"/>
      <c r="C2758" s="2"/>
      <c r="D2758" s="38"/>
      <c r="F2758" s="1"/>
      <c r="G2758" s="2"/>
      <c r="H2758" s="38"/>
      <c r="J2758" s="3"/>
      <c r="K2758" s="3"/>
      <c r="L2758" s="39"/>
      <c r="N2758" s="3"/>
      <c r="O2758" s="3"/>
      <c r="P2758" s="39"/>
      <c r="R2758" s="39"/>
    </row>
    <row r="2759" spans="2:18" x14ac:dyDescent="0.2">
      <c r="B2759" s="1"/>
      <c r="C2759" s="2"/>
      <c r="D2759" s="38"/>
      <c r="F2759" s="1"/>
      <c r="G2759" s="2"/>
      <c r="H2759" s="38"/>
      <c r="J2759" s="3"/>
      <c r="K2759" s="3"/>
      <c r="L2759" s="39"/>
      <c r="N2759" s="3"/>
      <c r="O2759" s="3"/>
      <c r="P2759" s="39"/>
      <c r="R2759" s="39"/>
    </row>
    <row r="2760" spans="2:18" x14ac:dyDescent="0.2">
      <c r="B2760" s="1"/>
      <c r="C2760" s="2"/>
      <c r="D2760" s="38"/>
      <c r="F2760" s="1"/>
      <c r="G2760" s="2"/>
      <c r="H2760" s="38"/>
      <c r="J2760" s="3"/>
      <c r="K2760" s="3"/>
      <c r="L2760" s="39"/>
      <c r="N2760" s="3"/>
      <c r="O2760" s="3"/>
      <c r="P2760" s="39"/>
      <c r="R2760" s="39"/>
    </row>
    <row r="2761" spans="2:18" x14ac:dyDescent="0.2">
      <c r="B2761" s="1"/>
      <c r="C2761" s="2"/>
      <c r="D2761" s="38"/>
      <c r="F2761" s="1"/>
      <c r="G2761" s="2"/>
      <c r="H2761" s="38"/>
      <c r="J2761" s="3"/>
      <c r="K2761" s="3"/>
      <c r="L2761" s="39"/>
      <c r="N2761" s="3"/>
      <c r="O2761" s="3"/>
      <c r="P2761" s="39"/>
      <c r="R2761" s="39"/>
    </row>
    <row r="2762" spans="2:18" x14ac:dyDescent="0.2">
      <c r="B2762" s="1"/>
      <c r="C2762" s="2"/>
      <c r="D2762" s="38"/>
      <c r="F2762" s="1"/>
      <c r="G2762" s="2"/>
      <c r="H2762" s="38"/>
      <c r="J2762" s="3"/>
      <c r="K2762" s="3"/>
      <c r="L2762" s="39"/>
      <c r="N2762" s="3"/>
      <c r="O2762" s="3"/>
      <c r="P2762" s="39"/>
      <c r="R2762" s="39"/>
    </row>
    <row r="2763" spans="2:18" x14ac:dyDescent="0.2">
      <c r="B2763" s="1"/>
      <c r="C2763" s="2"/>
      <c r="D2763" s="38"/>
      <c r="F2763" s="1"/>
      <c r="G2763" s="2"/>
      <c r="H2763" s="38"/>
      <c r="J2763" s="3"/>
      <c r="K2763" s="3"/>
      <c r="L2763" s="39"/>
      <c r="N2763" s="3"/>
      <c r="O2763" s="3"/>
      <c r="P2763" s="39"/>
      <c r="R2763" s="39"/>
    </row>
    <row r="2764" spans="2:18" x14ac:dyDescent="0.2">
      <c r="B2764" s="1"/>
      <c r="C2764" s="2"/>
      <c r="D2764" s="38"/>
      <c r="F2764" s="1"/>
      <c r="G2764" s="2"/>
      <c r="H2764" s="38"/>
      <c r="J2764" s="3"/>
      <c r="K2764" s="3"/>
      <c r="L2764" s="39"/>
      <c r="N2764" s="3"/>
      <c r="O2764" s="3"/>
      <c r="P2764" s="39"/>
      <c r="R2764" s="39"/>
    </row>
    <row r="2765" spans="2:18" x14ac:dyDescent="0.2">
      <c r="B2765" s="1"/>
      <c r="C2765" s="2"/>
      <c r="D2765" s="38"/>
      <c r="F2765" s="1"/>
      <c r="G2765" s="2"/>
      <c r="H2765" s="38"/>
      <c r="J2765" s="3"/>
      <c r="K2765" s="3"/>
      <c r="L2765" s="39"/>
      <c r="N2765" s="3"/>
      <c r="O2765" s="3"/>
      <c r="P2765" s="39"/>
      <c r="R2765" s="39"/>
    </row>
    <row r="2766" spans="2:18" x14ac:dyDescent="0.2">
      <c r="B2766" s="1"/>
      <c r="C2766" s="2"/>
      <c r="D2766" s="38"/>
      <c r="F2766" s="1"/>
      <c r="G2766" s="2"/>
      <c r="H2766" s="38"/>
      <c r="J2766" s="3"/>
      <c r="K2766" s="3"/>
      <c r="L2766" s="39"/>
      <c r="N2766" s="3"/>
      <c r="O2766" s="3"/>
      <c r="P2766" s="39"/>
      <c r="R2766" s="39"/>
    </row>
    <row r="2767" spans="2:18" x14ac:dyDescent="0.2">
      <c r="B2767" s="1"/>
      <c r="C2767" s="2"/>
      <c r="D2767" s="38"/>
      <c r="F2767" s="1"/>
      <c r="G2767" s="2"/>
      <c r="H2767" s="38"/>
      <c r="J2767" s="3"/>
      <c r="K2767" s="3"/>
      <c r="L2767" s="39"/>
      <c r="N2767" s="3"/>
      <c r="O2767" s="3"/>
      <c r="P2767" s="39"/>
      <c r="R2767" s="39"/>
    </row>
    <row r="2768" spans="2:18" x14ac:dyDescent="0.2">
      <c r="B2768" s="1"/>
      <c r="C2768" s="2"/>
      <c r="D2768" s="38"/>
      <c r="F2768" s="1"/>
      <c r="G2768" s="2"/>
      <c r="H2768" s="38"/>
      <c r="J2768" s="3"/>
      <c r="K2768" s="3"/>
      <c r="L2768" s="39"/>
      <c r="N2768" s="3"/>
      <c r="O2768" s="3"/>
      <c r="P2768" s="39"/>
      <c r="R2768" s="39"/>
    </row>
    <row r="2769" spans="2:18" x14ac:dyDescent="0.2">
      <c r="B2769" s="1"/>
      <c r="C2769" s="2"/>
      <c r="D2769" s="38"/>
      <c r="F2769" s="1"/>
      <c r="G2769" s="2"/>
      <c r="H2769" s="38"/>
      <c r="J2769" s="3"/>
      <c r="K2769" s="3"/>
      <c r="L2769" s="39"/>
      <c r="N2769" s="3"/>
      <c r="O2769" s="3"/>
      <c r="P2769" s="39"/>
      <c r="R2769" s="39"/>
    </row>
    <row r="2770" spans="2:18" x14ac:dyDescent="0.2">
      <c r="B2770" s="1"/>
      <c r="C2770" s="2"/>
      <c r="D2770" s="38"/>
      <c r="F2770" s="1"/>
      <c r="G2770" s="2"/>
      <c r="H2770" s="38"/>
      <c r="J2770" s="3"/>
      <c r="K2770" s="3"/>
      <c r="L2770" s="39"/>
      <c r="N2770" s="3"/>
      <c r="O2770" s="3"/>
      <c r="P2770" s="39"/>
      <c r="R2770" s="39"/>
    </row>
    <row r="2771" spans="2:18" x14ac:dyDescent="0.2">
      <c r="B2771" s="1"/>
      <c r="C2771" s="2"/>
      <c r="D2771" s="38"/>
      <c r="F2771" s="1"/>
      <c r="G2771" s="2"/>
      <c r="H2771" s="38"/>
      <c r="J2771" s="3"/>
      <c r="K2771" s="3"/>
      <c r="L2771" s="39"/>
      <c r="N2771" s="3"/>
      <c r="O2771" s="3"/>
      <c r="P2771" s="39"/>
      <c r="R2771" s="39"/>
    </row>
    <row r="2772" spans="2:18" x14ac:dyDescent="0.2">
      <c r="B2772" s="1"/>
      <c r="C2772" s="2"/>
      <c r="D2772" s="38"/>
      <c r="F2772" s="1"/>
      <c r="G2772" s="2"/>
      <c r="H2772" s="38"/>
      <c r="J2772" s="3"/>
      <c r="K2772" s="3"/>
      <c r="L2772" s="39"/>
      <c r="N2772" s="3"/>
      <c r="O2772" s="3"/>
      <c r="P2772" s="39"/>
      <c r="R2772" s="39"/>
    </row>
    <row r="2773" spans="2:18" x14ac:dyDescent="0.2">
      <c r="B2773" s="1"/>
      <c r="C2773" s="2"/>
      <c r="D2773" s="38"/>
      <c r="F2773" s="1"/>
      <c r="G2773" s="2"/>
      <c r="H2773" s="38"/>
      <c r="J2773" s="3"/>
      <c r="K2773" s="3"/>
      <c r="L2773" s="39"/>
      <c r="N2773" s="3"/>
      <c r="O2773" s="3"/>
      <c r="P2773" s="39"/>
      <c r="R2773" s="39"/>
    </row>
    <row r="2774" spans="2:18" x14ac:dyDescent="0.2">
      <c r="B2774" s="1"/>
      <c r="C2774" s="2"/>
      <c r="D2774" s="38"/>
      <c r="F2774" s="1"/>
      <c r="G2774" s="2"/>
      <c r="H2774" s="38"/>
      <c r="J2774" s="3"/>
      <c r="K2774" s="3"/>
      <c r="L2774" s="39"/>
      <c r="N2774" s="3"/>
      <c r="O2774" s="3"/>
      <c r="P2774" s="39"/>
      <c r="R2774" s="39"/>
    </row>
    <row r="2775" spans="2:18" x14ac:dyDescent="0.2">
      <c r="B2775" s="1"/>
      <c r="C2775" s="2"/>
      <c r="D2775" s="38"/>
      <c r="F2775" s="1"/>
      <c r="G2775" s="2"/>
      <c r="H2775" s="38"/>
      <c r="J2775" s="3"/>
      <c r="K2775" s="3"/>
      <c r="L2775" s="39"/>
      <c r="N2775" s="3"/>
      <c r="O2775" s="3"/>
      <c r="P2775" s="39"/>
      <c r="R2775" s="39"/>
    </row>
    <row r="2776" spans="2:18" x14ac:dyDescent="0.2">
      <c r="B2776" s="1"/>
      <c r="C2776" s="2"/>
      <c r="D2776" s="38"/>
      <c r="F2776" s="1"/>
      <c r="G2776" s="2"/>
      <c r="H2776" s="38"/>
      <c r="J2776" s="3"/>
      <c r="K2776" s="3"/>
      <c r="L2776" s="39"/>
      <c r="N2776" s="3"/>
      <c r="O2776" s="3"/>
      <c r="P2776" s="39"/>
      <c r="R2776" s="39"/>
    </row>
    <row r="2777" spans="2:18" x14ac:dyDescent="0.2">
      <c r="B2777" s="1"/>
      <c r="C2777" s="2"/>
      <c r="D2777" s="38"/>
      <c r="F2777" s="1"/>
      <c r="G2777" s="2"/>
      <c r="H2777" s="38"/>
      <c r="J2777" s="3"/>
      <c r="K2777" s="3"/>
      <c r="L2777" s="39"/>
      <c r="N2777" s="3"/>
      <c r="O2777" s="3"/>
      <c r="P2777" s="39"/>
      <c r="R2777" s="39"/>
    </row>
    <row r="2778" spans="2:18" x14ac:dyDescent="0.2">
      <c r="B2778" s="1"/>
      <c r="C2778" s="2"/>
      <c r="D2778" s="38"/>
      <c r="F2778" s="1"/>
      <c r="G2778" s="2"/>
      <c r="H2778" s="38"/>
      <c r="J2778" s="3"/>
      <c r="K2778" s="3"/>
      <c r="L2778" s="39"/>
      <c r="N2778" s="3"/>
      <c r="O2778" s="3"/>
      <c r="P2778" s="39"/>
      <c r="R2778" s="39"/>
    </row>
    <row r="2779" spans="2:18" x14ac:dyDescent="0.2">
      <c r="B2779" s="1"/>
      <c r="C2779" s="2"/>
      <c r="D2779" s="38"/>
      <c r="F2779" s="1"/>
      <c r="G2779" s="2"/>
      <c r="H2779" s="38"/>
      <c r="J2779" s="3"/>
      <c r="K2779" s="3"/>
      <c r="L2779" s="39"/>
      <c r="N2779" s="3"/>
      <c r="O2779" s="3"/>
      <c r="P2779" s="39"/>
      <c r="R2779" s="39"/>
    </row>
    <row r="2780" spans="2:18" x14ac:dyDescent="0.2">
      <c r="B2780" s="1"/>
      <c r="C2780" s="2"/>
      <c r="D2780" s="38"/>
      <c r="F2780" s="1"/>
      <c r="G2780" s="2"/>
      <c r="H2780" s="38"/>
      <c r="J2780" s="3"/>
      <c r="K2780" s="3"/>
      <c r="L2780" s="39"/>
      <c r="N2780" s="3"/>
      <c r="O2780" s="3"/>
      <c r="P2780" s="39"/>
      <c r="R2780" s="39"/>
    </row>
    <row r="2781" spans="2:18" x14ac:dyDescent="0.2">
      <c r="B2781" s="1"/>
      <c r="C2781" s="2"/>
      <c r="D2781" s="38"/>
      <c r="F2781" s="1"/>
      <c r="G2781" s="2"/>
      <c r="H2781" s="38"/>
      <c r="J2781" s="3"/>
      <c r="K2781" s="3"/>
      <c r="L2781" s="39"/>
      <c r="N2781" s="3"/>
      <c r="O2781" s="3"/>
      <c r="P2781" s="39"/>
      <c r="R2781" s="39"/>
    </row>
    <row r="2782" spans="2:18" x14ac:dyDescent="0.2">
      <c r="B2782" s="1"/>
      <c r="C2782" s="2"/>
      <c r="D2782" s="38"/>
      <c r="F2782" s="1"/>
      <c r="G2782" s="2"/>
      <c r="H2782" s="38"/>
      <c r="J2782" s="3"/>
      <c r="K2782" s="3"/>
      <c r="L2782" s="39"/>
      <c r="N2782" s="3"/>
      <c r="O2782" s="3"/>
      <c r="P2782" s="39"/>
      <c r="R2782" s="39"/>
    </row>
    <row r="2783" spans="2:18" x14ac:dyDescent="0.2">
      <c r="B2783" s="1"/>
      <c r="C2783" s="2"/>
      <c r="D2783" s="38"/>
      <c r="F2783" s="1"/>
      <c r="G2783" s="2"/>
      <c r="H2783" s="38"/>
      <c r="J2783" s="3"/>
      <c r="K2783" s="3"/>
      <c r="L2783" s="39"/>
      <c r="N2783" s="3"/>
      <c r="O2783" s="3"/>
      <c r="P2783" s="39"/>
      <c r="R2783" s="39"/>
    </row>
    <row r="2784" spans="2:18" x14ac:dyDescent="0.2">
      <c r="B2784" s="1"/>
      <c r="C2784" s="2"/>
      <c r="D2784" s="38"/>
      <c r="F2784" s="1"/>
      <c r="G2784" s="2"/>
      <c r="H2784" s="38"/>
      <c r="J2784" s="3"/>
      <c r="K2784" s="3"/>
      <c r="L2784" s="39"/>
      <c r="N2784" s="3"/>
      <c r="O2784" s="3"/>
      <c r="P2784" s="39"/>
      <c r="R2784" s="39"/>
    </row>
    <row r="2785" spans="2:18" x14ac:dyDescent="0.2">
      <c r="B2785" s="1"/>
      <c r="C2785" s="2"/>
      <c r="D2785" s="38"/>
      <c r="F2785" s="1"/>
      <c r="G2785" s="2"/>
      <c r="H2785" s="38"/>
      <c r="J2785" s="3"/>
      <c r="K2785" s="3"/>
      <c r="L2785" s="39"/>
      <c r="N2785" s="3"/>
      <c r="O2785" s="3"/>
      <c r="P2785" s="39"/>
      <c r="R2785" s="39"/>
    </row>
    <row r="2786" spans="2:18" x14ac:dyDescent="0.2">
      <c r="B2786" s="1"/>
      <c r="C2786" s="2"/>
      <c r="D2786" s="38"/>
      <c r="F2786" s="1"/>
      <c r="G2786" s="2"/>
      <c r="H2786" s="38"/>
      <c r="J2786" s="3"/>
      <c r="K2786" s="3"/>
      <c r="L2786" s="39"/>
      <c r="N2786" s="3"/>
      <c r="O2786" s="3"/>
      <c r="P2786" s="39"/>
      <c r="R2786" s="39"/>
    </row>
    <row r="2787" spans="2:18" x14ac:dyDescent="0.2">
      <c r="B2787" s="1"/>
      <c r="C2787" s="2"/>
      <c r="D2787" s="38"/>
      <c r="F2787" s="1"/>
      <c r="G2787" s="2"/>
      <c r="H2787" s="38"/>
      <c r="J2787" s="3"/>
      <c r="K2787" s="3"/>
      <c r="L2787" s="39"/>
      <c r="N2787" s="3"/>
      <c r="O2787" s="3"/>
      <c r="P2787" s="39"/>
      <c r="R2787" s="39"/>
    </row>
    <row r="2788" spans="2:18" x14ac:dyDescent="0.2">
      <c r="B2788" s="1"/>
      <c r="C2788" s="2"/>
      <c r="D2788" s="38"/>
      <c r="F2788" s="1"/>
      <c r="G2788" s="2"/>
      <c r="H2788" s="38"/>
      <c r="J2788" s="3"/>
      <c r="K2788" s="3"/>
      <c r="L2788" s="39"/>
      <c r="N2788" s="3"/>
      <c r="O2788" s="3"/>
      <c r="P2788" s="39"/>
      <c r="R2788" s="39"/>
    </row>
    <row r="2789" spans="2:18" x14ac:dyDescent="0.2">
      <c r="B2789" s="1"/>
      <c r="C2789" s="2"/>
      <c r="D2789" s="38"/>
      <c r="F2789" s="1"/>
      <c r="G2789" s="2"/>
      <c r="H2789" s="38"/>
      <c r="J2789" s="3"/>
      <c r="K2789" s="3"/>
      <c r="L2789" s="39"/>
      <c r="N2789" s="3"/>
      <c r="O2789" s="3"/>
      <c r="P2789" s="39"/>
      <c r="R2789" s="39"/>
    </row>
    <row r="2790" spans="2:18" x14ac:dyDescent="0.2">
      <c r="B2790" s="1"/>
      <c r="C2790" s="2"/>
      <c r="D2790" s="38"/>
      <c r="F2790" s="1"/>
      <c r="G2790" s="2"/>
      <c r="H2790" s="38"/>
      <c r="J2790" s="3"/>
      <c r="K2790" s="3"/>
      <c r="L2790" s="39"/>
      <c r="N2790" s="3"/>
      <c r="O2790" s="3"/>
      <c r="P2790" s="39"/>
      <c r="R2790" s="39"/>
    </row>
    <row r="2791" spans="2:18" x14ac:dyDescent="0.2">
      <c r="B2791" s="1"/>
      <c r="C2791" s="2"/>
      <c r="D2791" s="38"/>
      <c r="F2791" s="1"/>
      <c r="G2791" s="2"/>
      <c r="H2791" s="38"/>
      <c r="J2791" s="3"/>
      <c r="K2791" s="3"/>
      <c r="L2791" s="39"/>
      <c r="N2791" s="3"/>
      <c r="O2791" s="3"/>
      <c r="P2791" s="39"/>
      <c r="R2791" s="39"/>
    </row>
    <row r="2792" spans="2:18" x14ac:dyDescent="0.2">
      <c r="B2792" s="1"/>
      <c r="C2792" s="2"/>
      <c r="D2792" s="38"/>
      <c r="F2792" s="1"/>
      <c r="G2792" s="2"/>
      <c r="H2792" s="38"/>
      <c r="J2792" s="3"/>
      <c r="K2792" s="3"/>
      <c r="L2792" s="39"/>
      <c r="N2792" s="3"/>
      <c r="O2792" s="3"/>
      <c r="P2792" s="39"/>
      <c r="R2792" s="39"/>
    </row>
    <row r="2793" spans="2:18" x14ac:dyDescent="0.2">
      <c r="B2793" s="1"/>
      <c r="C2793" s="2"/>
      <c r="D2793" s="38"/>
      <c r="F2793" s="1"/>
      <c r="G2793" s="2"/>
      <c r="H2793" s="38"/>
      <c r="J2793" s="3"/>
      <c r="K2793" s="3"/>
      <c r="L2793" s="39"/>
      <c r="N2793" s="3"/>
      <c r="O2793" s="3"/>
      <c r="P2793" s="39"/>
      <c r="R2793" s="39"/>
    </row>
    <row r="2794" spans="2:18" x14ac:dyDescent="0.2">
      <c r="B2794" s="1"/>
      <c r="C2794" s="2"/>
      <c r="D2794" s="38"/>
      <c r="F2794" s="1"/>
      <c r="G2794" s="2"/>
      <c r="H2794" s="38"/>
      <c r="J2794" s="3"/>
      <c r="K2794" s="3"/>
      <c r="L2794" s="39"/>
      <c r="N2794" s="3"/>
      <c r="O2794" s="3"/>
      <c r="P2794" s="39"/>
      <c r="R2794" s="39"/>
    </row>
    <row r="2795" spans="2:18" x14ac:dyDescent="0.2">
      <c r="B2795" s="1"/>
      <c r="C2795" s="2"/>
      <c r="D2795" s="38"/>
      <c r="F2795" s="1"/>
      <c r="G2795" s="2"/>
      <c r="H2795" s="38"/>
      <c r="J2795" s="3"/>
      <c r="K2795" s="3"/>
      <c r="L2795" s="39"/>
      <c r="N2795" s="3"/>
      <c r="O2795" s="3"/>
      <c r="P2795" s="39"/>
      <c r="R2795" s="39"/>
    </row>
    <row r="2796" spans="2:18" x14ac:dyDescent="0.2">
      <c r="B2796" s="1"/>
      <c r="C2796" s="2"/>
      <c r="D2796" s="38"/>
      <c r="F2796" s="1"/>
      <c r="G2796" s="2"/>
      <c r="H2796" s="38"/>
      <c r="J2796" s="3"/>
      <c r="K2796" s="3"/>
      <c r="L2796" s="39"/>
      <c r="N2796" s="3"/>
      <c r="O2796" s="3"/>
      <c r="P2796" s="39"/>
      <c r="R2796" s="39"/>
    </row>
    <row r="2797" spans="2:18" x14ac:dyDescent="0.2">
      <c r="B2797" s="1"/>
      <c r="C2797" s="2"/>
      <c r="D2797" s="38"/>
      <c r="F2797" s="1"/>
      <c r="G2797" s="2"/>
      <c r="H2797" s="38"/>
      <c r="J2797" s="3"/>
      <c r="K2797" s="3"/>
      <c r="L2797" s="39"/>
      <c r="N2797" s="3"/>
      <c r="O2797" s="3"/>
      <c r="P2797" s="39"/>
      <c r="R2797" s="39"/>
    </row>
    <row r="2798" spans="2:18" x14ac:dyDescent="0.2">
      <c r="B2798" s="1"/>
      <c r="C2798" s="2"/>
      <c r="D2798" s="38"/>
      <c r="F2798" s="1"/>
      <c r="G2798" s="2"/>
      <c r="H2798" s="38"/>
      <c r="J2798" s="3"/>
      <c r="K2798" s="3"/>
      <c r="L2798" s="39"/>
      <c r="N2798" s="3"/>
      <c r="O2798" s="3"/>
      <c r="P2798" s="39"/>
      <c r="R2798" s="39"/>
    </row>
    <row r="2799" spans="2:18" x14ac:dyDescent="0.2">
      <c r="B2799" s="1"/>
      <c r="C2799" s="2"/>
      <c r="D2799" s="38"/>
      <c r="F2799" s="1"/>
      <c r="G2799" s="2"/>
      <c r="H2799" s="38"/>
      <c r="J2799" s="3"/>
      <c r="K2799" s="3"/>
      <c r="L2799" s="39"/>
      <c r="N2799" s="3"/>
      <c r="O2799" s="3"/>
      <c r="P2799" s="39"/>
      <c r="R2799" s="39"/>
    </row>
    <row r="2800" spans="2:18" x14ac:dyDescent="0.2">
      <c r="B2800" s="1"/>
      <c r="C2800" s="2"/>
      <c r="D2800" s="38"/>
      <c r="F2800" s="1"/>
      <c r="G2800" s="2"/>
      <c r="H2800" s="38"/>
      <c r="J2800" s="3"/>
      <c r="K2800" s="3"/>
      <c r="L2800" s="39"/>
      <c r="N2800" s="3"/>
      <c r="O2800" s="3"/>
      <c r="P2800" s="39"/>
      <c r="R2800" s="39"/>
    </row>
    <row r="2801" spans="2:18" x14ac:dyDescent="0.2">
      <c r="B2801" s="1"/>
      <c r="C2801" s="2"/>
      <c r="D2801" s="38"/>
      <c r="F2801" s="1"/>
      <c r="G2801" s="2"/>
      <c r="H2801" s="38"/>
      <c r="J2801" s="3"/>
      <c r="K2801" s="3"/>
      <c r="L2801" s="39"/>
      <c r="N2801" s="3"/>
      <c r="O2801" s="3"/>
      <c r="P2801" s="39"/>
      <c r="R2801" s="39"/>
    </row>
    <row r="2802" spans="2:18" x14ac:dyDescent="0.2">
      <c r="B2802" s="1"/>
      <c r="C2802" s="2"/>
      <c r="D2802" s="38"/>
      <c r="F2802" s="1"/>
      <c r="G2802" s="2"/>
      <c r="H2802" s="38"/>
      <c r="J2802" s="3"/>
      <c r="K2802" s="3"/>
      <c r="L2802" s="39"/>
      <c r="N2802" s="3"/>
      <c r="O2802" s="3"/>
      <c r="P2802" s="39"/>
      <c r="R2802" s="39"/>
    </row>
    <row r="2803" spans="2:18" x14ac:dyDescent="0.2">
      <c r="B2803" s="1"/>
      <c r="C2803" s="2"/>
      <c r="D2803" s="38"/>
      <c r="F2803" s="1"/>
      <c r="G2803" s="2"/>
      <c r="H2803" s="38"/>
      <c r="J2803" s="3"/>
      <c r="K2803" s="3"/>
      <c r="L2803" s="39"/>
      <c r="N2803" s="3"/>
      <c r="O2803" s="3"/>
      <c r="P2803" s="39"/>
      <c r="R2803" s="39"/>
    </row>
    <row r="2804" spans="2:18" x14ac:dyDescent="0.2">
      <c r="B2804" s="1"/>
      <c r="C2804" s="2"/>
      <c r="D2804" s="38"/>
      <c r="F2804" s="1"/>
      <c r="G2804" s="2"/>
      <c r="H2804" s="38"/>
      <c r="J2804" s="3"/>
      <c r="K2804" s="3"/>
      <c r="L2804" s="39"/>
      <c r="N2804" s="3"/>
      <c r="O2804" s="3"/>
      <c r="P2804" s="39"/>
      <c r="R2804" s="39"/>
    </row>
    <row r="2805" spans="2:18" x14ac:dyDescent="0.2">
      <c r="B2805" s="1"/>
      <c r="C2805" s="2"/>
      <c r="D2805" s="38"/>
      <c r="F2805" s="1"/>
      <c r="G2805" s="2"/>
      <c r="H2805" s="38"/>
      <c r="J2805" s="3"/>
      <c r="K2805" s="3"/>
      <c r="L2805" s="39"/>
      <c r="N2805" s="3"/>
      <c r="O2805" s="3"/>
      <c r="P2805" s="39"/>
      <c r="R2805" s="39"/>
    </row>
    <row r="2806" spans="2:18" x14ac:dyDescent="0.2">
      <c r="B2806" s="1"/>
      <c r="C2806" s="2"/>
      <c r="D2806" s="38"/>
      <c r="F2806" s="1"/>
      <c r="G2806" s="2"/>
      <c r="H2806" s="38"/>
      <c r="J2806" s="3"/>
      <c r="K2806" s="3"/>
      <c r="L2806" s="39"/>
      <c r="N2806" s="3"/>
      <c r="O2806" s="3"/>
      <c r="P2806" s="39"/>
      <c r="R2806" s="39"/>
    </row>
    <row r="2807" spans="2:18" x14ac:dyDescent="0.2">
      <c r="B2807" s="1"/>
      <c r="C2807" s="2"/>
      <c r="D2807" s="38"/>
      <c r="F2807" s="1"/>
      <c r="G2807" s="2"/>
      <c r="H2807" s="38"/>
      <c r="J2807" s="3"/>
      <c r="K2807" s="3"/>
      <c r="L2807" s="39"/>
      <c r="N2807" s="3"/>
      <c r="O2807" s="3"/>
      <c r="P2807" s="39"/>
      <c r="R2807" s="39"/>
    </row>
    <row r="2808" spans="2:18" x14ac:dyDescent="0.2">
      <c r="B2808" s="1"/>
      <c r="C2808" s="2"/>
      <c r="D2808" s="38"/>
      <c r="F2808" s="1"/>
      <c r="G2808" s="2"/>
      <c r="H2808" s="38"/>
      <c r="J2808" s="3"/>
      <c r="K2808" s="3"/>
      <c r="L2808" s="39"/>
      <c r="N2808" s="3"/>
      <c r="O2808" s="3"/>
      <c r="P2808" s="39"/>
      <c r="R2808" s="39"/>
    </row>
    <row r="2809" spans="2:18" x14ac:dyDescent="0.2">
      <c r="B2809" s="1"/>
      <c r="C2809" s="2"/>
      <c r="D2809" s="38"/>
      <c r="F2809" s="1"/>
      <c r="G2809" s="2"/>
      <c r="H2809" s="38"/>
      <c r="J2809" s="3"/>
      <c r="K2809" s="3"/>
      <c r="L2809" s="39"/>
      <c r="N2809" s="3"/>
      <c r="O2809" s="3"/>
      <c r="P2809" s="39"/>
      <c r="R2809" s="39"/>
    </row>
    <row r="2810" spans="2:18" x14ac:dyDescent="0.2">
      <c r="B2810" s="1"/>
      <c r="C2810" s="2"/>
      <c r="D2810" s="38"/>
      <c r="F2810" s="1"/>
      <c r="G2810" s="2"/>
      <c r="H2810" s="38"/>
      <c r="J2810" s="3"/>
      <c r="K2810" s="3"/>
      <c r="L2810" s="39"/>
      <c r="N2810" s="3"/>
      <c r="O2810" s="3"/>
      <c r="P2810" s="39"/>
      <c r="R2810" s="39"/>
    </row>
    <row r="2811" spans="2:18" x14ac:dyDescent="0.2">
      <c r="B2811" s="1"/>
      <c r="C2811" s="2"/>
      <c r="D2811" s="38"/>
      <c r="F2811" s="1"/>
      <c r="G2811" s="2"/>
      <c r="H2811" s="38"/>
      <c r="J2811" s="3"/>
      <c r="K2811" s="3"/>
      <c r="L2811" s="39"/>
      <c r="N2811" s="3"/>
      <c r="O2811" s="3"/>
      <c r="P2811" s="39"/>
      <c r="R2811" s="39"/>
    </row>
    <row r="2812" spans="2:18" x14ac:dyDescent="0.2">
      <c r="B2812" s="1"/>
      <c r="C2812" s="2"/>
      <c r="D2812" s="38"/>
      <c r="F2812" s="1"/>
      <c r="G2812" s="2"/>
      <c r="H2812" s="38"/>
      <c r="J2812" s="3"/>
      <c r="K2812" s="3"/>
      <c r="L2812" s="39"/>
      <c r="N2812" s="3"/>
      <c r="O2812" s="3"/>
      <c r="P2812" s="39"/>
      <c r="R2812" s="39"/>
    </row>
    <row r="2813" spans="2:18" x14ac:dyDescent="0.2">
      <c r="B2813" s="1"/>
      <c r="C2813" s="2"/>
      <c r="D2813" s="38"/>
      <c r="F2813" s="1"/>
      <c r="G2813" s="2"/>
      <c r="H2813" s="38"/>
      <c r="J2813" s="3"/>
      <c r="K2813" s="3"/>
      <c r="L2813" s="39"/>
      <c r="N2813" s="3"/>
      <c r="O2813" s="3"/>
      <c r="P2813" s="39"/>
      <c r="R2813" s="39"/>
    </row>
    <row r="2814" spans="2:18" x14ac:dyDescent="0.2">
      <c r="B2814" s="1"/>
      <c r="C2814" s="2"/>
      <c r="D2814" s="38"/>
      <c r="F2814" s="1"/>
      <c r="G2814" s="2"/>
      <c r="H2814" s="38"/>
      <c r="J2814" s="3"/>
      <c r="K2814" s="3"/>
      <c r="L2814" s="39"/>
      <c r="N2814" s="3"/>
      <c r="O2814" s="3"/>
      <c r="P2814" s="39"/>
      <c r="R2814" s="39"/>
    </row>
    <row r="2815" spans="2:18" x14ac:dyDescent="0.2">
      <c r="B2815" s="1"/>
      <c r="C2815" s="2"/>
      <c r="D2815" s="38"/>
      <c r="F2815" s="1"/>
      <c r="G2815" s="2"/>
      <c r="H2815" s="38"/>
      <c r="J2815" s="3"/>
      <c r="K2815" s="3"/>
      <c r="L2815" s="39"/>
      <c r="N2815" s="3"/>
      <c r="O2815" s="3"/>
      <c r="P2815" s="39"/>
      <c r="R2815" s="39"/>
    </row>
    <row r="2816" spans="2:18" x14ac:dyDescent="0.2">
      <c r="B2816" s="1"/>
      <c r="C2816" s="2"/>
      <c r="D2816" s="38"/>
      <c r="F2816" s="1"/>
      <c r="G2816" s="2"/>
      <c r="H2816" s="38"/>
      <c r="J2816" s="3"/>
      <c r="K2816" s="3"/>
      <c r="L2816" s="39"/>
      <c r="N2816" s="3"/>
      <c r="O2816" s="3"/>
      <c r="P2816" s="39"/>
      <c r="R2816" s="39"/>
    </row>
    <row r="2817" spans="2:18" x14ac:dyDescent="0.2">
      <c r="B2817" s="1"/>
      <c r="C2817" s="2"/>
      <c r="D2817" s="38"/>
      <c r="F2817" s="1"/>
      <c r="G2817" s="2"/>
      <c r="H2817" s="38"/>
      <c r="J2817" s="3"/>
      <c r="K2817" s="3"/>
      <c r="L2817" s="39"/>
      <c r="N2817" s="3"/>
      <c r="O2817" s="3"/>
      <c r="P2817" s="39"/>
      <c r="R2817" s="39"/>
    </row>
    <row r="2818" spans="2:18" x14ac:dyDescent="0.2">
      <c r="B2818" s="1"/>
      <c r="C2818" s="2"/>
      <c r="D2818" s="38"/>
      <c r="F2818" s="1"/>
      <c r="G2818" s="2"/>
      <c r="H2818" s="38"/>
      <c r="J2818" s="3"/>
      <c r="K2818" s="3"/>
      <c r="L2818" s="39"/>
      <c r="N2818" s="3"/>
      <c r="O2818" s="3"/>
      <c r="P2818" s="39"/>
      <c r="R2818" s="39"/>
    </row>
    <row r="2819" spans="2:18" x14ac:dyDescent="0.2">
      <c r="B2819" s="1"/>
      <c r="C2819" s="2"/>
      <c r="D2819" s="38"/>
      <c r="F2819" s="1"/>
      <c r="G2819" s="2"/>
      <c r="H2819" s="38"/>
      <c r="J2819" s="3"/>
      <c r="K2819" s="3"/>
      <c r="L2819" s="39"/>
      <c r="N2819" s="3"/>
      <c r="O2819" s="3"/>
      <c r="P2819" s="39"/>
      <c r="R2819" s="39"/>
    </row>
    <row r="2820" spans="2:18" x14ac:dyDescent="0.2">
      <c r="B2820" s="1"/>
      <c r="C2820" s="2"/>
      <c r="D2820" s="38"/>
      <c r="F2820" s="1"/>
      <c r="G2820" s="2"/>
      <c r="H2820" s="38"/>
      <c r="J2820" s="3"/>
      <c r="K2820" s="3"/>
      <c r="L2820" s="39"/>
      <c r="N2820" s="3"/>
      <c r="O2820" s="3"/>
      <c r="P2820" s="39"/>
      <c r="R2820" s="39"/>
    </row>
    <row r="2821" spans="2:18" x14ac:dyDescent="0.2">
      <c r="B2821" s="1"/>
      <c r="C2821" s="2"/>
      <c r="D2821" s="38"/>
      <c r="F2821" s="1"/>
      <c r="G2821" s="2"/>
      <c r="H2821" s="38"/>
      <c r="J2821" s="3"/>
      <c r="K2821" s="3"/>
      <c r="L2821" s="39"/>
      <c r="N2821" s="3"/>
      <c r="O2821" s="3"/>
      <c r="P2821" s="39"/>
      <c r="R2821" s="39"/>
    </row>
    <row r="2822" spans="2:18" x14ac:dyDescent="0.2">
      <c r="B2822" s="1"/>
      <c r="C2822" s="2"/>
      <c r="D2822" s="38"/>
      <c r="F2822" s="1"/>
      <c r="G2822" s="2"/>
      <c r="H2822" s="38"/>
      <c r="J2822" s="3"/>
      <c r="K2822" s="3"/>
      <c r="L2822" s="39"/>
      <c r="N2822" s="3"/>
      <c r="O2822" s="3"/>
      <c r="P2822" s="39"/>
      <c r="R2822" s="39"/>
    </row>
    <row r="2823" spans="2:18" x14ac:dyDescent="0.2">
      <c r="B2823" s="1"/>
      <c r="C2823" s="2"/>
      <c r="D2823" s="38"/>
      <c r="F2823" s="1"/>
      <c r="G2823" s="2"/>
      <c r="H2823" s="38"/>
      <c r="J2823" s="3"/>
      <c r="K2823" s="3"/>
      <c r="L2823" s="39"/>
      <c r="N2823" s="3"/>
      <c r="O2823" s="3"/>
      <c r="P2823" s="39"/>
      <c r="R2823" s="39"/>
    </row>
    <row r="2824" spans="2:18" x14ac:dyDescent="0.2">
      <c r="B2824" s="1"/>
      <c r="C2824" s="2"/>
      <c r="D2824" s="38"/>
      <c r="F2824" s="1"/>
      <c r="G2824" s="2"/>
      <c r="H2824" s="38"/>
      <c r="J2824" s="3"/>
      <c r="K2824" s="3"/>
      <c r="L2824" s="39"/>
      <c r="N2824" s="3"/>
      <c r="O2824" s="3"/>
      <c r="P2824" s="39"/>
      <c r="R2824" s="39"/>
    </row>
    <row r="2825" spans="2:18" x14ac:dyDescent="0.2">
      <c r="B2825" s="1"/>
      <c r="C2825" s="2"/>
      <c r="D2825" s="38"/>
      <c r="F2825" s="1"/>
      <c r="G2825" s="2"/>
      <c r="H2825" s="38"/>
      <c r="J2825" s="3"/>
      <c r="K2825" s="3"/>
      <c r="L2825" s="39"/>
      <c r="N2825" s="3"/>
      <c r="O2825" s="3"/>
      <c r="P2825" s="39"/>
      <c r="R2825" s="39"/>
    </row>
    <row r="2826" spans="2:18" x14ac:dyDescent="0.2">
      <c r="B2826" s="1"/>
      <c r="C2826" s="2"/>
      <c r="D2826" s="38"/>
      <c r="F2826" s="1"/>
      <c r="G2826" s="2"/>
      <c r="H2826" s="38"/>
      <c r="J2826" s="3"/>
      <c r="K2826" s="3"/>
      <c r="L2826" s="39"/>
      <c r="N2826" s="3"/>
      <c r="O2826" s="3"/>
      <c r="P2826" s="39"/>
      <c r="R2826" s="39"/>
    </row>
    <row r="2827" spans="2:18" x14ac:dyDescent="0.2">
      <c r="B2827" s="1"/>
      <c r="C2827" s="2"/>
      <c r="D2827" s="38"/>
      <c r="F2827" s="1"/>
      <c r="G2827" s="2"/>
      <c r="H2827" s="38"/>
      <c r="J2827" s="3"/>
      <c r="K2827" s="3"/>
      <c r="L2827" s="39"/>
      <c r="N2827" s="3"/>
      <c r="O2827" s="3"/>
      <c r="P2827" s="39"/>
      <c r="R2827" s="39"/>
    </row>
    <row r="2828" spans="2:18" x14ac:dyDescent="0.2">
      <c r="B2828" s="1"/>
      <c r="C2828" s="2"/>
      <c r="D2828" s="38"/>
      <c r="F2828" s="1"/>
      <c r="G2828" s="2"/>
      <c r="H2828" s="38"/>
      <c r="J2828" s="3"/>
      <c r="K2828" s="3"/>
      <c r="L2828" s="39"/>
      <c r="N2828" s="3"/>
      <c r="O2828" s="3"/>
      <c r="P2828" s="39"/>
      <c r="R2828" s="39"/>
    </row>
    <row r="2829" spans="2:18" x14ac:dyDescent="0.2">
      <c r="B2829" s="1"/>
      <c r="C2829" s="2"/>
      <c r="D2829" s="38"/>
      <c r="F2829" s="1"/>
      <c r="G2829" s="2"/>
      <c r="H2829" s="38"/>
      <c r="J2829" s="3"/>
      <c r="K2829" s="3"/>
      <c r="L2829" s="39"/>
      <c r="N2829" s="3"/>
      <c r="O2829" s="3"/>
      <c r="P2829" s="39"/>
      <c r="R2829" s="39"/>
    </row>
    <row r="2830" spans="2:18" x14ac:dyDescent="0.2">
      <c r="B2830" s="1"/>
      <c r="C2830" s="2"/>
      <c r="D2830" s="38"/>
      <c r="F2830" s="1"/>
      <c r="G2830" s="2"/>
      <c r="H2830" s="38"/>
      <c r="J2830" s="3"/>
      <c r="K2830" s="3"/>
      <c r="L2830" s="39"/>
      <c r="N2830" s="3"/>
      <c r="O2830" s="3"/>
      <c r="P2830" s="39"/>
      <c r="R2830" s="39"/>
    </row>
    <row r="2831" spans="2:18" x14ac:dyDescent="0.2">
      <c r="B2831" s="1"/>
      <c r="C2831" s="2"/>
      <c r="D2831" s="38"/>
      <c r="F2831" s="1"/>
      <c r="G2831" s="2"/>
      <c r="H2831" s="38"/>
      <c r="J2831" s="3"/>
      <c r="K2831" s="3"/>
      <c r="L2831" s="39"/>
      <c r="N2831" s="3"/>
      <c r="O2831" s="3"/>
      <c r="P2831" s="39"/>
      <c r="R2831" s="39"/>
    </row>
    <row r="2832" spans="2:18" x14ac:dyDescent="0.2">
      <c r="B2832" s="1"/>
      <c r="C2832" s="2"/>
      <c r="D2832" s="38"/>
      <c r="F2832" s="1"/>
      <c r="G2832" s="2"/>
      <c r="H2832" s="38"/>
      <c r="J2832" s="3"/>
      <c r="K2832" s="3"/>
      <c r="L2832" s="39"/>
      <c r="N2832" s="3"/>
      <c r="O2832" s="3"/>
      <c r="P2832" s="39"/>
      <c r="R2832" s="39"/>
    </row>
    <row r="2833" spans="2:18" x14ac:dyDescent="0.2">
      <c r="B2833" s="1"/>
      <c r="C2833" s="2"/>
      <c r="D2833" s="38"/>
      <c r="F2833" s="1"/>
      <c r="G2833" s="2"/>
      <c r="H2833" s="38"/>
      <c r="J2833" s="3"/>
      <c r="K2833" s="3"/>
      <c r="L2833" s="39"/>
      <c r="N2833" s="3"/>
      <c r="O2833" s="3"/>
      <c r="P2833" s="39"/>
      <c r="R2833" s="39"/>
    </row>
    <row r="2834" spans="2:18" x14ac:dyDescent="0.2">
      <c r="B2834" s="1"/>
      <c r="C2834" s="2"/>
      <c r="D2834" s="38"/>
      <c r="F2834" s="1"/>
      <c r="G2834" s="2"/>
      <c r="H2834" s="38"/>
      <c r="J2834" s="3"/>
      <c r="K2834" s="3"/>
      <c r="L2834" s="39"/>
      <c r="N2834" s="3"/>
      <c r="O2834" s="3"/>
      <c r="P2834" s="39"/>
      <c r="R2834" s="39"/>
    </row>
    <row r="2835" spans="2:18" x14ac:dyDescent="0.2">
      <c r="B2835" s="1"/>
      <c r="C2835" s="2"/>
      <c r="D2835" s="38"/>
      <c r="F2835" s="1"/>
      <c r="G2835" s="2"/>
      <c r="H2835" s="38"/>
      <c r="J2835" s="3"/>
      <c r="K2835" s="3"/>
      <c r="L2835" s="39"/>
      <c r="N2835" s="3"/>
      <c r="O2835" s="3"/>
      <c r="P2835" s="39"/>
      <c r="R2835" s="39"/>
    </row>
    <row r="2836" spans="2:18" x14ac:dyDescent="0.2">
      <c r="B2836" s="1"/>
      <c r="C2836" s="2"/>
      <c r="D2836" s="38"/>
      <c r="F2836" s="1"/>
      <c r="G2836" s="2"/>
      <c r="H2836" s="38"/>
      <c r="J2836" s="3"/>
      <c r="K2836" s="3"/>
      <c r="L2836" s="39"/>
      <c r="N2836" s="3"/>
      <c r="O2836" s="3"/>
      <c r="P2836" s="39"/>
      <c r="R2836" s="39"/>
    </row>
    <row r="2837" spans="2:18" x14ac:dyDescent="0.2">
      <c r="B2837" s="1"/>
      <c r="C2837" s="2"/>
      <c r="D2837" s="38"/>
      <c r="F2837" s="1"/>
      <c r="G2837" s="2"/>
      <c r="H2837" s="38"/>
      <c r="J2837" s="3"/>
      <c r="K2837" s="3"/>
      <c r="L2837" s="39"/>
      <c r="N2837" s="3"/>
      <c r="O2837" s="3"/>
      <c r="P2837" s="39"/>
      <c r="R2837" s="39"/>
    </row>
    <row r="2838" spans="2:18" x14ac:dyDescent="0.2">
      <c r="B2838" s="1"/>
      <c r="C2838" s="2"/>
      <c r="D2838" s="38"/>
      <c r="F2838" s="1"/>
      <c r="G2838" s="2"/>
      <c r="H2838" s="38"/>
      <c r="J2838" s="3"/>
      <c r="K2838" s="3"/>
      <c r="L2838" s="39"/>
      <c r="N2838" s="3"/>
      <c r="O2838" s="3"/>
      <c r="P2838" s="39"/>
      <c r="R2838" s="39"/>
    </row>
    <row r="2839" spans="2:18" x14ac:dyDescent="0.2">
      <c r="B2839" s="1"/>
      <c r="C2839" s="2"/>
      <c r="D2839" s="38"/>
      <c r="F2839" s="1"/>
      <c r="G2839" s="2"/>
      <c r="H2839" s="38"/>
      <c r="J2839" s="3"/>
      <c r="K2839" s="3"/>
      <c r="L2839" s="39"/>
      <c r="N2839" s="3"/>
      <c r="O2839" s="3"/>
      <c r="P2839" s="39"/>
      <c r="R2839" s="39"/>
    </row>
    <row r="2840" spans="2:18" x14ac:dyDescent="0.2">
      <c r="B2840" s="1"/>
      <c r="C2840" s="2"/>
      <c r="D2840" s="38"/>
      <c r="F2840" s="1"/>
      <c r="G2840" s="2"/>
      <c r="H2840" s="38"/>
      <c r="J2840" s="3"/>
      <c r="K2840" s="3"/>
      <c r="L2840" s="39"/>
      <c r="N2840" s="3"/>
      <c r="O2840" s="3"/>
      <c r="P2840" s="39"/>
      <c r="R2840" s="39"/>
    </row>
    <row r="2841" spans="2:18" x14ac:dyDescent="0.2">
      <c r="B2841" s="1"/>
      <c r="C2841" s="2"/>
      <c r="D2841" s="38"/>
      <c r="F2841" s="1"/>
      <c r="G2841" s="2"/>
      <c r="H2841" s="38"/>
      <c r="J2841" s="3"/>
      <c r="K2841" s="3"/>
      <c r="L2841" s="39"/>
      <c r="N2841" s="3"/>
      <c r="O2841" s="3"/>
      <c r="P2841" s="39"/>
      <c r="R2841" s="39"/>
    </row>
    <row r="2842" spans="2:18" x14ac:dyDescent="0.2">
      <c r="B2842" s="1"/>
      <c r="C2842" s="2"/>
      <c r="D2842" s="38"/>
      <c r="F2842" s="1"/>
      <c r="G2842" s="2"/>
      <c r="H2842" s="38"/>
      <c r="J2842" s="3"/>
      <c r="K2842" s="3"/>
      <c r="L2842" s="39"/>
      <c r="N2842" s="3"/>
      <c r="O2842" s="3"/>
      <c r="P2842" s="39"/>
      <c r="R2842" s="39"/>
    </row>
    <row r="2843" spans="2:18" x14ac:dyDescent="0.2">
      <c r="B2843" s="1"/>
      <c r="C2843" s="2"/>
      <c r="D2843" s="38"/>
      <c r="F2843" s="1"/>
      <c r="G2843" s="2"/>
      <c r="H2843" s="38"/>
      <c r="J2843" s="3"/>
      <c r="K2843" s="3"/>
      <c r="L2843" s="39"/>
      <c r="N2843" s="3"/>
      <c r="O2843" s="3"/>
      <c r="P2843" s="39"/>
      <c r="R2843" s="39"/>
    </row>
    <row r="2844" spans="2:18" x14ac:dyDescent="0.2">
      <c r="B2844" s="1"/>
      <c r="C2844" s="2"/>
      <c r="D2844" s="38"/>
      <c r="F2844" s="1"/>
      <c r="G2844" s="2"/>
      <c r="H2844" s="38"/>
      <c r="J2844" s="3"/>
      <c r="K2844" s="3"/>
      <c r="L2844" s="39"/>
      <c r="N2844" s="3"/>
      <c r="O2844" s="3"/>
      <c r="P2844" s="39"/>
      <c r="R2844" s="39"/>
    </row>
    <row r="2845" spans="2:18" x14ac:dyDescent="0.2">
      <c r="B2845" s="1"/>
      <c r="C2845" s="2"/>
      <c r="D2845" s="38"/>
      <c r="F2845" s="1"/>
      <c r="G2845" s="2"/>
      <c r="H2845" s="38"/>
      <c r="J2845" s="3"/>
      <c r="K2845" s="3"/>
      <c r="L2845" s="39"/>
      <c r="N2845" s="3"/>
      <c r="O2845" s="3"/>
      <c r="P2845" s="39"/>
      <c r="R2845" s="39"/>
    </row>
    <row r="2846" spans="2:18" x14ac:dyDescent="0.2">
      <c r="B2846" s="1"/>
      <c r="C2846" s="2"/>
      <c r="D2846" s="38"/>
      <c r="F2846" s="1"/>
      <c r="G2846" s="2"/>
      <c r="H2846" s="38"/>
      <c r="J2846" s="3"/>
      <c r="K2846" s="3"/>
      <c r="L2846" s="39"/>
      <c r="N2846" s="3"/>
      <c r="O2846" s="3"/>
      <c r="P2846" s="39"/>
      <c r="R2846" s="39"/>
    </row>
    <row r="2847" spans="2:18" x14ac:dyDescent="0.2">
      <c r="B2847" s="1"/>
      <c r="C2847" s="2"/>
      <c r="D2847" s="38"/>
      <c r="F2847" s="1"/>
      <c r="G2847" s="2"/>
      <c r="H2847" s="38"/>
      <c r="J2847" s="3"/>
      <c r="K2847" s="3"/>
      <c r="L2847" s="39"/>
      <c r="N2847" s="3"/>
      <c r="O2847" s="3"/>
      <c r="P2847" s="39"/>
      <c r="R2847" s="39"/>
    </row>
    <row r="2848" spans="2:18" x14ac:dyDescent="0.2">
      <c r="B2848" s="1"/>
      <c r="C2848" s="2"/>
      <c r="D2848" s="38"/>
      <c r="F2848" s="1"/>
      <c r="G2848" s="2"/>
      <c r="H2848" s="38"/>
      <c r="J2848" s="3"/>
      <c r="K2848" s="3"/>
      <c r="L2848" s="39"/>
      <c r="N2848" s="3"/>
      <c r="O2848" s="3"/>
      <c r="P2848" s="39"/>
      <c r="R2848" s="39"/>
    </row>
    <row r="2849" spans="2:18" x14ac:dyDescent="0.2">
      <c r="B2849" s="1"/>
      <c r="C2849" s="2"/>
      <c r="D2849" s="38"/>
      <c r="F2849" s="1"/>
      <c r="G2849" s="2"/>
      <c r="H2849" s="38"/>
      <c r="J2849" s="3"/>
      <c r="K2849" s="3"/>
      <c r="L2849" s="39"/>
      <c r="N2849" s="3"/>
      <c r="O2849" s="3"/>
      <c r="P2849" s="39"/>
      <c r="R2849" s="39"/>
    </row>
    <row r="2850" spans="2:18" x14ac:dyDescent="0.2">
      <c r="B2850" s="1"/>
      <c r="C2850" s="2"/>
      <c r="D2850" s="38"/>
      <c r="F2850" s="1"/>
      <c r="G2850" s="2"/>
      <c r="H2850" s="38"/>
      <c r="J2850" s="3"/>
      <c r="K2850" s="3"/>
      <c r="L2850" s="39"/>
      <c r="N2850" s="3"/>
      <c r="O2850" s="3"/>
      <c r="P2850" s="39"/>
      <c r="R2850" s="39"/>
    </row>
    <row r="2851" spans="2:18" x14ac:dyDescent="0.2">
      <c r="B2851" s="1"/>
      <c r="C2851" s="2"/>
      <c r="D2851" s="38"/>
      <c r="F2851" s="1"/>
      <c r="G2851" s="2"/>
      <c r="H2851" s="38"/>
      <c r="J2851" s="3"/>
      <c r="K2851" s="3"/>
      <c r="L2851" s="39"/>
      <c r="N2851" s="3"/>
      <c r="O2851" s="3"/>
      <c r="P2851" s="39"/>
      <c r="R2851" s="39"/>
    </row>
    <row r="2852" spans="2:18" x14ac:dyDescent="0.2">
      <c r="B2852" s="1"/>
      <c r="C2852" s="2"/>
      <c r="D2852" s="38"/>
      <c r="F2852" s="1"/>
      <c r="G2852" s="2"/>
      <c r="H2852" s="38"/>
      <c r="J2852" s="3"/>
      <c r="K2852" s="3"/>
      <c r="L2852" s="39"/>
      <c r="N2852" s="3"/>
      <c r="O2852" s="3"/>
      <c r="P2852" s="39"/>
      <c r="R2852" s="39"/>
    </row>
    <row r="2853" spans="2:18" x14ac:dyDescent="0.2">
      <c r="B2853" s="1"/>
      <c r="C2853" s="2"/>
      <c r="D2853" s="38"/>
      <c r="F2853" s="1"/>
      <c r="G2853" s="2"/>
      <c r="H2853" s="38"/>
      <c r="J2853" s="3"/>
      <c r="K2853" s="3"/>
      <c r="L2853" s="39"/>
      <c r="N2853" s="3"/>
      <c r="O2853" s="3"/>
      <c r="P2853" s="39"/>
      <c r="R2853" s="39"/>
    </row>
    <row r="2854" spans="2:18" x14ac:dyDescent="0.2">
      <c r="B2854" s="1"/>
      <c r="C2854" s="2"/>
      <c r="D2854" s="38"/>
      <c r="F2854" s="1"/>
      <c r="G2854" s="2"/>
      <c r="H2854" s="38"/>
      <c r="J2854" s="3"/>
      <c r="K2854" s="3"/>
      <c r="L2854" s="39"/>
      <c r="N2854" s="3"/>
      <c r="O2854" s="3"/>
      <c r="P2854" s="39"/>
      <c r="R2854" s="39"/>
    </row>
    <row r="2855" spans="2:18" x14ac:dyDescent="0.2">
      <c r="B2855" s="1"/>
      <c r="C2855" s="2"/>
      <c r="D2855" s="38"/>
      <c r="F2855" s="1"/>
      <c r="G2855" s="2"/>
      <c r="H2855" s="38"/>
      <c r="J2855" s="3"/>
      <c r="K2855" s="3"/>
      <c r="L2855" s="39"/>
      <c r="N2855" s="3"/>
      <c r="O2855" s="3"/>
      <c r="P2855" s="39"/>
      <c r="R2855" s="3"/>
    </row>
    <row r="2856" spans="2:18" x14ac:dyDescent="0.2">
      <c r="B2856" s="1"/>
      <c r="C2856" s="2"/>
      <c r="D2856" s="38"/>
      <c r="F2856" s="1"/>
      <c r="G2856" s="2"/>
      <c r="H2856" s="38"/>
      <c r="J2856" s="3"/>
      <c r="K2856" s="3"/>
      <c r="L2856" s="39"/>
      <c r="N2856" s="3"/>
      <c r="O2856" s="3"/>
      <c r="P2856" s="39"/>
      <c r="R2856" s="3"/>
    </row>
    <row r="2857" spans="2:18" x14ac:dyDescent="0.2">
      <c r="B2857" s="1"/>
      <c r="C2857" s="2"/>
      <c r="D2857" s="38"/>
      <c r="F2857" s="1"/>
      <c r="G2857" s="2"/>
      <c r="H2857" s="38"/>
      <c r="J2857" s="3"/>
      <c r="K2857" s="3"/>
      <c r="L2857" s="39"/>
      <c r="N2857" s="3"/>
      <c r="O2857" s="3"/>
      <c r="P2857" s="39"/>
      <c r="R2857" s="3"/>
    </row>
    <row r="2858" spans="2:18" x14ac:dyDescent="0.2">
      <c r="B2858" s="1"/>
      <c r="C2858" s="2"/>
      <c r="D2858" s="38"/>
      <c r="F2858" s="1"/>
      <c r="G2858" s="2"/>
      <c r="H2858" s="38"/>
      <c r="J2858" s="3"/>
      <c r="K2858" s="3"/>
      <c r="L2858" s="39"/>
      <c r="N2858" s="3"/>
      <c r="O2858" s="3"/>
      <c r="P2858" s="39"/>
      <c r="R2858" s="3"/>
    </row>
    <row r="2859" spans="2:18" x14ac:dyDescent="0.2">
      <c r="B2859" s="3"/>
      <c r="C2859" s="2"/>
      <c r="D2859" s="2"/>
      <c r="F2859" s="1"/>
      <c r="G2859" s="2"/>
      <c r="H2859" s="38"/>
      <c r="J2859" s="3"/>
      <c r="K2859" s="3"/>
      <c r="L2859" s="3"/>
      <c r="N2859" s="3"/>
      <c r="O2859" s="3"/>
      <c r="P2859" s="39"/>
      <c r="R2859" s="3"/>
    </row>
    <row r="2860" spans="2:18" x14ac:dyDescent="0.2">
      <c r="B2860" s="1"/>
      <c r="C2860" s="2"/>
      <c r="D2860" s="2"/>
      <c r="F2860" s="1"/>
      <c r="G2860" s="2"/>
      <c r="H2860" s="38"/>
      <c r="J2860" s="3"/>
      <c r="K2860" s="3"/>
      <c r="L2860" s="3"/>
      <c r="N2860" s="3"/>
      <c r="O2860" s="3"/>
      <c r="P2860" s="39"/>
      <c r="R2860" s="3"/>
    </row>
    <row r="2861" spans="2:18" x14ac:dyDescent="0.2">
      <c r="B2861" s="1"/>
      <c r="C2861" s="2"/>
      <c r="D2861" s="2"/>
      <c r="F2861" s="1"/>
      <c r="G2861" s="2"/>
      <c r="H2861" s="38"/>
      <c r="J2861" s="3"/>
      <c r="K2861" s="3"/>
      <c r="L2861" s="3"/>
      <c r="N2861" s="3"/>
      <c r="O2861" s="3"/>
      <c r="P2861" s="39"/>
      <c r="R2861" s="3"/>
    </row>
    <row r="2862" spans="2:18" x14ac:dyDescent="0.2">
      <c r="B2862" s="1"/>
      <c r="C2862" s="2"/>
      <c r="D2862" s="2"/>
      <c r="F2862" s="1"/>
      <c r="G2862" s="2"/>
      <c r="H2862" s="38"/>
      <c r="J2862" s="3"/>
      <c r="K2862" s="3"/>
      <c r="L2862" s="3"/>
      <c r="N2862" s="3"/>
      <c r="O2862" s="3"/>
      <c r="P2862" s="39"/>
      <c r="R2862" s="3"/>
    </row>
    <row r="2863" spans="2:18" x14ac:dyDescent="0.2">
      <c r="B2863" s="1"/>
      <c r="C2863" s="2"/>
      <c r="D2863" s="2"/>
      <c r="F2863" s="1"/>
      <c r="G2863" s="2"/>
      <c r="H2863" s="38"/>
      <c r="J2863" s="3"/>
      <c r="K2863" s="3"/>
      <c r="L2863" s="3"/>
      <c r="N2863" s="3"/>
      <c r="O2863" s="3"/>
      <c r="P2863" s="39"/>
      <c r="R2863" s="3"/>
    </row>
    <row r="2864" spans="2:18" x14ac:dyDescent="0.2">
      <c r="B2864" s="1"/>
      <c r="C2864" s="2"/>
      <c r="D2864" s="2"/>
      <c r="F2864" s="1"/>
      <c r="G2864" s="2"/>
      <c r="H2864" s="38"/>
      <c r="J2864" s="3"/>
      <c r="K2864" s="3"/>
      <c r="L2864" s="3"/>
      <c r="N2864" s="3"/>
      <c r="O2864" s="3"/>
      <c r="P2864" s="39"/>
      <c r="R2864" s="3"/>
    </row>
    <row r="2865" spans="2:18" x14ac:dyDescent="0.2">
      <c r="B2865" s="1"/>
      <c r="C2865" s="2"/>
      <c r="D2865" s="2"/>
      <c r="F2865" s="1"/>
      <c r="G2865" s="2"/>
      <c r="H2865" s="38"/>
      <c r="J2865" s="3"/>
      <c r="K2865" s="3"/>
      <c r="L2865" s="3"/>
      <c r="N2865" s="3"/>
      <c r="O2865" s="3"/>
      <c r="P2865" s="39"/>
      <c r="R2865" s="3"/>
    </row>
    <row r="2866" spans="2:18" x14ac:dyDescent="0.2">
      <c r="B2866" s="1"/>
      <c r="C2866" s="2"/>
      <c r="D2866" s="2"/>
      <c r="F2866" s="1"/>
      <c r="G2866" s="2"/>
      <c r="H2866" s="38"/>
      <c r="J2866" s="3"/>
      <c r="K2866" s="3"/>
      <c r="L2866" s="3"/>
      <c r="N2866" s="3"/>
      <c r="O2866" s="3"/>
      <c r="P2866" s="39"/>
      <c r="R2866" s="3"/>
    </row>
    <row r="2867" spans="2:18" x14ac:dyDescent="0.2">
      <c r="B2867" s="1"/>
      <c r="C2867" s="2"/>
      <c r="D2867" s="2"/>
      <c r="F2867" s="1"/>
      <c r="G2867" s="2"/>
      <c r="H2867" s="38"/>
      <c r="J2867" s="3"/>
      <c r="K2867" s="3"/>
      <c r="L2867" s="3"/>
      <c r="N2867" s="3"/>
      <c r="O2867" s="3"/>
      <c r="P2867" s="39"/>
      <c r="R2867" s="3"/>
    </row>
    <row r="2868" spans="2:18" x14ac:dyDescent="0.2">
      <c r="B2868" s="1"/>
      <c r="C2868" s="2"/>
      <c r="D2868" s="2"/>
      <c r="F2868" s="1"/>
      <c r="G2868" s="2"/>
      <c r="H2868" s="38"/>
      <c r="J2868" s="3"/>
      <c r="K2868" s="3"/>
      <c r="L2868" s="3"/>
      <c r="N2868" s="3"/>
      <c r="O2868" s="3"/>
      <c r="P2868" s="39"/>
      <c r="R2868" s="3"/>
    </row>
    <row r="2869" spans="2:18" x14ac:dyDescent="0.2">
      <c r="B2869" s="1"/>
      <c r="C2869" s="2"/>
      <c r="D2869" s="2"/>
      <c r="F2869" s="1"/>
      <c r="G2869" s="2"/>
      <c r="H2869" s="38"/>
      <c r="J2869" s="3"/>
      <c r="K2869" s="3"/>
      <c r="L2869" s="3"/>
      <c r="N2869" s="3"/>
      <c r="O2869" s="3"/>
      <c r="P2869" s="39"/>
      <c r="R2869" s="3"/>
    </row>
    <row r="2870" spans="2:18" x14ac:dyDescent="0.2">
      <c r="B2870" s="1"/>
      <c r="C2870" s="2"/>
      <c r="D2870" s="2"/>
      <c r="F2870" s="1"/>
      <c r="G2870" s="2"/>
      <c r="H2870" s="38"/>
      <c r="J2870" s="3"/>
      <c r="K2870" s="3"/>
      <c r="L2870" s="3"/>
      <c r="N2870" s="3"/>
      <c r="O2870" s="3"/>
      <c r="P2870" s="39"/>
      <c r="R2870" s="3"/>
    </row>
    <row r="2871" spans="2:18" x14ac:dyDescent="0.2">
      <c r="B2871" s="1"/>
      <c r="C2871" s="2"/>
      <c r="D2871" s="2"/>
      <c r="F2871" s="1"/>
      <c r="G2871" s="2"/>
      <c r="H2871" s="38"/>
      <c r="J2871" s="3"/>
      <c r="K2871" s="3"/>
      <c r="L2871" s="3"/>
      <c r="N2871" s="3"/>
      <c r="O2871" s="3"/>
      <c r="P2871" s="39"/>
      <c r="R2871" s="3"/>
    </row>
    <row r="2872" spans="2:18" x14ac:dyDescent="0.2">
      <c r="B2872" s="1"/>
      <c r="C2872" s="2"/>
      <c r="D2872" s="2"/>
      <c r="F2872" s="1"/>
      <c r="G2872" s="2"/>
      <c r="H2872" s="38"/>
      <c r="J2872" s="3"/>
      <c r="K2872" s="3"/>
      <c r="L2872" s="3"/>
      <c r="N2872" s="3"/>
      <c r="O2872" s="3"/>
      <c r="P2872" s="39"/>
      <c r="R2872" s="3"/>
    </row>
    <row r="2873" spans="2:18" x14ac:dyDescent="0.2">
      <c r="B2873" s="1"/>
      <c r="C2873" s="2"/>
      <c r="D2873" s="2"/>
      <c r="F2873" s="1"/>
      <c r="G2873" s="2"/>
      <c r="H2873" s="38"/>
      <c r="J2873" s="3"/>
      <c r="K2873" s="3"/>
      <c r="L2873" s="3"/>
      <c r="N2873" s="3"/>
      <c r="O2873" s="3"/>
      <c r="P2873" s="39"/>
      <c r="R2873" s="3"/>
    </row>
    <row r="2874" spans="2:18" x14ac:dyDescent="0.2">
      <c r="B2874" s="1"/>
      <c r="C2874" s="2"/>
      <c r="D2874" s="2"/>
      <c r="F2874" s="1"/>
      <c r="G2874" s="2"/>
      <c r="H2874" s="38"/>
      <c r="J2874" s="3"/>
      <c r="K2874" s="3"/>
      <c r="L2874" s="3"/>
      <c r="N2874" s="3"/>
      <c r="O2874" s="3"/>
      <c r="P2874" s="39"/>
      <c r="R2874" s="3"/>
    </row>
    <row r="2875" spans="2:18" x14ac:dyDescent="0.2">
      <c r="B2875" s="1"/>
      <c r="C2875" s="2"/>
      <c r="D2875" s="2"/>
      <c r="F2875" s="1"/>
      <c r="G2875" s="2"/>
      <c r="H2875" s="38"/>
      <c r="J2875" s="3"/>
      <c r="K2875" s="3"/>
      <c r="L2875" s="3"/>
      <c r="N2875" s="3"/>
      <c r="O2875" s="3"/>
      <c r="P2875" s="39"/>
      <c r="R2875" s="3"/>
    </row>
    <row r="2876" spans="2:18" x14ac:dyDescent="0.2">
      <c r="B2876" s="1"/>
      <c r="C2876" s="2"/>
      <c r="D2876" s="2"/>
      <c r="F2876" s="1"/>
      <c r="G2876" s="2"/>
      <c r="H2876" s="38"/>
      <c r="J2876" s="3"/>
      <c r="K2876" s="3"/>
      <c r="L2876" s="3"/>
      <c r="N2876" s="3"/>
      <c r="O2876" s="3"/>
      <c r="P2876" s="39"/>
      <c r="R2876" s="3"/>
    </row>
    <row r="2877" spans="2:18" x14ac:dyDescent="0.2">
      <c r="B2877" s="1"/>
      <c r="C2877" s="2"/>
      <c r="D2877" s="2"/>
      <c r="F2877" s="1"/>
      <c r="G2877" s="2"/>
      <c r="H2877" s="38"/>
      <c r="J2877" s="3"/>
      <c r="K2877" s="3"/>
      <c r="L2877" s="3"/>
      <c r="N2877" s="3"/>
      <c r="O2877" s="3"/>
      <c r="P2877" s="39"/>
      <c r="R2877" s="3"/>
    </row>
    <row r="2878" spans="2:18" x14ac:dyDescent="0.2">
      <c r="B2878" s="1"/>
      <c r="C2878" s="2"/>
      <c r="D2878" s="2"/>
      <c r="F2878" s="1"/>
      <c r="G2878" s="2"/>
      <c r="H2878" s="38"/>
      <c r="J2878" s="3"/>
      <c r="K2878" s="3"/>
      <c r="L2878" s="3"/>
      <c r="N2878" s="3"/>
      <c r="O2878" s="3"/>
      <c r="P2878" s="39"/>
      <c r="R2878" s="3"/>
    </row>
    <row r="2879" spans="2:18" x14ac:dyDescent="0.2">
      <c r="B2879" s="1"/>
      <c r="C2879" s="2"/>
      <c r="D2879" s="2"/>
      <c r="F2879" s="1"/>
      <c r="G2879" s="2"/>
      <c r="H2879" s="38"/>
      <c r="J2879" s="3"/>
      <c r="K2879" s="3"/>
      <c r="L2879" s="3"/>
      <c r="N2879" s="3"/>
      <c r="O2879" s="3"/>
      <c r="P2879" s="39"/>
      <c r="R2879" s="3"/>
    </row>
    <row r="2880" spans="2:18" x14ac:dyDescent="0.2">
      <c r="B2880" s="1"/>
      <c r="C2880" s="2"/>
      <c r="D2880" s="2"/>
      <c r="F2880" s="1"/>
      <c r="G2880" s="2"/>
      <c r="H2880" s="38"/>
      <c r="J2880" s="3"/>
      <c r="K2880" s="3"/>
      <c r="L2880" s="3"/>
      <c r="N2880" s="3"/>
      <c r="O2880" s="3"/>
      <c r="P2880" s="39"/>
      <c r="R2880" s="3"/>
    </row>
    <row r="2881" spans="2:18" x14ac:dyDescent="0.2">
      <c r="B2881" s="1"/>
      <c r="C2881" s="2"/>
      <c r="D2881" s="2"/>
      <c r="F2881" s="1"/>
      <c r="G2881" s="2"/>
      <c r="H2881" s="38"/>
      <c r="J2881" s="3"/>
      <c r="K2881" s="3"/>
      <c r="L2881" s="3"/>
      <c r="N2881" s="3"/>
      <c r="O2881" s="3"/>
      <c r="P2881" s="39"/>
      <c r="R2881" s="3"/>
    </row>
    <row r="2882" spans="2:18" x14ac:dyDescent="0.2">
      <c r="B2882" s="1"/>
      <c r="C2882" s="2"/>
      <c r="D2882" s="2"/>
      <c r="F2882" s="1"/>
      <c r="G2882" s="2"/>
      <c r="H2882" s="38"/>
      <c r="J2882" s="3"/>
      <c r="K2882" s="3"/>
      <c r="L2882" s="3"/>
      <c r="N2882" s="3"/>
      <c r="O2882" s="3"/>
      <c r="P2882" s="39"/>
      <c r="R2882" s="3"/>
    </row>
    <row r="2883" spans="2:18" x14ac:dyDescent="0.2">
      <c r="B2883" s="1"/>
      <c r="C2883" s="2"/>
      <c r="D2883" s="2"/>
      <c r="F2883" s="1"/>
      <c r="G2883" s="2"/>
      <c r="H2883" s="38"/>
      <c r="J2883" s="3"/>
      <c r="K2883" s="3"/>
      <c r="L2883" s="3"/>
      <c r="N2883" s="3"/>
      <c r="O2883" s="3"/>
      <c r="P2883" s="39"/>
      <c r="R2883" s="3"/>
    </row>
    <row r="2884" spans="2:18" x14ac:dyDescent="0.2">
      <c r="B2884" s="1"/>
      <c r="C2884" s="2"/>
      <c r="D2884" s="2"/>
      <c r="F2884" s="1"/>
      <c r="G2884" s="2"/>
      <c r="H2884" s="38"/>
      <c r="J2884" s="3"/>
      <c r="K2884" s="3"/>
      <c r="L2884" s="3"/>
      <c r="N2884" s="3"/>
      <c r="O2884" s="3"/>
      <c r="P2884" s="39"/>
      <c r="R2884" s="3"/>
    </row>
    <row r="2885" spans="2:18" x14ac:dyDescent="0.2">
      <c r="B2885" s="1"/>
      <c r="C2885" s="2"/>
      <c r="D2885" s="2"/>
      <c r="F2885" s="1"/>
      <c r="G2885" s="2"/>
      <c r="H2885" s="38"/>
      <c r="J2885" s="3"/>
      <c r="K2885" s="3"/>
      <c r="L2885" s="3"/>
      <c r="N2885" s="3"/>
      <c r="O2885" s="3"/>
      <c r="P2885" s="39"/>
      <c r="R2885" s="3"/>
    </row>
    <row r="2886" spans="2:18" x14ac:dyDescent="0.2">
      <c r="B2886" s="1"/>
      <c r="C2886" s="2"/>
      <c r="D2886" s="2"/>
      <c r="F2886" s="1"/>
      <c r="G2886" s="2"/>
      <c r="H2886" s="38"/>
      <c r="J2886" s="3"/>
      <c r="K2886" s="3"/>
      <c r="L2886" s="3"/>
      <c r="N2886" s="3"/>
      <c r="O2886" s="3"/>
      <c r="P2886" s="39"/>
      <c r="R2886" s="3"/>
    </row>
    <row r="2887" spans="2:18" x14ac:dyDescent="0.2">
      <c r="B2887" s="1"/>
      <c r="C2887" s="2"/>
      <c r="D2887" s="2"/>
      <c r="F2887" s="1"/>
      <c r="G2887" s="2"/>
      <c r="H2887" s="38"/>
      <c r="J2887" s="3"/>
      <c r="K2887" s="3"/>
      <c r="L2887" s="3"/>
      <c r="N2887" s="3"/>
      <c r="O2887" s="3"/>
      <c r="P2887" s="39"/>
      <c r="R2887" s="3"/>
    </row>
    <row r="2888" spans="2:18" x14ac:dyDescent="0.2">
      <c r="B2888" s="1"/>
      <c r="C2888" s="2"/>
      <c r="D2888" s="2"/>
      <c r="F2888" s="1"/>
      <c r="G2888" s="2"/>
      <c r="H2888" s="38"/>
      <c r="J2888" s="3"/>
      <c r="K2888" s="3"/>
      <c r="L2888" s="3"/>
      <c r="N2888" s="3"/>
      <c r="O2888" s="3"/>
      <c r="P2888" s="39"/>
      <c r="R2888" s="3"/>
    </row>
    <row r="2889" spans="2:18" x14ac:dyDescent="0.2">
      <c r="B2889" s="1"/>
      <c r="C2889" s="2"/>
      <c r="D2889" s="2"/>
      <c r="F2889" s="1"/>
      <c r="G2889" s="2"/>
      <c r="H2889" s="38"/>
      <c r="J2889" s="3"/>
      <c r="K2889" s="3"/>
      <c r="L2889" s="3"/>
      <c r="N2889" s="3"/>
      <c r="O2889" s="3"/>
      <c r="P2889" s="39"/>
      <c r="R2889" s="3"/>
    </row>
    <row r="2890" spans="2:18" x14ac:dyDescent="0.2">
      <c r="B2890" s="1"/>
      <c r="C2890" s="2"/>
      <c r="D2890" s="2"/>
      <c r="F2890" s="1"/>
      <c r="G2890" s="2"/>
      <c r="H2890" s="38"/>
      <c r="J2890" s="3"/>
      <c r="K2890" s="3"/>
      <c r="L2890" s="3"/>
      <c r="N2890" s="3"/>
      <c r="O2890" s="3"/>
      <c r="P2890" s="39"/>
      <c r="R2890" s="3"/>
    </row>
    <row r="2891" spans="2:18" x14ac:dyDescent="0.2">
      <c r="B2891" s="1"/>
      <c r="C2891" s="2"/>
      <c r="D2891" s="2"/>
      <c r="F2891" s="1"/>
      <c r="G2891" s="2"/>
      <c r="H2891" s="38"/>
      <c r="J2891" s="3"/>
      <c r="K2891" s="3"/>
      <c r="L2891" s="3"/>
      <c r="N2891" s="3"/>
      <c r="O2891" s="3"/>
      <c r="P2891" s="39"/>
      <c r="R2891" s="3"/>
    </row>
    <row r="2892" spans="2:18" x14ac:dyDescent="0.2">
      <c r="B2892" s="1"/>
      <c r="C2892" s="2"/>
      <c r="D2892" s="2"/>
      <c r="F2892" s="1"/>
      <c r="G2892" s="2"/>
      <c r="H2892" s="38"/>
      <c r="J2892" s="3"/>
      <c r="K2892" s="3"/>
      <c r="L2892" s="3"/>
      <c r="N2892" s="3"/>
      <c r="O2892" s="3"/>
      <c r="P2892" s="39"/>
      <c r="R2892" s="3"/>
    </row>
    <row r="2893" spans="2:18" x14ac:dyDescent="0.2">
      <c r="B2893" s="1"/>
      <c r="C2893" s="2"/>
      <c r="D2893" s="2"/>
      <c r="F2893" s="1"/>
      <c r="G2893" s="2"/>
      <c r="H2893" s="38"/>
      <c r="J2893" s="3"/>
      <c r="K2893" s="3"/>
      <c r="L2893" s="3"/>
      <c r="N2893" s="3"/>
      <c r="O2893" s="3"/>
      <c r="P2893" s="39"/>
      <c r="R2893" s="3"/>
    </row>
    <row r="2894" spans="2:18" x14ac:dyDescent="0.2">
      <c r="B2894" s="1"/>
      <c r="C2894" s="2"/>
      <c r="D2894" s="2"/>
      <c r="F2894" s="1"/>
      <c r="G2894" s="2"/>
      <c r="H2894" s="38"/>
      <c r="J2894" s="3"/>
      <c r="K2894" s="3"/>
      <c r="L2894" s="3"/>
      <c r="N2894" s="3"/>
      <c r="O2894" s="3"/>
      <c r="P2894" s="39"/>
      <c r="R2894" s="3"/>
    </row>
    <row r="2895" spans="2:18" x14ac:dyDescent="0.2">
      <c r="B2895" s="1"/>
      <c r="C2895" s="2"/>
      <c r="D2895" s="2"/>
      <c r="F2895" s="1"/>
      <c r="G2895" s="2"/>
      <c r="H2895" s="38"/>
      <c r="J2895" s="3"/>
      <c r="K2895" s="3"/>
      <c r="L2895" s="3"/>
      <c r="N2895" s="3"/>
      <c r="O2895" s="3"/>
      <c r="P2895" s="39"/>
      <c r="R2895" s="3"/>
    </row>
    <row r="2896" spans="2:18" x14ac:dyDescent="0.2">
      <c r="B2896" s="1"/>
      <c r="C2896" s="2"/>
      <c r="D2896" s="2"/>
      <c r="F2896" s="1"/>
      <c r="G2896" s="2"/>
      <c r="H2896" s="38"/>
      <c r="J2896" s="3"/>
      <c r="K2896" s="3"/>
      <c r="L2896" s="3"/>
      <c r="N2896" s="3"/>
      <c r="O2896" s="3"/>
      <c r="P2896" s="39"/>
      <c r="R2896" s="3"/>
    </row>
    <row r="2897" spans="2:18" x14ac:dyDescent="0.2">
      <c r="B2897" s="1"/>
      <c r="C2897" s="2"/>
      <c r="D2897" s="2"/>
      <c r="F2897" s="1"/>
      <c r="G2897" s="2"/>
      <c r="H2897" s="38"/>
      <c r="J2897" s="3"/>
      <c r="K2897" s="3"/>
      <c r="L2897" s="3"/>
      <c r="N2897" s="3"/>
      <c r="O2897" s="3"/>
      <c r="P2897" s="39"/>
      <c r="R2897" s="3"/>
    </row>
    <row r="2898" spans="2:18" x14ac:dyDescent="0.2">
      <c r="B2898" s="1"/>
      <c r="C2898" s="2"/>
      <c r="D2898" s="2"/>
      <c r="F2898" s="1"/>
      <c r="G2898" s="2"/>
      <c r="H2898" s="38"/>
      <c r="J2898" s="3"/>
      <c r="K2898" s="3"/>
      <c r="L2898" s="3"/>
      <c r="N2898" s="3"/>
      <c r="O2898" s="3"/>
      <c r="P2898" s="39"/>
      <c r="R2898" s="3"/>
    </row>
    <row r="2899" spans="2:18" x14ac:dyDescent="0.2">
      <c r="B2899" s="1"/>
      <c r="C2899" s="2"/>
      <c r="D2899" s="2"/>
      <c r="F2899" s="1"/>
      <c r="G2899" s="2"/>
      <c r="H2899" s="38"/>
      <c r="J2899" s="3"/>
      <c r="K2899" s="3"/>
      <c r="L2899" s="3"/>
      <c r="N2899" s="3"/>
      <c r="O2899" s="3"/>
      <c r="P2899" s="39"/>
      <c r="R2899" s="3"/>
    </row>
    <row r="2900" spans="2:18" x14ac:dyDescent="0.2">
      <c r="B2900" s="1"/>
      <c r="C2900" s="2"/>
      <c r="D2900" s="2"/>
      <c r="F2900" s="1"/>
      <c r="G2900" s="2"/>
      <c r="H2900" s="38"/>
      <c r="J2900" s="3"/>
      <c r="K2900" s="3"/>
      <c r="L2900" s="3"/>
      <c r="N2900" s="3"/>
      <c r="O2900" s="3"/>
      <c r="P2900" s="39"/>
      <c r="R2900" s="3"/>
    </row>
    <row r="2901" spans="2:18" x14ac:dyDescent="0.2">
      <c r="B2901" s="1"/>
      <c r="C2901" s="2"/>
      <c r="D2901" s="2"/>
      <c r="F2901" s="1"/>
      <c r="G2901" s="2"/>
      <c r="H2901" s="38"/>
      <c r="J2901" s="3"/>
      <c r="K2901" s="3"/>
      <c r="L2901" s="3"/>
      <c r="N2901" s="3"/>
      <c r="O2901" s="3"/>
      <c r="P2901" s="39"/>
      <c r="R2901" s="3"/>
    </row>
    <row r="2902" spans="2:18" x14ac:dyDescent="0.2">
      <c r="B2902" s="1"/>
      <c r="C2902" s="2"/>
      <c r="D2902" s="2"/>
      <c r="F2902" s="1"/>
      <c r="G2902" s="2"/>
      <c r="H2902" s="38"/>
      <c r="J2902" s="3"/>
      <c r="K2902" s="3"/>
      <c r="L2902" s="3"/>
      <c r="N2902" s="3"/>
      <c r="O2902" s="3"/>
      <c r="P2902" s="39"/>
      <c r="R2902" s="3"/>
    </row>
    <row r="2903" spans="2:18" x14ac:dyDescent="0.2">
      <c r="B2903" s="1"/>
      <c r="C2903" s="2"/>
      <c r="D2903" s="2"/>
      <c r="F2903" s="1"/>
      <c r="G2903" s="2"/>
      <c r="H2903" s="38"/>
      <c r="J2903" s="3"/>
      <c r="K2903" s="3"/>
      <c r="L2903" s="3"/>
      <c r="N2903" s="3"/>
      <c r="O2903" s="3"/>
      <c r="P2903" s="39"/>
      <c r="R2903" s="3"/>
    </row>
    <row r="2904" spans="2:18" x14ac:dyDescent="0.2">
      <c r="B2904" s="1"/>
      <c r="C2904" s="2"/>
      <c r="D2904" s="2"/>
      <c r="F2904" s="1"/>
      <c r="G2904" s="2"/>
      <c r="H2904" s="38"/>
      <c r="J2904" s="3"/>
      <c r="K2904" s="3"/>
      <c r="L2904" s="3"/>
      <c r="N2904" s="3"/>
      <c r="O2904" s="3"/>
      <c r="P2904" s="39"/>
      <c r="R2904" s="3"/>
    </row>
    <row r="2905" spans="2:18" x14ac:dyDescent="0.2">
      <c r="B2905" s="1"/>
      <c r="C2905" s="2"/>
      <c r="D2905" s="2"/>
      <c r="F2905" s="1"/>
      <c r="G2905" s="2"/>
      <c r="H2905" s="38"/>
      <c r="J2905" s="3"/>
      <c r="K2905" s="3"/>
      <c r="L2905" s="3"/>
      <c r="N2905" s="3"/>
      <c r="O2905" s="3"/>
      <c r="P2905" s="39"/>
      <c r="R2905" s="3"/>
    </row>
    <row r="2906" spans="2:18" x14ac:dyDescent="0.2">
      <c r="B2906" s="1"/>
      <c r="C2906" s="2"/>
      <c r="D2906" s="2"/>
      <c r="F2906" s="1"/>
      <c r="G2906" s="2"/>
      <c r="H2906" s="38"/>
      <c r="J2906" s="3"/>
      <c r="K2906" s="3"/>
      <c r="L2906" s="3"/>
      <c r="N2906" s="3"/>
      <c r="O2906" s="3"/>
      <c r="P2906" s="39"/>
      <c r="R2906" s="3"/>
    </row>
    <row r="2907" spans="2:18" x14ac:dyDescent="0.2">
      <c r="B2907" s="1"/>
      <c r="C2907" s="2"/>
      <c r="D2907" s="2"/>
      <c r="F2907" s="1"/>
      <c r="G2907" s="2"/>
      <c r="H2907" s="38"/>
      <c r="J2907" s="3"/>
      <c r="K2907" s="3"/>
      <c r="L2907" s="3"/>
      <c r="N2907" s="3"/>
      <c r="O2907" s="3"/>
      <c r="P2907" s="39"/>
      <c r="R2907" s="3"/>
    </row>
    <row r="2908" spans="2:18" x14ac:dyDescent="0.2">
      <c r="B2908" s="1"/>
      <c r="C2908" s="2"/>
      <c r="D2908" s="2"/>
      <c r="F2908" s="1"/>
      <c r="G2908" s="2"/>
      <c r="H2908" s="38"/>
      <c r="J2908" s="3"/>
      <c r="K2908" s="3"/>
      <c r="L2908" s="3"/>
      <c r="N2908" s="3"/>
      <c r="O2908" s="3"/>
      <c r="P2908" s="39"/>
      <c r="R2908" s="3"/>
    </row>
    <row r="2909" spans="2:18" x14ac:dyDescent="0.2">
      <c r="B2909" s="1"/>
      <c r="C2909" s="2"/>
      <c r="D2909" s="2"/>
      <c r="F2909" s="1"/>
      <c r="G2909" s="2"/>
      <c r="H2909" s="38"/>
      <c r="J2909" s="3"/>
      <c r="K2909" s="3"/>
      <c r="L2909" s="3"/>
      <c r="N2909" s="3"/>
      <c r="O2909" s="3"/>
      <c r="P2909" s="39"/>
      <c r="R2909" s="3"/>
    </row>
    <row r="2910" spans="2:18" x14ac:dyDescent="0.2">
      <c r="B2910" s="1"/>
      <c r="C2910" s="2"/>
      <c r="D2910" s="2"/>
      <c r="F2910" s="1"/>
      <c r="G2910" s="2"/>
      <c r="H2910" s="38"/>
      <c r="J2910" s="3"/>
      <c r="K2910" s="3"/>
      <c r="L2910" s="3"/>
      <c r="N2910" s="3"/>
      <c r="O2910" s="3"/>
      <c r="P2910" s="39"/>
      <c r="R2910" s="3"/>
    </row>
    <row r="2911" spans="2:18" x14ac:dyDescent="0.2">
      <c r="B2911" s="1"/>
      <c r="C2911" s="2"/>
      <c r="D2911" s="2"/>
      <c r="F2911" s="1"/>
      <c r="G2911" s="2"/>
      <c r="H2911" s="38"/>
      <c r="J2911" s="3"/>
      <c r="K2911" s="3"/>
      <c r="L2911" s="3"/>
      <c r="N2911" s="3"/>
      <c r="O2911" s="3"/>
      <c r="P2911" s="39"/>
      <c r="R2911" s="3"/>
    </row>
    <row r="2912" spans="2:18" x14ac:dyDescent="0.2">
      <c r="B2912" s="1"/>
      <c r="C2912" s="2"/>
      <c r="D2912" s="2"/>
      <c r="F2912" s="1"/>
      <c r="G2912" s="2"/>
      <c r="H2912" s="38"/>
      <c r="J2912" s="3"/>
      <c r="K2912" s="3"/>
      <c r="L2912" s="3"/>
      <c r="N2912" s="3"/>
      <c r="O2912" s="3"/>
      <c r="P2912" s="39"/>
      <c r="R2912" s="3"/>
    </row>
    <row r="2913" spans="2:18" x14ac:dyDescent="0.2">
      <c r="B2913" s="1"/>
      <c r="C2913" s="2"/>
      <c r="D2913" s="2"/>
      <c r="F2913" s="1"/>
      <c r="G2913" s="2"/>
      <c r="H2913" s="38"/>
      <c r="J2913" s="3"/>
      <c r="K2913" s="3"/>
      <c r="L2913" s="3"/>
      <c r="N2913" s="3"/>
      <c r="O2913" s="3"/>
      <c r="P2913" s="39"/>
      <c r="R2913" s="3"/>
    </row>
    <row r="2914" spans="2:18" x14ac:dyDescent="0.2">
      <c r="B2914" s="1"/>
      <c r="C2914" s="2"/>
      <c r="D2914" s="2"/>
      <c r="F2914" s="1"/>
      <c r="G2914" s="2"/>
      <c r="H2914" s="38"/>
      <c r="J2914" s="3"/>
      <c r="K2914" s="3"/>
      <c r="L2914" s="3"/>
      <c r="N2914" s="3"/>
      <c r="O2914" s="3"/>
      <c r="P2914" s="39"/>
      <c r="R2914" s="3"/>
    </row>
    <row r="2915" spans="2:18" x14ac:dyDescent="0.2">
      <c r="B2915" s="1"/>
      <c r="C2915" s="2"/>
      <c r="D2915" s="2"/>
      <c r="F2915" s="1"/>
      <c r="G2915" s="2"/>
      <c r="H2915" s="38"/>
      <c r="J2915" s="3"/>
      <c r="K2915" s="3"/>
      <c r="L2915" s="3"/>
      <c r="N2915" s="3"/>
      <c r="O2915" s="3"/>
      <c r="P2915" s="39"/>
      <c r="R2915" s="3"/>
    </row>
    <row r="2916" spans="2:18" x14ac:dyDescent="0.2">
      <c r="B2916" s="1"/>
      <c r="C2916" s="2"/>
      <c r="D2916" s="2"/>
      <c r="F2916" s="1"/>
      <c r="G2916" s="2"/>
      <c r="H2916" s="38"/>
      <c r="J2916" s="3"/>
      <c r="K2916" s="3"/>
      <c r="L2916" s="3"/>
      <c r="N2916" s="3"/>
      <c r="O2916" s="3"/>
      <c r="P2916" s="39"/>
      <c r="R2916" s="3"/>
    </row>
    <row r="2917" spans="2:18" x14ac:dyDescent="0.2">
      <c r="B2917" s="1"/>
      <c r="C2917" s="2"/>
      <c r="D2917" s="2"/>
      <c r="F2917" s="1"/>
      <c r="G2917" s="2"/>
      <c r="H2917" s="38"/>
      <c r="J2917" s="3"/>
      <c r="K2917" s="3"/>
      <c r="L2917" s="3"/>
      <c r="N2917" s="3"/>
      <c r="O2917" s="3"/>
      <c r="P2917" s="39"/>
      <c r="R2917" s="3"/>
    </row>
    <row r="2918" spans="2:18" x14ac:dyDescent="0.2">
      <c r="B2918" s="1"/>
      <c r="C2918" s="2"/>
      <c r="D2918" s="2"/>
      <c r="F2918" s="1"/>
      <c r="G2918" s="2"/>
      <c r="H2918" s="38"/>
      <c r="J2918" s="3"/>
      <c r="K2918" s="3"/>
      <c r="L2918" s="3"/>
      <c r="N2918" s="3"/>
      <c r="O2918" s="3"/>
      <c r="P2918" s="39"/>
      <c r="R2918" s="3"/>
    </row>
    <row r="2919" spans="2:18" x14ac:dyDescent="0.2">
      <c r="B2919" s="1"/>
      <c r="C2919" s="2"/>
      <c r="D2919" s="2"/>
      <c r="F2919" s="1"/>
      <c r="G2919" s="2"/>
      <c r="H2919" s="38"/>
      <c r="J2919" s="3"/>
      <c r="K2919" s="3"/>
      <c r="L2919" s="3"/>
      <c r="N2919" s="3"/>
      <c r="O2919" s="3"/>
      <c r="P2919" s="39"/>
      <c r="R2919" s="3"/>
    </row>
    <row r="2920" spans="2:18" x14ac:dyDescent="0.2">
      <c r="B2920" s="1"/>
      <c r="C2920" s="2"/>
      <c r="D2920" s="2"/>
      <c r="F2920" s="1"/>
      <c r="G2920" s="2"/>
      <c r="H2920" s="38"/>
      <c r="J2920" s="3"/>
      <c r="K2920" s="3"/>
      <c r="L2920" s="3"/>
      <c r="N2920" s="3"/>
      <c r="O2920" s="3"/>
      <c r="P2920" s="39"/>
      <c r="R2920" s="3"/>
    </row>
    <row r="2921" spans="2:18" x14ac:dyDescent="0.2">
      <c r="B2921" s="1"/>
      <c r="C2921" s="2"/>
      <c r="D2921" s="2"/>
      <c r="F2921" s="1"/>
      <c r="G2921" s="2"/>
      <c r="H2921" s="38"/>
      <c r="J2921" s="3"/>
      <c r="K2921" s="3"/>
      <c r="L2921" s="3"/>
      <c r="N2921" s="3"/>
      <c r="O2921" s="3"/>
      <c r="P2921" s="39"/>
      <c r="R2921" s="3"/>
    </row>
    <row r="2922" spans="2:18" x14ac:dyDescent="0.2">
      <c r="B2922" s="1"/>
      <c r="C2922" s="2"/>
      <c r="D2922" s="2"/>
      <c r="F2922" s="1"/>
      <c r="G2922" s="2"/>
      <c r="H2922" s="38"/>
      <c r="J2922" s="3"/>
      <c r="K2922" s="3"/>
      <c r="L2922" s="3"/>
      <c r="N2922" s="3"/>
      <c r="O2922" s="3"/>
      <c r="P2922" s="39"/>
      <c r="R2922" s="3"/>
    </row>
    <row r="2923" spans="2:18" x14ac:dyDescent="0.2">
      <c r="B2923" s="1"/>
      <c r="C2923" s="2"/>
      <c r="D2923" s="2"/>
      <c r="F2923" s="1"/>
      <c r="G2923" s="2"/>
      <c r="H2923" s="38"/>
      <c r="J2923" s="3"/>
      <c r="K2923" s="3"/>
      <c r="L2923" s="3"/>
      <c r="N2923" s="3"/>
      <c r="O2923" s="3"/>
      <c r="P2923" s="39"/>
      <c r="R2923" s="3"/>
    </row>
    <row r="2924" spans="2:18" x14ac:dyDescent="0.2">
      <c r="B2924" s="1"/>
      <c r="C2924" s="2"/>
      <c r="D2924" s="2"/>
      <c r="F2924" s="1"/>
      <c r="G2924" s="2"/>
      <c r="H2924" s="38"/>
      <c r="J2924" s="3"/>
      <c r="K2924" s="3"/>
      <c r="L2924" s="3"/>
      <c r="N2924" s="3"/>
      <c r="O2924" s="3"/>
      <c r="P2924" s="39"/>
      <c r="R2924" s="3"/>
    </row>
    <row r="2925" spans="2:18" x14ac:dyDescent="0.2">
      <c r="B2925" s="1"/>
      <c r="C2925" s="2"/>
      <c r="D2925" s="2"/>
      <c r="F2925" s="1"/>
      <c r="G2925" s="2"/>
      <c r="H2925" s="38"/>
      <c r="J2925" s="3"/>
      <c r="K2925" s="3"/>
      <c r="L2925" s="3"/>
      <c r="N2925" s="3"/>
      <c r="O2925" s="3"/>
      <c r="P2925" s="39"/>
      <c r="R2925" s="3"/>
    </row>
    <row r="2926" spans="2:18" x14ac:dyDescent="0.2">
      <c r="B2926" s="1"/>
      <c r="C2926" s="2"/>
      <c r="D2926" s="2"/>
      <c r="F2926" s="1"/>
      <c r="G2926" s="2"/>
      <c r="H2926" s="38"/>
      <c r="J2926" s="3"/>
      <c r="K2926" s="3"/>
      <c r="L2926" s="3"/>
      <c r="N2926" s="3"/>
      <c r="O2926" s="3"/>
      <c r="P2926" s="39"/>
      <c r="R2926" s="3"/>
    </row>
    <row r="2927" spans="2:18" x14ac:dyDescent="0.2">
      <c r="B2927" s="1"/>
      <c r="C2927" s="2"/>
      <c r="D2927" s="2"/>
      <c r="F2927" s="1"/>
      <c r="G2927" s="2"/>
      <c r="H2927" s="38"/>
      <c r="J2927" s="3"/>
      <c r="K2927" s="3"/>
      <c r="L2927" s="3"/>
      <c r="N2927" s="3"/>
      <c r="O2927" s="3"/>
      <c r="P2927" s="39"/>
      <c r="R2927" s="3"/>
    </row>
    <row r="2928" spans="2:18" x14ac:dyDescent="0.2">
      <c r="B2928" s="1"/>
      <c r="C2928" s="2"/>
      <c r="D2928" s="2"/>
      <c r="F2928" s="1"/>
      <c r="G2928" s="2"/>
      <c r="H2928" s="38"/>
      <c r="J2928" s="3"/>
      <c r="K2928" s="3"/>
      <c r="L2928" s="3"/>
      <c r="N2928" s="3"/>
      <c r="O2928" s="3"/>
      <c r="P2928" s="39"/>
      <c r="R2928" s="3"/>
    </row>
    <row r="2929" spans="2:18" x14ac:dyDescent="0.2">
      <c r="B2929" s="1"/>
      <c r="C2929" s="2"/>
      <c r="D2929" s="2"/>
      <c r="F2929" s="1"/>
      <c r="G2929" s="2"/>
      <c r="H2929" s="38"/>
      <c r="J2929" s="3"/>
      <c r="K2929" s="3"/>
      <c r="L2929" s="3"/>
      <c r="N2929" s="3"/>
      <c r="O2929" s="3"/>
      <c r="P2929" s="39"/>
      <c r="R2929" s="3"/>
    </row>
    <row r="2930" spans="2:18" x14ac:dyDescent="0.2">
      <c r="B2930" s="1"/>
      <c r="C2930" s="2"/>
      <c r="D2930" s="2"/>
      <c r="F2930" s="1"/>
      <c r="G2930" s="2"/>
      <c r="H2930" s="38"/>
      <c r="J2930" s="3"/>
      <c r="K2930" s="3"/>
      <c r="L2930" s="3"/>
      <c r="N2930" s="3"/>
      <c r="O2930" s="3"/>
      <c r="P2930" s="39"/>
      <c r="R2930" s="3"/>
    </row>
    <row r="2931" spans="2:18" x14ac:dyDescent="0.2">
      <c r="B2931" s="1"/>
      <c r="C2931" s="2"/>
      <c r="D2931" s="2"/>
      <c r="F2931" s="1"/>
      <c r="G2931" s="2"/>
      <c r="H2931" s="38"/>
      <c r="J2931" s="3"/>
      <c r="K2931" s="3"/>
      <c r="L2931" s="3"/>
      <c r="N2931" s="3"/>
      <c r="O2931" s="3"/>
      <c r="P2931" s="39"/>
      <c r="R2931" s="3"/>
    </row>
    <row r="2932" spans="2:18" x14ac:dyDescent="0.2">
      <c r="B2932" s="1"/>
      <c r="C2932" s="2"/>
      <c r="D2932" s="2"/>
      <c r="F2932" s="1"/>
      <c r="G2932" s="2"/>
      <c r="H2932" s="38"/>
      <c r="J2932" s="3"/>
      <c r="K2932" s="3"/>
      <c r="L2932" s="3"/>
      <c r="N2932" s="3"/>
      <c r="O2932" s="3"/>
      <c r="P2932" s="39"/>
      <c r="R2932" s="3"/>
    </row>
    <row r="2933" spans="2:18" x14ac:dyDescent="0.2">
      <c r="B2933" s="1"/>
      <c r="C2933" s="2"/>
      <c r="D2933" s="2"/>
      <c r="F2933" s="1"/>
      <c r="G2933" s="2"/>
      <c r="H2933" s="38"/>
      <c r="J2933" s="3"/>
      <c r="K2933" s="3"/>
      <c r="L2933" s="3"/>
      <c r="N2933" s="3"/>
      <c r="O2933" s="3"/>
      <c r="P2933" s="39"/>
      <c r="R2933" s="3"/>
    </row>
    <row r="2934" spans="2:18" x14ac:dyDescent="0.2">
      <c r="B2934" s="1"/>
      <c r="C2934" s="2"/>
      <c r="D2934" s="2"/>
      <c r="F2934" s="1"/>
      <c r="G2934" s="2"/>
      <c r="H2934" s="38"/>
      <c r="J2934" s="3"/>
      <c r="K2934" s="3"/>
      <c r="L2934" s="3"/>
      <c r="N2934" s="3"/>
      <c r="O2934" s="3"/>
      <c r="P2934" s="39"/>
      <c r="R2934" s="3"/>
    </row>
    <row r="2935" spans="2:18" x14ac:dyDescent="0.2">
      <c r="B2935" s="1"/>
      <c r="C2935" s="2"/>
      <c r="D2935" s="2"/>
      <c r="F2935" s="1"/>
      <c r="G2935" s="2"/>
      <c r="H2935" s="38"/>
      <c r="J2935" s="3"/>
      <c r="K2935" s="3"/>
      <c r="L2935" s="3"/>
      <c r="N2935" s="3"/>
      <c r="O2935" s="3"/>
      <c r="P2935" s="39"/>
      <c r="R2935" s="3"/>
    </row>
    <row r="2936" spans="2:18" x14ac:dyDescent="0.2">
      <c r="B2936" s="1"/>
      <c r="C2936" s="2"/>
      <c r="D2936" s="2"/>
      <c r="F2936" s="1"/>
      <c r="G2936" s="2"/>
      <c r="H2936" s="38"/>
      <c r="J2936" s="3"/>
      <c r="K2936" s="3"/>
      <c r="L2936" s="3"/>
      <c r="N2936" s="3"/>
      <c r="O2936" s="3"/>
      <c r="P2936" s="39"/>
      <c r="R2936" s="3"/>
    </row>
    <row r="2937" spans="2:18" x14ac:dyDescent="0.2">
      <c r="B2937" s="1"/>
      <c r="C2937" s="2"/>
      <c r="D2937" s="2"/>
      <c r="F2937" s="1"/>
      <c r="G2937" s="2"/>
      <c r="H2937" s="38"/>
      <c r="J2937" s="3"/>
      <c r="K2937" s="3"/>
      <c r="L2937" s="3"/>
      <c r="N2937" s="3"/>
      <c r="O2937" s="3"/>
      <c r="P2937" s="39"/>
      <c r="R2937" s="3"/>
    </row>
    <row r="2938" spans="2:18" x14ac:dyDescent="0.2">
      <c r="B2938" s="1"/>
      <c r="C2938" s="2"/>
      <c r="D2938" s="2"/>
      <c r="F2938" s="1"/>
      <c r="G2938" s="2"/>
      <c r="H2938" s="38"/>
      <c r="J2938" s="3"/>
      <c r="K2938" s="3"/>
      <c r="L2938" s="3"/>
      <c r="N2938" s="3"/>
      <c r="O2938" s="3"/>
      <c r="P2938" s="39"/>
      <c r="R2938" s="3"/>
    </row>
    <row r="2939" spans="2:18" x14ac:dyDescent="0.2">
      <c r="B2939" s="1"/>
      <c r="C2939" s="2"/>
      <c r="D2939" s="2"/>
      <c r="F2939" s="1"/>
      <c r="G2939" s="2"/>
      <c r="H2939" s="38"/>
      <c r="J2939" s="3"/>
      <c r="K2939" s="3"/>
      <c r="L2939" s="3"/>
      <c r="N2939" s="3"/>
      <c r="O2939" s="3"/>
      <c r="P2939" s="39"/>
      <c r="R2939" s="3"/>
    </row>
    <row r="2940" spans="2:18" x14ac:dyDescent="0.2">
      <c r="B2940" s="1"/>
      <c r="C2940" s="2"/>
      <c r="D2940" s="2"/>
      <c r="F2940" s="1"/>
      <c r="G2940" s="2"/>
      <c r="H2940" s="38"/>
      <c r="J2940" s="3"/>
      <c r="K2940" s="3"/>
      <c r="L2940" s="3"/>
      <c r="N2940" s="3"/>
      <c r="O2940" s="3"/>
      <c r="P2940" s="39"/>
      <c r="R2940" s="3"/>
    </row>
    <row r="2941" spans="2:18" x14ac:dyDescent="0.2">
      <c r="B2941" s="1"/>
      <c r="C2941" s="2"/>
      <c r="D2941" s="2"/>
      <c r="F2941" s="1"/>
      <c r="G2941" s="2"/>
      <c r="H2941" s="38"/>
      <c r="J2941" s="3"/>
      <c r="K2941" s="3"/>
      <c r="L2941" s="3"/>
      <c r="N2941" s="3"/>
      <c r="O2941" s="3"/>
      <c r="P2941" s="39"/>
      <c r="R2941" s="3"/>
    </row>
    <row r="2942" spans="2:18" x14ac:dyDescent="0.2">
      <c r="B2942" s="1"/>
      <c r="C2942" s="2"/>
      <c r="D2942" s="2"/>
      <c r="F2942" s="1"/>
      <c r="G2942" s="2"/>
      <c r="H2942" s="38"/>
      <c r="J2942" s="3"/>
      <c r="K2942" s="3"/>
      <c r="L2942" s="3"/>
      <c r="N2942" s="3"/>
      <c r="O2942" s="3"/>
      <c r="P2942" s="39"/>
      <c r="R2942" s="3"/>
    </row>
    <row r="2943" spans="2:18" x14ac:dyDescent="0.2">
      <c r="B2943" s="1"/>
      <c r="C2943" s="2"/>
      <c r="D2943" s="2"/>
      <c r="F2943" s="1"/>
      <c r="G2943" s="2"/>
      <c r="H2943" s="38"/>
      <c r="J2943" s="3"/>
      <c r="K2943" s="3"/>
      <c r="L2943" s="3"/>
      <c r="N2943" s="3"/>
      <c r="O2943" s="3"/>
      <c r="P2943" s="39"/>
      <c r="R2943" s="3"/>
    </row>
    <row r="2944" spans="2:18" x14ac:dyDescent="0.2">
      <c r="B2944" s="1"/>
      <c r="C2944" s="2"/>
      <c r="D2944" s="2"/>
      <c r="F2944" s="1"/>
      <c r="G2944" s="2"/>
      <c r="H2944" s="38"/>
      <c r="J2944" s="3"/>
      <c r="K2944" s="3"/>
      <c r="L2944" s="3"/>
      <c r="N2944" s="3"/>
      <c r="O2944" s="3"/>
      <c r="P2944" s="39"/>
      <c r="R2944" s="3"/>
    </row>
    <row r="2945" spans="2:18" x14ac:dyDescent="0.2">
      <c r="B2945" s="1"/>
      <c r="C2945" s="2"/>
      <c r="D2945" s="2"/>
      <c r="F2945" s="1"/>
      <c r="G2945" s="2"/>
      <c r="H2945" s="38"/>
      <c r="J2945" s="3"/>
      <c r="K2945" s="3"/>
      <c r="L2945" s="3"/>
      <c r="N2945" s="3"/>
      <c r="O2945" s="3"/>
      <c r="P2945" s="39"/>
      <c r="R2945" s="3"/>
    </row>
    <row r="2946" spans="2:18" x14ac:dyDescent="0.2">
      <c r="B2946" s="1"/>
      <c r="C2946" s="2"/>
      <c r="D2946" s="2"/>
      <c r="F2946" s="1"/>
      <c r="G2946" s="2"/>
      <c r="H2946" s="38"/>
      <c r="J2946" s="3"/>
      <c r="K2946" s="3"/>
      <c r="L2946" s="3"/>
      <c r="N2946" s="3"/>
      <c r="O2946" s="3"/>
      <c r="P2946" s="39"/>
      <c r="R2946" s="3"/>
    </row>
    <row r="2947" spans="2:18" x14ac:dyDescent="0.2">
      <c r="B2947" s="1"/>
      <c r="C2947" s="2"/>
      <c r="D2947" s="2"/>
      <c r="F2947" s="1"/>
      <c r="G2947" s="2"/>
      <c r="H2947" s="38"/>
      <c r="J2947" s="3"/>
      <c r="K2947" s="3"/>
      <c r="L2947" s="3"/>
      <c r="N2947" s="3"/>
      <c r="O2947" s="3"/>
      <c r="P2947" s="39"/>
      <c r="R2947" s="3"/>
    </row>
    <row r="2948" spans="2:18" x14ac:dyDescent="0.2">
      <c r="B2948" s="1"/>
      <c r="C2948" s="2"/>
      <c r="D2948" s="2"/>
      <c r="F2948" s="1"/>
      <c r="G2948" s="2"/>
      <c r="H2948" s="38"/>
      <c r="J2948" s="3"/>
      <c r="K2948" s="3"/>
      <c r="L2948" s="3"/>
      <c r="N2948" s="3"/>
      <c r="O2948" s="3"/>
      <c r="P2948" s="39"/>
      <c r="R2948" s="3"/>
    </row>
    <row r="2949" spans="2:18" x14ac:dyDescent="0.2">
      <c r="B2949" s="1"/>
      <c r="C2949" s="2"/>
      <c r="D2949" s="2"/>
      <c r="F2949" s="1"/>
      <c r="G2949" s="2"/>
      <c r="H2949" s="38"/>
      <c r="J2949" s="3"/>
      <c r="K2949" s="3"/>
      <c r="L2949" s="3"/>
      <c r="N2949" s="3"/>
      <c r="O2949" s="3"/>
      <c r="P2949" s="39"/>
      <c r="R2949" s="3"/>
    </row>
    <row r="2950" spans="2:18" x14ac:dyDescent="0.2">
      <c r="B2950" s="1"/>
      <c r="C2950" s="2"/>
      <c r="D2950" s="2"/>
      <c r="F2950" s="1"/>
      <c r="G2950" s="2"/>
      <c r="H2950" s="38"/>
      <c r="J2950" s="3"/>
      <c r="K2950" s="3"/>
      <c r="L2950" s="3"/>
      <c r="N2950" s="3"/>
      <c r="O2950" s="3"/>
      <c r="P2950" s="39"/>
      <c r="R2950" s="3"/>
    </row>
    <row r="2951" spans="2:18" x14ac:dyDescent="0.2">
      <c r="B2951" s="1"/>
      <c r="C2951" s="2"/>
      <c r="D2951" s="2"/>
      <c r="F2951" s="1"/>
      <c r="G2951" s="2"/>
      <c r="H2951" s="38"/>
      <c r="J2951" s="3"/>
      <c r="K2951" s="3"/>
      <c r="L2951" s="3"/>
      <c r="N2951" s="3"/>
      <c r="O2951" s="3"/>
      <c r="P2951" s="39"/>
      <c r="R2951" s="3"/>
    </row>
    <row r="2952" spans="2:18" x14ac:dyDescent="0.2">
      <c r="B2952" s="1"/>
      <c r="C2952" s="2"/>
      <c r="D2952" s="2"/>
      <c r="F2952" s="1"/>
      <c r="G2952" s="2"/>
      <c r="H2952" s="38"/>
      <c r="J2952" s="3"/>
      <c r="K2952" s="3"/>
      <c r="L2952" s="3"/>
      <c r="N2952" s="3"/>
      <c r="O2952" s="3"/>
      <c r="P2952" s="39"/>
      <c r="R2952" s="3"/>
    </row>
    <row r="2953" spans="2:18" x14ac:dyDescent="0.2">
      <c r="B2953" s="1"/>
      <c r="C2953" s="2"/>
      <c r="D2953" s="2"/>
      <c r="F2953" s="1"/>
      <c r="G2953" s="2"/>
      <c r="H2953" s="38"/>
      <c r="J2953" s="3"/>
      <c r="K2953" s="3"/>
      <c r="L2953" s="3"/>
      <c r="N2953" s="3"/>
      <c r="O2953" s="3"/>
      <c r="P2953" s="39"/>
      <c r="R2953" s="3"/>
    </row>
    <row r="2954" spans="2:18" x14ac:dyDescent="0.2">
      <c r="B2954" s="1"/>
      <c r="C2954" s="2"/>
      <c r="D2954" s="2"/>
      <c r="F2954" s="1"/>
      <c r="G2954" s="2"/>
      <c r="H2954" s="38"/>
      <c r="J2954" s="3"/>
      <c r="K2954" s="3"/>
      <c r="L2954" s="3"/>
      <c r="N2954" s="3"/>
      <c r="O2954" s="3"/>
      <c r="P2954" s="39"/>
      <c r="R2954" s="3"/>
    </row>
    <row r="2955" spans="2:18" x14ac:dyDescent="0.2">
      <c r="B2955" s="1"/>
      <c r="C2955" s="2"/>
      <c r="D2955" s="2"/>
      <c r="F2955" s="1"/>
      <c r="G2955" s="2"/>
      <c r="H2955" s="38"/>
      <c r="J2955" s="3"/>
      <c r="K2955" s="3"/>
      <c r="L2955" s="3"/>
      <c r="N2955" s="3"/>
      <c r="O2955" s="3"/>
      <c r="P2955" s="39"/>
      <c r="R2955" s="3"/>
    </row>
    <row r="2956" spans="2:18" x14ac:dyDescent="0.2">
      <c r="B2956" s="1"/>
      <c r="C2956" s="2"/>
      <c r="D2956" s="2"/>
      <c r="F2956" s="1"/>
      <c r="G2956" s="2"/>
      <c r="H2956" s="38"/>
      <c r="J2956" s="3"/>
      <c r="K2956" s="3"/>
      <c r="L2956" s="3"/>
      <c r="N2956" s="3"/>
      <c r="O2956" s="3"/>
      <c r="P2956" s="39"/>
      <c r="R2956" s="3"/>
    </row>
    <row r="2957" spans="2:18" x14ac:dyDescent="0.2">
      <c r="B2957" s="1"/>
      <c r="C2957" s="2"/>
      <c r="D2957" s="2"/>
      <c r="F2957" s="1"/>
      <c r="G2957" s="2"/>
      <c r="H2957" s="38"/>
      <c r="J2957" s="3"/>
      <c r="K2957" s="3"/>
      <c r="L2957" s="3"/>
      <c r="N2957" s="3"/>
      <c r="O2957" s="3"/>
      <c r="P2957" s="39"/>
      <c r="R2957" s="3"/>
    </row>
    <row r="2958" spans="2:18" x14ac:dyDescent="0.2">
      <c r="B2958" s="1"/>
      <c r="C2958" s="2"/>
      <c r="D2958" s="2"/>
      <c r="F2958" s="1"/>
      <c r="G2958" s="2"/>
      <c r="H2958" s="38"/>
      <c r="J2958" s="3"/>
      <c r="K2958" s="3"/>
      <c r="L2958" s="3"/>
      <c r="N2958" s="3"/>
      <c r="O2958" s="3"/>
      <c r="P2958" s="39"/>
      <c r="R2958" s="3"/>
    </row>
    <row r="2959" spans="2:18" x14ac:dyDescent="0.2">
      <c r="B2959" s="1"/>
      <c r="C2959" s="2"/>
      <c r="D2959" s="2"/>
      <c r="F2959" s="1"/>
      <c r="G2959" s="2"/>
      <c r="H2959" s="38"/>
      <c r="J2959" s="3"/>
      <c r="K2959" s="3"/>
      <c r="L2959" s="3"/>
      <c r="N2959" s="3"/>
      <c r="O2959" s="3"/>
      <c r="P2959" s="39"/>
      <c r="R2959" s="3"/>
    </row>
    <row r="2960" spans="2:18" x14ac:dyDescent="0.2">
      <c r="B2960" s="1"/>
      <c r="C2960" s="2"/>
      <c r="D2960" s="2"/>
      <c r="F2960" s="1"/>
      <c r="G2960" s="2"/>
      <c r="H2960" s="38"/>
      <c r="J2960" s="3"/>
      <c r="K2960" s="3"/>
      <c r="L2960" s="3"/>
      <c r="N2960" s="3"/>
      <c r="O2960" s="3"/>
      <c r="P2960" s="39"/>
      <c r="R2960" s="3"/>
    </row>
    <row r="2961" spans="2:18" x14ac:dyDescent="0.2">
      <c r="B2961" s="1"/>
      <c r="C2961" s="2"/>
      <c r="D2961" s="2"/>
      <c r="F2961" s="1"/>
      <c r="G2961" s="2"/>
      <c r="H2961" s="38"/>
      <c r="J2961" s="3"/>
      <c r="K2961" s="3"/>
      <c r="L2961" s="3"/>
      <c r="N2961" s="3"/>
      <c r="O2961" s="3"/>
      <c r="P2961" s="39"/>
      <c r="R2961" s="3"/>
    </row>
    <row r="2962" spans="2:18" x14ac:dyDescent="0.2">
      <c r="B2962" s="1"/>
      <c r="C2962" s="2"/>
      <c r="D2962" s="2"/>
      <c r="F2962" s="1"/>
      <c r="G2962" s="2"/>
      <c r="H2962" s="38"/>
      <c r="J2962" s="3"/>
      <c r="K2962" s="3"/>
      <c r="L2962" s="3"/>
      <c r="N2962" s="3"/>
      <c r="O2962" s="3"/>
      <c r="P2962" s="39"/>
      <c r="R2962" s="3"/>
    </row>
    <row r="2963" spans="2:18" x14ac:dyDescent="0.2">
      <c r="B2963" s="1"/>
      <c r="C2963" s="2"/>
      <c r="D2963" s="2"/>
      <c r="F2963" s="1"/>
      <c r="G2963" s="2"/>
      <c r="H2963" s="38"/>
      <c r="J2963" s="3"/>
      <c r="K2963" s="3"/>
      <c r="L2963" s="3"/>
      <c r="N2963" s="3"/>
      <c r="O2963" s="3"/>
      <c r="P2963" s="39"/>
      <c r="R2963" s="3"/>
    </row>
    <row r="2964" spans="2:18" x14ac:dyDescent="0.2">
      <c r="B2964" s="1"/>
      <c r="C2964" s="2"/>
      <c r="D2964" s="2"/>
      <c r="F2964" s="1"/>
      <c r="G2964" s="2"/>
      <c r="H2964" s="38"/>
      <c r="J2964" s="3"/>
      <c r="K2964" s="3"/>
      <c r="L2964" s="3"/>
      <c r="N2964" s="3"/>
      <c r="O2964" s="3"/>
      <c r="P2964" s="39"/>
      <c r="R2964" s="3"/>
    </row>
    <row r="2965" spans="2:18" x14ac:dyDescent="0.2">
      <c r="B2965" s="1"/>
      <c r="C2965" s="2"/>
      <c r="D2965" s="2"/>
      <c r="F2965" s="1"/>
      <c r="G2965" s="2"/>
      <c r="H2965" s="38"/>
      <c r="J2965" s="3"/>
      <c r="K2965" s="3"/>
      <c r="L2965" s="3"/>
      <c r="N2965" s="3"/>
      <c r="O2965" s="3"/>
      <c r="P2965" s="39"/>
      <c r="R2965" s="3"/>
    </row>
    <row r="2966" spans="2:18" x14ac:dyDescent="0.2">
      <c r="B2966" s="1"/>
      <c r="C2966" s="2"/>
      <c r="D2966" s="2"/>
      <c r="F2966" s="1"/>
      <c r="G2966" s="2"/>
      <c r="H2966" s="38"/>
      <c r="J2966" s="3"/>
      <c r="K2966" s="3"/>
      <c r="L2966" s="3"/>
      <c r="N2966" s="3"/>
      <c r="O2966" s="3"/>
      <c r="P2966" s="39"/>
      <c r="R2966" s="3"/>
    </row>
    <row r="2967" spans="2:18" x14ac:dyDescent="0.2">
      <c r="B2967" s="1"/>
      <c r="C2967" s="2"/>
      <c r="D2967" s="2"/>
      <c r="F2967" s="1"/>
      <c r="G2967" s="2"/>
      <c r="H2967" s="38"/>
      <c r="J2967" s="3"/>
      <c r="K2967" s="3"/>
      <c r="L2967" s="3"/>
      <c r="N2967" s="3"/>
      <c r="O2967" s="3"/>
      <c r="P2967" s="39"/>
      <c r="R2967" s="3"/>
    </row>
    <row r="2968" spans="2:18" x14ac:dyDescent="0.2">
      <c r="B2968" s="1"/>
      <c r="C2968" s="2"/>
      <c r="D2968" s="2"/>
      <c r="F2968" s="1"/>
      <c r="G2968" s="2"/>
      <c r="H2968" s="38"/>
      <c r="J2968" s="3"/>
      <c r="K2968" s="3"/>
      <c r="L2968" s="3"/>
      <c r="N2968" s="3"/>
      <c r="O2968" s="3"/>
      <c r="P2968" s="39"/>
      <c r="R2968" s="3"/>
    </row>
    <row r="2969" spans="2:18" x14ac:dyDescent="0.2">
      <c r="B2969" s="1"/>
      <c r="C2969" s="2"/>
      <c r="D2969" s="2"/>
      <c r="F2969" s="1"/>
      <c r="G2969" s="2"/>
      <c r="H2969" s="38"/>
      <c r="J2969" s="3"/>
      <c r="K2969" s="3"/>
      <c r="L2969" s="3"/>
      <c r="N2969" s="3"/>
      <c r="O2969" s="3"/>
      <c r="P2969" s="39"/>
      <c r="R2969" s="3"/>
    </row>
    <row r="2970" spans="2:18" x14ac:dyDescent="0.2">
      <c r="B2970" s="1"/>
      <c r="C2970" s="2"/>
      <c r="D2970" s="2"/>
      <c r="F2970" s="1"/>
      <c r="G2970" s="2"/>
      <c r="H2970" s="38"/>
      <c r="J2970" s="3"/>
      <c r="K2970" s="3"/>
      <c r="L2970" s="3"/>
      <c r="N2970" s="3"/>
      <c r="O2970" s="3"/>
      <c r="P2970" s="39"/>
      <c r="R2970" s="3"/>
    </row>
    <row r="2971" spans="2:18" x14ac:dyDescent="0.2">
      <c r="B2971" s="1"/>
      <c r="C2971" s="2"/>
      <c r="D2971" s="2"/>
      <c r="F2971" s="1"/>
      <c r="G2971" s="2"/>
      <c r="H2971" s="38"/>
      <c r="J2971" s="3"/>
      <c r="K2971" s="3"/>
      <c r="L2971" s="3"/>
      <c r="N2971" s="3"/>
      <c r="O2971" s="3"/>
      <c r="P2971" s="39"/>
      <c r="R2971" s="3"/>
    </row>
    <row r="2972" spans="2:18" x14ac:dyDescent="0.2">
      <c r="B2972" s="1"/>
      <c r="C2972" s="2"/>
      <c r="D2972" s="2"/>
      <c r="F2972" s="1"/>
      <c r="G2972" s="2"/>
      <c r="H2972" s="38"/>
      <c r="J2972" s="3"/>
      <c r="K2972" s="3"/>
      <c r="L2972" s="3"/>
      <c r="N2972" s="3"/>
      <c r="O2972" s="3"/>
      <c r="P2972" s="39"/>
      <c r="R2972" s="3"/>
    </row>
    <row r="2973" spans="2:18" x14ac:dyDescent="0.2">
      <c r="B2973" s="1"/>
      <c r="C2973" s="2"/>
      <c r="D2973" s="2"/>
      <c r="F2973" s="1"/>
      <c r="G2973" s="2"/>
      <c r="H2973" s="38"/>
      <c r="J2973" s="3"/>
      <c r="K2973" s="3"/>
      <c r="L2973" s="3"/>
      <c r="N2973" s="3"/>
      <c r="O2973" s="3"/>
      <c r="P2973" s="39"/>
      <c r="R2973" s="3"/>
    </row>
    <row r="2974" spans="2:18" x14ac:dyDescent="0.2">
      <c r="B2974" s="1"/>
      <c r="C2974" s="2"/>
      <c r="D2974" s="2"/>
      <c r="F2974" s="1"/>
      <c r="G2974" s="2"/>
      <c r="H2974" s="38"/>
      <c r="J2974" s="3"/>
      <c r="K2974" s="3"/>
      <c r="L2974" s="3"/>
      <c r="N2974" s="3"/>
      <c r="O2974" s="3"/>
      <c r="P2974" s="39"/>
      <c r="R2974" s="3"/>
    </row>
    <row r="2975" spans="2:18" x14ac:dyDescent="0.2">
      <c r="B2975" s="1"/>
      <c r="C2975" s="2"/>
      <c r="D2975" s="2"/>
      <c r="F2975" s="1"/>
      <c r="G2975" s="2"/>
      <c r="H2975" s="38"/>
      <c r="J2975" s="3"/>
      <c r="K2975" s="3"/>
      <c r="L2975" s="3"/>
      <c r="N2975" s="3"/>
      <c r="O2975" s="3"/>
      <c r="P2975" s="39"/>
      <c r="R2975" s="3"/>
    </row>
    <row r="2976" spans="2:18" x14ac:dyDescent="0.2">
      <c r="B2976" s="1"/>
      <c r="C2976" s="2"/>
      <c r="D2976" s="2"/>
      <c r="F2976" s="1"/>
      <c r="G2976" s="2"/>
      <c r="H2976" s="38"/>
      <c r="J2976" s="3"/>
      <c r="K2976" s="3"/>
      <c r="L2976" s="3"/>
      <c r="N2976" s="3"/>
      <c r="O2976" s="3"/>
      <c r="P2976" s="39"/>
      <c r="R2976" s="3"/>
    </row>
    <row r="2977" spans="2:18" x14ac:dyDescent="0.2">
      <c r="B2977" s="1"/>
      <c r="C2977" s="2"/>
      <c r="D2977" s="2"/>
      <c r="F2977" s="1"/>
      <c r="G2977" s="2"/>
      <c r="H2977" s="38"/>
      <c r="J2977" s="3"/>
      <c r="K2977" s="3"/>
      <c r="L2977" s="3"/>
      <c r="N2977" s="3"/>
      <c r="O2977" s="3"/>
      <c r="P2977" s="39"/>
      <c r="R2977" s="3"/>
    </row>
    <row r="2978" spans="2:18" x14ac:dyDescent="0.2">
      <c r="B2978" s="1"/>
      <c r="C2978" s="2"/>
      <c r="D2978" s="2"/>
      <c r="F2978" s="1"/>
      <c r="G2978" s="2"/>
      <c r="H2978" s="38"/>
      <c r="J2978" s="3"/>
      <c r="K2978" s="3"/>
      <c r="L2978" s="3"/>
      <c r="N2978" s="3"/>
      <c r="O2978" s="3"/>
      <c r="P2978" s="39"/>
      <c r="R2978" s="3"/>
    </row>
    <row r="2979" spans="2:18" x14ac:dyDescent="0.2">
      <c r="B2979" s="1"/>
      <c r="C2979" s="2"/>
      <c r="D2979" s="2"/>
      <c r="F2979" s="1"/>
      <c r="G2979" s="2"/>
      <c r="H2979" s="38"/>
      <c r="J2979" s="3"/>
      <c r="K2979" s="3"/>
      <c r="L2979" s="3"/>
      <c r="N2979" s="3"/>
      <c r="O2979" s="3"/>
      <c r="P2979" s="39"/>
      <c r="R2979" s="3"/>
    </row>
    <row r="2980" spans="2:18" x14ac:dyDescent="0.2">
      <c r="B2980" s="1"/>
      <c r="C2980" s="2"/>
      <c r="D2980" s="2"/>
      <c r="F2980" s="1"/>
      <c r="G2980" s="2"/>
      <c r="H2980" s="38"/>
      <c r="J2980" s="3"/>
      <c r="K2980" s="3"/>
      <c r="L2980" s="3"/>
      <c r="N2980" s="3"/>
      <c r="O2980" s="3"/>
      <c r="P2980" s="39"/>
      <c r="R2980" s="3"/>
    </row>
    <row r="2981" spans="2:18" x14ac:dyDescent="0.2">
      <c r="B2981" s="1"/>
      <c r="C2981" s="2"/>
      <c r="D2981" s="2"/>
      <c r="F2981" s="1"/>
      <c r="G2981" s="2"/>
      <c r="H2981" s="38"/>
      <c r="J2981" s="3"/>
      <c r="K2981" s="3"/>
      <c r="L2981" s="3"/>
      <c r="N2981" s="3"/>
      <c r="O2981" s="3"/>
      <c r="P2981" s="39"/>
      <c r="R2981" s="3"/>
    </row>
    <row r="2982" spans="2:18" x14ac:dyDescent="0.2">
      <c r="B2982" s="1"/>
      <c r="C2982" s="2"/>
      <c r="D2982" s="2"/>
      <c r="F2982" s="1"/>
      <c r="G2982" s="2"/>
      <c r="H2982" s="38"/>
      <c r="J2982" s="3"/>
      <c r="K2982" s="3"/>
      <c r="L2982" s="3"/>
      <c r="N2982" s="3"/>
      <c r="O2982" s="3"/>
      <c r="P2982" s="39"/>
      <c r="R2982" s="3"/>
    </row>
    <row r="2983" spans="2:18" x14ac:dyDescent="0.2">
      <c r="B2983" s="1"/>
      <c r="C2983" s="2"/>
      <c r="D2983" s="2"/>
      <c r="F2983" s="1"/>
      <c r="G2983" s="2"/>
      <c r="H2983" s="38"/>
      <c r="J2983" s="3"/>
      <c r="K2983" s="3"/>
      <c r="L2983" s="3"/>
      <c r="N2983" s="3"/>
      <c r="O2983" s="3"/>
      <c r="P2983" s="39"/>
      <c r="R2983" s="3"/>
    </row>
    <row r="2984" spans="2:18" x14ac:dyDescent="0.2">
      <c r="B2984" s="1"/>
      <c r="C2984" s="2"/>
      <c r="D2984" s="2"/>
      <c r="F2984" s="1"/>
      <c r="G2984" s="2"/>
      <c r="H2984" s="38"/>
      <c r="J2984" s="3"/>
      <c r="K2984" s="3"/>
      <c r="L2984" s="3"/>
      <c r="N2984" s="3"/>
      <c r="O2984" s="3"/>
      <c r="P2984" s="39"/>
      <c r="R2984" s="3"/>
    </row>
    <row r="2985" spans="2:18" x14ac:dyDescent="0.2">
      <c r="B2985" s="1"/>
      <c r="C2985" s="2"/>
      <c r="D2985" s="2"/>
      <c r="F2985" s="1"/>
      <c r="G2985" s="2"/>
      <c r="H2985" s="38"/>
      <c r="J2985" s="3"/>
      <c r="K2985" s="3"/>
      <c r="L2985" s="3"/>
      <c r="N2985" s="3"/>
      <c r="O2985" s="3"/>
      <c r="P2985" s="39"/>
      <c r="R2985" s="3"/>
    </row>
    <row r="2986" spans="2:18" x14ac:dyDescent="0.2">
      <c r="B2986" s="1"/>
      <c r="C2986" s="2"/>
      <c r="D2986" s="2"/>
      <c r="F2986" s="1"/>
      <c r="G2986" s="2"/>
      <c r="H2986" s="38"/>
      <c r="J2986" s="3"/>
      <c r="K2986" s="3"/>
      <c r="L2986" s="3"/>
      <c r="N2986" s="3"/>
      <c r="O2986" s="3"/>
      <c r="P2986" s="39"/>
      <c r="R2986" s="3"/>
    </row>
    <row r="2987" spans="2:18" x14ac:dyDescent="0.2">
      <c r="B2987" s="1"/>
      <c r="C2987" s="2"/>
      <c r="D2987" s="2"/>
      <c r="F2987" s="1"/>
      <c r="G2987" s="2"/>
      <c r="H2987" s="38"/>
      <c r="J2987" s="3"/>
      <c r="K2987" s="3"/>
      <c r="L2987" s="3"/>
      <c r="N2987" s="3"/>
      <c r="O2987" s="3"/>
      <c r="P2987" s="39"/>
      <c r="R2987" s="3"/>
    </row>
    <row r="2988" spans="2:18" x14ac:dyDescent="0.2">
      <c r="B2988" s="1"/>
      <c r="C2988" s="2"/>
      <c r="D2988" s="2"/>
      <c r="F2988" s="1"/>
      <c r="G2988" s="2"/>
      <c r="H2988" s="38"/>
      <c r="J2988" s="3"/>
      <c r="K2988" s="3"/>
      <c r="L2988" s="3"/>
      <c r="N2988" s="3"/>
      <c r="O2988" s="3"/>
      <c r="P2988" s="39"/>
      <c r="R2988" s="3"/>
    </row>
    <row r="2989" spans="2:18" x14ac:dyDescent="0.2">
      <c r="B2989" s="1"/>
      <c r="C2989" s="2"/>
      <c r="D2989" s="2"/>
      <c r="F2989" s="1"/>
      <c r="G2989" s="2"/>
      <c r="H2989" s="38"/>
      <c r="J2989" s="3"/>
      <c r="K2989" s="3"/>
      <c r="L2989" s="3"/>
      <c r="N2989" s="3"/>
      <c r="O2989" s="3"/>
      <c r="P2989" s="39"/>
      <c r="R2989" s="3"/>
    </row>
    <row r="2990" spans="2:18" x14ac:dyDescent="0.2">
      <c r="B2990" s="1"/>
      <c r="C2990" s="2"/>
      <c r="D2990" s="2"/>
      <c r="F2990" s="1"/>
      <c r="G2990" s="2"/>
      <c r="H2990" s="38"/>
      <c r="J2990" s="3"/>
      <c r="K2990" s="3"/>
      <c r="L2990" s="3"/>
      <c r="N2990" s="3"/>
      <c r="O2990" s="3"/>
      <c r="P2990" s="39"/>
      <c r="R2990" s="3"/>
    </row>
    <row r="2991" spans="2:18" x14ac:dyDescent="0.2">
      <c r="B2991" s="1"/>
      <c r="C2991" s="2"/>
      <c r="D2991" s="2"/>
      <c r="F2991" s="1"/>
      <c r="G2991" s="2"/>
      <c r="H2991" s="38"/>
      <c r="J2991" s="3"/>
      <c r="K2991" s="3"/>
      <c r="L2991" s="3"/>
      <c r="N2991" s="3"/>
      <c r="O2991" s="3"/>
      <c r="P2991" s="39"/>
      <c r="R2991" s="3"/>
    </row>
    <row r="2992" spans="2:18" x14ac:dyDescent="0.2">
      <c r="B2992" s="1"/>
      <c r="C2992" s="2"/>
      <c r="D2992" s="2"/>
      <c r="F2992" s="1"/>
      <c r="G2992" s="2"/>
      <c r="H2992" s="38"/>
      <c r="J2992" s="3"/>
      <c r="K2992" s="3"/>
      <c r="L2992" s="3"/>
      <c r="N2992" s="3"/>
      <c r="O2992" s="3"/>
      <c r="P2992" s="39"/>
      <c r="R2992" s="3"/>
    </row>
    <row r="2993" spans="2:18" x14ac:dyDescent="0.2">
      <c r="B2993" s="1"/>
      <c r="C2993" s="2"/>
      <c r="D2993" s="2"/>
      <c r="F2993" s="1"/>
      <c r="G2993" s="2"/>
      <c r="H2993" s="38"/>
      <c r="J2993" s="3"/>
      <c r="K2993" s="3"/>
      <c r="L2993" s="3"/>
      <c r="N2993" s="3"/>
      <c r="O2993" s="3"/>
      <c r="P2993" s="39"/>
      <c r="R2993" s="3"/>
    </row>
    <row r="2994" spans="2:18" x14ac:dyDescent="0.2">
      <c r="B2994" s="1"/>
      <c r="C2994" s="2"/>
      <c r="D2994" s="2"/>
      <c r="F2994" s="1"/>
      <c r="G2994" s="2"/>
      <c r="H2994" s="38"/>
      <c r="J2994" s="3"/>
      <c r="K2994" s="3"/>
      <c r="L2994" s="3"/>
      <c r="N2994" s="3"/>
      <c r="O2994" s="3"/>
      <c r="P2994" s="39"/>
      <c r="R2994" s="3"/>
    </row>
    <row r="2995" spans="2:18" x14ac:dyDescent="0.2">
      <c r="B2995" s="1"/>
      <c r="C2995" s="2"/>
      <c r="D2995" s="2"/>
      <c r="F2995" s="1"/>
      <c r="G2995" s="2"/>
      <c r="H2995" s="38"/>
      <c r="J2995" s="3"/>
      <c r="K2995" s="3"/>
      <c r="L2995" s="3"/>
      <c r="N2995" s="3"/>
      <c r="O2995" s="3"/>
      <c r="P2995" s="39"/>
      <c r="R2995" s="3"/>
    </row>
    <row r="2996" spans="2:18" x14ac:dyDescent="0.2">
      <c r="B2996" s="1"/>
      <c r="C2996" s="2"/>
      <c r="D2996" s="2"/>
      <c r="F2996" s="3"/>
      <c r="G2996" s="2"/>
      <c r="H2996" s="2"/>
      <c r="J2996" s="3"/>
      <c r="K2996" s="3"/>
      <c r="L2996" s="3"/>
      <c r="N2996" s="3"/>
      <c r="O2996" s="3"/>
      <c r="P2996" s="3"/>
      <c r="R2996" s="3"/>
    </row>
    <row r="2997" spans="2:18" x14ac:dyDescent="0.2">
      <c r="B2997" s="1"/>
      <c r="C2997" s="2"/>
      <c r="D2997" s="2"/>
      <c r="F2997" s="1"/>
      <c r="G2997" s="2"/>
      <c r="H2997" s="2"/>
      <c r="J2997" s="3"/>
      <c r="K2997" s="3"/>
      <c r="L2997" s="3"/>
      <c r="N2997" s="3"/>
      <c r="O2997" s="3"/>
      <c r="P2997" s="3"/>
      <c r="R2997" s="3"/>
    </row>
    <row r="2998" spans="2:18" x14ac:dyDescent="0.2">
      <c r="B2998" s="1"/>
      <c r="C2998" s="2"/>
      <c r="D2998" s="2"/>
      <c r="F2998" s="1"/>
      <c r="G2998" s="2"/>
      <c r="H2998" s="2"/>
      <c r="J2998" s="3"/>
      <c r="K2998" s="3"/>
      <c r="L2998" s="3"/>
      <c r="N2998" s="3"/>
      <c r="O2998" s="3"/>
      <c r="P2998" s="3"/>
      <c r="R2998" s="3"/>
    </row>
    <row r="2999" spans="2:18" x14ac:dyDescent="0.2">
      <c r="B2999" s="1"/>
      <c r="C2999" s="2"/>
      <c r="D2999" s="2"/>
      <c r="F2999" s="1"/>
      <c r="G2999" s="2"/>
      <c r="H2999" s="2"/>
      <c r="J2999" s="3"/>
      <c r="K2999" s="3"/>
      <c r="L2999" s="3"/>
      <c r="N2999" s="3"/>
      <c r="O2999" s="3"/>
      <c r="P2999" s="3"/>
      <c r="R2999" s="3"/>
    </row>
    <row r="3000" spans="2:18" x14ac:dyDescent="0.2">
      <c r="B3000" s="1"/>
      <c r="C3000" s="2"/>
      <c r="D3000" s="2"/>
      <c r="F3000" s="1"/>
      <c r="G3000" s="2"/>
      <c r="H3000" s="2"/>
      <c r="J3000" s="3"/>
      <c r="K3000" s="3"/>
      <c r="L3000" s="3"/>
      <c r="N3000" s="3"/>
      <c r="O3000" s="3"/>
      <c r="P3000" s="3"/>
      <c r="R3000" s="3"/>
    </row>
    <row r="3001" spans="2:18" x14ac:dyDescent="0.2">
      <c r="B3001" s="1"/>
      <c r="C3001" s="2"/>
      <c r="D3001" s="2"/>
      <c r="F3001" s="1"/>
      <c r="G3001" s="2"/>
      <c r="H3001" s="2"/>
      <c r="J3001" s="3"/>
      <c r="K3001" s="3"/>
      <c r="L3001" s="3"/>
      <c r="N3001" s="3"/>
      <c r="O3001" s="3"/>
      <c r="P3001" s="3"/>
      <c r="R3001" s="3"/>
    </row>
    <row r="3002" spans="2:18" x14ac:dyDescent="0.2">
      <c r="B3002" s="1"/>
      <c r="C3002" s="2"/>
      <c r="D3002" s="2"/>
      <c r="F3002" s="1"/>
      <c r="G3002" s="2"/>
      <c r="H3002" s="2"/>
      <c r="J3002" s="3"/>
      <c r="K3002" s="3"/>
      <c r="L3002" s="3"/>
      <c r="N3002" s="3"/>
      <c r="O3002" s="3"/>
      <c r="P3002" s="3"/>
      <c r="R3002" s="3"/>
    </row>
    <row r="3003" spans="2:18" x14ac:dyDescent="0.2">
      <c r="B3003" s="1"/>
      <c r="C3003" s="2"/>
      <c r="D3003" s="2"/>
      <c r="F3003" s="1"/>
      <c r="G3003" s="2"/>
      <c r="H3003" s="2"/>
      <c r="J3003" s="3"/>
      <c r="K3003" s="3"/>
      <c r="L3003" s="3"/>
      <c r="N3003" s="3"/>
      <c r="O3003" s="3"/>
      <c r="P3003" s="3"/>
      <c r="R3003" s="3"/>
    </row>
    <row r="3004" spans="2:18" x14ac:dyDescent="0.2">
      <c r="B3004" s="1"/>
      <c r="C3004" s="2"/>
      <c r="D3004" s="2"/>
      <c r="F3004" s="1"/>
      <c r="G3004" s="2"/>
      <c r="H3004" s="2"/>
      <c r="J3004" s="3"/>
      <c r="K3004" s="3"/>
      <c r="L3004" s="3"/>
      <c r="N3004" s="3"/>
      <c r="O3004" s="3"/>
      <c r="P3004" s="3"/>
      <c r="R3004" s="3"/>
    </row>
    <row r="3005" spans="2:18" x14ac:dyDescent="0.2">
      <c r="B3005" s="1"/>
      <c r="C3005" s="2"/>
      <c r="D3005" s="2"/>
      <c r="F3005" s="1"/>
      <c r="G3005" s="2"/>
      <c r="H3005" s="2"/>
      <c r="J3005" s="3"/>
      <c r="K3005" s="3"/>
      <c r="L3005" s="3"/>
      <c r="N3005" s="3"/>
      <c r="O3005" s="3"/>
      <c r="P3005" s="3"/>
      <c r="R3005" s="3"/>
    </row>
    <row r="3006" spans="2:18" x14ac:dyDescent="0.2">
      <c r="B3006" s="1"/>
      <c r="C3006" s="2"/>
      <c r="D3006" s="2"/>
      <c r="F3006" s="1"/>
      <c r="G3006" s="2"/>
      <c r="H3006" s="2"/>
      <c r="J3006" s="3"/>
      <c r="K3006" s="3"/>
      <c r="L3006" s="3"/>
      <c r="N3006" s="3"/>
      <c r="O3006" s="3"/>
      <c r="P3006" s="3"/>
      <c r="R3006" s="3"/>
    </row>
    <row r="3007" spans="2:18" x14ac:dyDescent="0.2">
      <c r="B3007" s="1"/>
      <c r="C3007" s="2"/>
      <c r="D3007" s="2"/>
      <c r="F3007" s="1"/>
      <c r="G3007" s="2"/>
      <c r="H3007" s="2"/>
      <c r="J3007" s="3"/>
      <c r="K3007" s="3"/>
      <c r="L3007" s="3"/>
      <c r="N3007" s="3"/>
      <c r="O3007" s="3"/>
      <c r="P3007" s="3"/>
      <c r="R3007" s="3"/>
    </row>
    <row r="3008" spans="2:18" x14ac:dyDescent="0.2">
      <c r="B3008" s="1"/>
      <c r="C3008" s="2"/>
      <c r="D3008" s="2"/>
      <c r="F3008" s="1"/>
      <c r="G3008" s="2"/>
      <c r="H3008" s="2"/>
      <c r="J3008" s="3"/>
      <c r="K3008" s="3"/>
      <c r="L3008" s="3"/>
      <c r="N3008" s="3"/>
      <c r="O3008" s="3"/>
      <c r="P3008" s="3"/>
      <c r="R3008" s="3"/>
    </row>
    <row r="3009" spans="2:18" x14ac:dyDescent="0.2">
      <c r="B3009" s="1"/>
      <c r="C3009" s="2"/>
      <c r="D3009" s="2"/>
      <c r="F3009" s="1"/>
      <c r="G3009" s="2"/>
      <c r="H3009" s="2"/>
      <c r="J3009" s="3"/>
      <c r="K3009" s="3"/>
      <c r="L3009" s="3"/>
      <c r="N3009" s="3"/>
      <c r="O3009" s="3"/>
      <c r="P3009" s="3"/>
      <c r="R3009" s="3"/>
    </row>
    <row r="3010" spans="2:18" x14ac:dyDescent="0.2">
      <c r="B3010" s="1"/>
      <c r="C3010" s="2"/>
      <c r="D3010" s="2"/>
      <c r="F3010" s="1"/>
      <c r="G3010" s="2"/>
      <c r="H3010" s="2"/>
      <c r="J3010" s="3"/>
      <c r="K3010" s="3"/>
      <c r="L3010" s="3"/>
      <c r="N3010" s="3"/>
      <c r="O3010" s="3"/>
      <c r="P3010" s="3"/>
      <c r="R3010" s="3"/>
    </row>
    <row r="3011" spans="2:18" x14ac:dyDescent="0.2">
      <c r="B3011" s="1"/>
      <c r="C3011" s="2"/>
      <c r="D3011" s="2"/>
      <c r="F3011" s="1"/>
      <c r="G3011" s="2"/>
      <c r="H3011" s="2"/>
      <c r="J3011" s="3"/>
      <c r="K3011" s="3"/>
      <c r="L3011" s="3"/>
      <c r="N3011" s="3"/>
      <c r="O3011" s="3"/>
      <c r="P3011" s="3"/>
      <c r="R3011" s="3"/>
    </row>
    <row r="3012" spans="2:18" x14ac:dyDescent="0.2">
      <c r="B3012" s="1"/>
      <c r="C3012" s="2"/>
      <c r="D3012" s="2"/>
      <c r="F3012" s="1"/>
      <c r="G3012" s="2"/>
      <c r="H3012" s="2"/>
      <c r="J3012" s="3"/>
      <c r="K3012" s="3"/>
      <c r="L3012" s="3"/>
      <c r="N3012" s="3"/>
      <c r="O3012" s="3"/>
      <c r="P3012" s="3"/>
      <c r="R3012" s="3"/>
    </row>
    <row r="3013" spans="2:18" x14ac:dyDescent="0.2">
      <c r="B3013" s="1"/>
      <c r="C3013" s="2"/>
      <c r="D3013" s="2"/>
      <c r="F3013" s="1"/>
      <c r="G3013" s="2"/>
      <c r="H3013" s="2"/>
      <c r="J3013" s="3"/>
      <c r="K3013" s="3"/>
      <c r="L3013" s="3"/>
      <c r="N3013" s="3"/>
      <c r="O3013" s="3"/>
      <c r="P3013" s="3"/>
      <c r="R3013" s="3"/>
    </row>
    <row r="3014" spans="2:18" x14ac:dyDescent="0.2">
      <c r="B3014" s="1"/>
      <c r="C3014" s="2"/>
      <c r="D3014" s="2"/>
      <c r="F3014" s="1"/>
      <c r="G3014" s="2"/>
      <c r="H3014" s="2"/>
      <c r="J3014" s="3"/>
      <c r="K3014" s="3"/>
      <c r="L3014" s="3"/>
      <c r="N3014" s="3"/>
      <c r="O3014" s="3"/>
      <c r="P3014" s="3"/>
      <c r="R3014" s="3"/>
    </row>
    <row r="3015" spans="2:18" x14ac:dyDescent="0.2">
      <c r="B3015" s="1"/>
      <c r="C3015" s="2"/>
      <c r="D3015" s="2"/>
      <c r="F3015" s="1"/>
      <c r="G3015" s="2"/>
      <c r="H3015" s="2"/>
      <c r="J3015" s="3"/>
      <c r="K3015" s="3"/>
      <c r="L3015" s="3"/>
      <c r="N3015" s="3"/>
      <c r="O3015" s="3"/>
      <c r="P3015" s="3"/>
      <c r="R3015" s="3"/>
    </row>
    <row r="3016" spans="2:18" x14ac:dyDescent="0.2">
      <c r="B3016" s="1"/>
      <c r="C3016" s="2"/>
      <c r="D3016" s="2"/>
      <c r="F3016" s="1"/>
      <c r="G3016" s="2"/>
      <c r="H3016" s="2"/>
      <c r="J3016" s="3"/>
      <c r="K3016" s="3"/>
      <c r="L3016" s="3"/>
      <c r="N3016" s="3"/>
      <c r="O3016" s="3"/>
      <c r="P3016" s="3"/>
      <c r="R3016" s="3"/>
    </row>
    <row r="3017" spans="2:18" x14ac:dyDescent="0.2">
      <c r="B3017" s="1"/>
      <c r="C3017" s="2"/>
      <c r="D3017" s="2"/>
      <c r="F3017" s="1"/>
      <c r="G3017" s="2"/>
      <c r="H3017" s="2"/>
      <c r="J3017" s="3"/>
      <c r="K3017" s="3"/>
      <c r="L3017" s="3"/>
      <c r="N3017" s="3"/>
      <c r="O3017" s="3"/>
      <c r="P3017" s="3"/>
      <c r="R3017" s="3"/>
    </row>
    <row r="3018" spans="2:18" x14ac:dyDescent="0.2">
      <c r="B3018" s="1"/>
      <c r="C3018" s="2"/>
      <c r="D3018" s="2"/>
      <c r="F3018" s="1"/>
      <c r="G3018" s="2"/>
      <c r="H3018" s="2"/>
      <c r="J3018" s="3"/>
      <c r="K3018" s="3"/>
      <c r="L3018" s="3"/>
      <c r="N3018" s="3"/>
      <c r="O3018" s="3"/>
      <c r="P3018" s="3"/>
      <c r="R3018" s="3"/>
    </row>
    <row r="3019" spans="2:18" x14ac:dyDescent="0.2">
      <c r="B3019" s="1"/>
      <c r="C3019" s="2"/>
      <c r="D3019" s="2"/>
      <c r="F3019" s="1"/>
      <c r="G3019" s="2"/>
      <c r="H3019" s="2"/>
      <c r="J3019" s="3"/>
      <c r="K3019" s="3"/>
      <c r="L3019" s="3"/>
      <c r="N3019" s="3"/>
      <c r="O3019" s="3"/>
      <c r="P3019" s="3"/>
      <c r="R3019" s="3"/>
    </row>
    <row r="3020" spans="2:18" x14ac:dyDescent="0.2">
      <c r="B3020" s="1"/>
      <c r="C3020" s="2"/>
      <c r="D3020" s="2"/>
      <c r="F3020" s="1"/>
      <c r="G3020" s="2"/>
      <c r="H3020" s="2"/>
      <c r="J3020" s="3"/>
      <c r="K3020" s="3"/>
      <c r="L3020" s="3"/>
      <c r="N3020" s="3"/>
      <c r="O3020" s="3"/>
      <c r="P3020" s="3"/>
      <c r="R3020" s="3"/>
    </row>
    <row r="3021" spans="2:18" x14ac:dyDescent="0.2">
      <c r="B3021" s="1"/>
      <c r="C3021" s="2"/>
      <c r="D3021" s="2"/>
      <c r="F3021" s="1"/>
      <c r="G3021" s="2"/>
      <c r="H3021" s="2"/>
      <c r="J3021" s="3"/>
      <c r="K3021" s="3"/>
      <c r="L3021" s="3"/>
      <c r="N3021" s="3"/>
      <c r="O3021" s="3"/>
      <c r="P3021" s="3"/>
      <c r="R3021" s="3"/>
    </row>
    <row r="3022" spans="2:18" x14ac:dyDescent="0.2">
      <c r="B3022" s="1"/>
      <c r="C3022" s="2"/>
      <c r="D3022" s="2"/>
      <c r="F3022" s="1"/>
      <c r="G3022" s="2"/>
      <c r="H3022" s="2"/>
      <c r="J3022" s="3"/>
      <c r="K3022" s="3"/>
      <c r="L3022" s="3"/>
      <c r="N3022" s="3"/>
      <c r="O3022" s="3"/>
      <c r="P3022" s="3"/>
      <c r="R3022" s="3"/>
    </row>
    <row r="3023" spans="2:18" x14ac:dyDescent="0.2">
      <c r="B3023" s="1"/>
      <c r="C3023" s="2"/>
      <c r="D3023" s="2"/>
      <c r="F3023" s="1"/>
      <c r="G3023" s="2"/>
      <c r="H3023" s="2"/>
      <c r="J3023" s="3"/>
      <c r="K3023" s="3"/>
      <c r="L3023" s="3"/>
      <c r="N3023" s="3"/>
      <c r="O3023" s="3"/>
      <c r="P3023" s="3"/>
      <c r="R3023" s="3"/>
    </row>
    <row r="3024" spans="2:18" x14ac:dyDescent="0.2">
      <c r="B3024" s="1"/>
      <c r="C3024" s="2"/>
      <c r="D3024" s="2"/>
      <c r="F3024" s="1"/>
      <c r="G3024" s="2"/>
      <c r="H3024" s="2"/>
      <c r="J3024" s="3"/>
      <c r="K3024" s="3"/>
      <c r="L3024" s="3"/>
      <c r="N3024" s="3"/>
      <c r="O3024" s="3"/>
      <c r="P3024" s="3"/>
      <c r="R3024" s="3"/>
    </row>
    <row r="3025" spans="2:18" x14ac:dyDescent="0.2">
      <c r="B3025" s="1"/>
      <c r="C3025" s="2"/>
      <c r="D3025" s="2"/>
      <c r="F3025" s="1"/>
      <c r="G3025" s="2"/>
      <c r="H3025" s="2"/>
      <c r="J3025" s="3"/>
      <c r="K3025" s="3"/>
      <c r="L3025" s="3"/>
      <c r="N3025" s="3"/>
      <c r="O3025" s="3"/>
      <c r="P3025" s="3"/>
      <c r="R3025" s="3"/>
    </row>
    <row r="3026" spans="2:18" x14ac:dyDescent="0.2">
      <c r="B3026" s="1"/>
      <c r="C3026" s="2"/>
      <c r="D3026" s="2"/>
      <c r="F3026" s="1"/>
      <c r="G3026" s="2"/>
      <c r="H3026" s="2"/>
      <c r="J3026" s="3"/>
      <c r="K3026" s="3"/>
      <c r="L3026" s="3"/>
      <c r="N3026" s="3"/>
      <c r="O3026" s="3"/>
      <c r="P3026" s="3"/>
      <c r="R3026" s="3"/>
    </row>
    <row r="3027" spans="2:18" x14ac:dyDescent="0.2">
      <c r="B3027" s="1"/>
      <c r="C3027" s="2"/>
      <c r="D3027" s="2"/>
      <c r="F3027" s="1"/>
      <c r="G3027" s="2"/>
      <c r="H3027" s="2"/>
      <c r="J3027" s="3"/>
      <c r="K3027" s="3"/>
      <c r="L3027" s="3"/>
      <c r="N3027" s="3"/>
      <c r="O3027" s="3"/>
      <c r="P3027" s="3"/>
      <c r="R3027" s="3"/>
    </row>
    <row r="3028" spans="2:18" x14ac:dyDescent="0.2">
      <c r="B3028" s="1"/>
      <c r="C3028" s="2"/>
      <c r="D3028" s="2"/>
      <c r="F3028" s="1"/>
      <c r="G3028" s="2"/>
      <c r="H3028" s="2"/>
      <c r="J3028" s="3"/>
      <c r="K3028" s="3"/>
      <c r="L3028" s="3"/>
      <c r="N3028" s="3"/>
      <c r="O3028" s="3"/>
      <c r="P3028" s="3"/>
      <c r="R3028" s="3"/>
    </row>
    <row r="3029" spans="2:18" x14ac:dyDescent="0.2">
      <c r="B3029" s="1"/>
      <c r="C3029" s="2"/>
      <c r="D3029" s="2"/>
      <c r="F3029" s="1"/>
      <c r="G3029" s="2"/>
      <c r="H3029" s="2"/>
      <c r="J3029" s="3"/>
      <c r="K3029" s="3"/>
      <c r="L3029" s="3"/>
      <c r="N3029" s="3"/>
      <c r="O3029" s="3"/>
      <c r="P3029" s="3"/>
      <c r="R3029" s="3"/>
    </row>
    <row r="3030" spans="2:18" x14ac:dyDescent="0.2">
      <c r="B3030" s="1"/>
      <c r="C3030" s="2"/>
      <c r="D3030" s="2"/>
      <c r="F3030" s="1"/>
      <c r="G3030" s="2"/>
      <c r="H3030" s="2"/>
      <c r="J3030" s="3"/>
      <c r="K3030" s="3"/>
      <c r="L3030" s="3"/>
      <c r="N3030" s="3"/>
      <c r="O3030" s="3"/>
      <c r="P3030" s="3"/>
      <c r="R3030" s="3"/>
    </row>
    <row r="3031" spans="2:18" x14ac:dyDescent="0.2">
      <c r="B3031" s="1"/>
      <c r="C3031" s="2"/>
      <c r="D3031" s="2"/>
      <c r="F3031" s="1"/>
      <c r="G3031" s="2"/>
      <c r="H3031" s="2"/>
      <c r="J3031" s="3"/>
      <c r="K3031" s="3"/>
      <c r="L3031" s="3"/>
      <c r="N3031" s="3"/>
      <c r="O3031" s="3"/>
      <c r="P3031" s="3"/>
      <c r="R3031" s="3"/>
    </row>
    <row r="3032" spans="2:18" x14ac:dyDescent="0.2">
      <c r="B3032" s="1"/>
      <c r="C3032" s="2"/>
      <c r="D3032" s="2"/>
      <c r="F3032" s="1"/>
      <c r="G3032" s="2"/>
      <c r="H3032" s="2"/>
      <c r="J3032" s="3"/>
      <c r="K3032" s="3"/>
      <c r="L3032" s="3"/>
      <c r="N3032" s="3"/>
      <c r="O3032" s="3"/>
      <c r="P3032" s="3"/>
      <c r="R3032" s="3"/>
    </row>
    <row r="3033" spans="2:18" x14ac:dyDescent="0.2">
      <c r="B3033" s="1"/>
      <c r="C3033" s="2"/>
      <c r="D3033" s="2"/>
      <c r="F3033" s="1"/>
      <c r="G3033" s="2"/>
      <c r="H3033" s="2"/>
      <c r="J3033" s="3"/>
      <c r="K3033" s="3"/>
      <c r="L3033" s="3"/>
      <c r="N3033" s="3"/>
      <c r="O3033" s="3"/>
      <c r="P3033" s="3"/>
      <c r="R3033" s="3"/>
    </row>
    <row r="3034" spans="2:18" x14ac:dyDescent="0.2">
      <c r="B3034" s="1"/>
      <c r="C3034" s="2"/>
      <c r="D3034" s="2"/>
      <c r="F3034" s="1"/>
      <c r="G3034" s="2"/>
      <c r="H3034" s="2"/>
      <c r="J3034" s="3"/>
      <c r="K3034" s="3"/>
      <c r="L3034" s="3"/>
      <c r="N3034" s="3"/>
      <c r="O3034" s="3"/>
      <c r="P3034" s="3"/>
      <c r="R3034" s="3"/>
    </row>
    <row r="3035" spans="2:18" x14ac:dyDescent="0.2">
      <c r="B3035" s="1"/>
      <c r="C3035" s="2"/>
      <c r="D3035" s="2"/>
      <c r="F3035" s="1"/>
      <c r="G3035" s="2"/>
      <c r="H3035" s="2"/>
      <c r="J3035" s="3"/>
      <c r="K3035" s="3"/>
      <c r="L3035" s="3"/>
      <c r="N3035" s="3"/>
      <c r="O3035" s="3"/>
      <c r="P3035" s="3"/>
      <c r="R3035" s="3"/>
    </row>
    <row r="3036" spans="2:18" x14ac:dyDescent="0.2">
      <c r="B3036" s="1"/>
      <c r="C3036" s="2"/>
      <c r="D3036" s="2"/>
      <c r="F3036" s="1"/>
      <c r="G3036" s="2"/>
      <c r="H3036" s="2"/>
      <c r="J3036" s="3"/>
      <c r="K3036" s="3"/>
      <c r="L3036" s="3"/>
      <c r="N3036" s="3"/>
      <c r="O3036" s="3"/>
      <c r="P3036" s="3"/>
      <c r="R3036" s="3"/>
    </row>
    <row r="3037" spans="2:18" x14ac:dyDescent="0.2">
      <c r="B3037" s="1"/>
      <c r="C3037" s="2"/>
      <c r="D3037" s="2"/>
      <c r="F3037" s="1"/>
      <c r="G3037" s="2"/>
      <c r="H3037" s="2"/>
      <c r="J3037" s="3"/>
      <c r="K3037" s="3"/>
      <c r="L3037" s="3"/>
      <c r="N3037" s="3"/>
      <c r="O3037" s="3"/>
      <c r="P3037" s="3"/>
      <c r="R3037" s="3"/>
    </row>
    <row r="3038" spans="2:18" x14ac:dyDescent="0.2">
      <c r="B3038" s="1"/>
      <c r="C3038" s="2"/>
      <c r="D3038" s="2"/>
      <c r="F3038" s="1"/>
      <c r="G3038" s="2"/>
      <c r="H3038" s="2"/>
      <c r="J3038" s="3"/>
      <c r="K3038" s="3"/>
      <c r="L3038" s="3"/>
      <c r="N3038" s="3"/>
      <c r="O3038" s="3"/>
      <c r="P3038" s="3"/>
      <c r="R3038" s="3"/>
    </row>
    <row r="3039" spans="2:18" x14ac:dyDescent="0.2">
      <c r="B3039" s="1"/>
      <c r="C3039" s="2"/>
      <c r="D3039" s="2"/>
      <c r="F3039" s="1"/>
      <c r="G3039" s="2"/>
      <c r="H3039" s="2"/>
      <c r="J3039" s="3"/>
      <c r="K3039" s="3"/>
      <c r="L3039" s="3"/>
      <c r="N3039" s="3"/>
      <c r="O3039" s="3"/>
      <c r="P3039" s="3"/>
      <c r="R3039" s="3"/>
    </row>
    <row r="3040" spans="2:18" x14ac:dyDescent="0.2">
      <c r="B3040" s="1"/>
      <c r="C3040" s="2"/>
      <c r="D3040" s="2"/>
      <c r="F3040" s="1"/>
      <c r="G3040" s="2"/>
      <c r="H3040" s="2"/>
      <c r="J3040" s="3"/>
      <c r="K3040" s="3"/>
      <c r="L3040" s="3"/>
      <c r="N3040" s="3"/>
      <c r="O3040" s="3"/>
      <c r="P3040" s="3"/>
      <c r="R3040" s="3"/>
    </row>
    <row r="3041" spans="2:18" x14ac:dyDescent="0.2">
      <c r="B3041" s="1"/>
      <c r="C3041" s="2"/>
      <c r="D3041" s="2"/>
      <c r="F3041" s="1"/>
      <c r="G3041" s="2"/>
      <c r="H3041" s="2"/>
      <c r="J3041" s="3"/>
      <c r="K3041" s="3"/>
      <c r="L3041" s="3"/>
      <c r="N3041" s="3"/>
      <c r="O3041" s="3"/>
      <c r="P3041" s="3"/>
      <c r="R3041" s="3"/>
    </row>
    <row r="3042" spans="2:18" x14ac:dyDescent="0.2">
      <c r="B3042" s="1"/>
      <c r="C3042" s="2"/>
      <c r="D3042" s="2"/>
      <c r="F3042" s="1"/>
      <c r="G3042" s="2"/>
      <c r="H3042" s="2"/>
      <c r="J3042" s="3"/>
      <c r="K3042" s="3"/>
      <c r="L3042" s="3"/>
      <c r="N3042" s="3"/>
      <c r="O3042" s="3"/>
      <c r="P3042" s="3"/>
      <c r="R3042" s="3"/>
    </row>
    <row r="3043" spans="2:18" x14ac:dyDescent="0.2">
      <c r="B3043" s="1"/>
      <c r="C3043" s="2"/>
      <c r="D3043" s="2"/>
      <c r="F3043" s="1"/>
      <c r="G3043" s="2"/>
      <c r="H3043" s="2"/>
      <c r="J3043" s="3"/>
      <c r="K3043" s="3"/>
      <c r="L3043" s="3"/>
      <c r="N3043" s="3"/>
      <c r="O3043" s="3"/>
      <c r="P3043" s="3"/>
      <c r="R3043" s="3"/>
    </row>
    <row r="3044" spans="2:18" x14ac:dyDescent="0.2">
      <c r="B3044" s="1"/>
      <c r="C3044" s="2"/>
      <c r="D3044" s="2"/>
      <c r="F3044" s="1"/>
      <c r="G3044" s="2"/>
      <c r="H3044" s="2"/>
      <c r="J3044" s="3"/>
      <c r="K3044" s="3"/>
      <c r="L3044" s="3"/>
      <c r="N3044" s="3"/>
      <c r="O3044" s="3"/>
      <c r="P3044" s="3"/>
      <c r="R3044" s="3"/>
    </row>
    <row r="3045" spans="2:18" x14ac:dyDescent="0.2">
      <c r="B3045" s="1"/>
      <c r="C3045" s="2"/>
      <c r="D3045" s="2"/>
      <c r="F3045" s="1"/>
      <c r="G3045" s="2"/>
      <c r="H3045" s="2"/>
      <c r="J3045" s="3"/>
      <c r="K3045" s="3"/>
      <c r="L3045" s="3"/>
      <c r="N3045" s="3"/>
      <c r="O3045" s="3"/>
      <c r="P3045" s="3"/>
      <c r="R3045" s="3"/>
    </row>
    <row r="3046" spans="2:18" x14ac:dyDescent="0.2">
      <c r="B3046" s="1"/>
      <c r="C3046" s="2"/>
      <c r="D3046" s="2"/>
      <c r="F3046" s="1"/>
      <c r="G3046" s="2"/>
      <c r="H3046" s="2"/>
      <c r="J3046" s="3"/>
      <c r="K3046" s="3"/>
      <c r="L3046" s="3"/>
      <c r="N3046" s="3"/>
      <c r="O3046" s="3"/>
      <c r="P3046" s="3"/>
      <c r="R3046" s="3"/>
    </row>
    <row r="3047" spans="2:18" x14ac:dyDescent="0.2">
      <c r="B3047" s="1"/>
      <c r="C3047" s="2"/>
      <c r="D3047" s="2"/>
      <c r="F3047" s="1"/>
      <c r="G3047" s="2"/>
      <c r="H3047" s="2"/>
      <c r="J3047" s="3"/>
      <c r="K3047" s="3"/>
      <c r="L3047" s="3"/>
      <c r="N3047" s="3"/>
      <c r="O3047" s="3"/>
      <c r="P3047" s="3"/>
      <c r="R3047" s="3"/>
    </row>
    <row r="3048" spans="2:18" x14ac:dyDescent="0.2">
      <c r="B3048" s="1"/>
      <c r="C3048" s="2"/>
      <c r="D3048" s="2"/>
      <c r="F3048" s="1"/>
      <c r="G3048" s="2"/>
      <c r="H3048" s="2"/>
      <c r="J3048" s="3"/>
      <c r="K3048" s="3"/>
      <c r="L3048" s="3"/>
      <c r="N3048" s="3"/>
      <c r="O3048" s="3"/>
      <c r="P3048" s="3"/>
      <c r="R3048" s="3"/>
    </row>
    <row r="3049" spans="2:18" x14ac:dyDescent="0.2">
      <c r="B3049" s="1"/>
      <c r="C3049" s="2"/>
      <c r="D3049" s="2"/>
      <c r="F3049" s="1"/>
      <c r="G3049" s="2"/>
      <c r="H3049" s="2"/>
      <c r="J3049" s="3"/>
      <c r="K3049" s="3"/>
      <c r="L3049" s="3"/>
      <c r="N3049" s="3"/>
      <c r="O3049" s="3"/>
      <c r="P3049" s="3"/>
      <c r="R3049" s="3"/>
    </row>
    <row r="3050" spans="2:18" x14ac:dyDescent="0.2">
      <c r="B3050" s="1"/>
      <c r="C3050" s="2"/>
      <c r="D3050" s="2"/>
      <c r="F3050" s="1"/>
      <c r="G3050" s="2"/>
      <c r="H3050" s="2"/>
      <c r="J3050" s="3"/>
      <c r="K3050" s="3"/>
      <c r="L3050" s="3"/>
      <c r="N3050" s="3"/>
      <c r="O3050" s="3"/>
      <c r="P3050" s="3"/>
      <c r="R3050" s="3"/>
    </row>
    <row r="3051" spans="2:18" x14ac:dyDescent="0.2">
      <c r="B3051" s="1"/>
      <c r="C3051" s="2"/>
      <c r="D3051" s="2"/>
      <c r="F3051" s="1"/>
      <c r="G3051" s="2"/>
      <c r="H3051" s="2"/>
      <c r="J3051" s="3"/>
      <c r="K3051" s="3"/>
      <c r="L3051" s="3"/>
      <c r="N3051" s="3"/>
      <c r="O3051" s="3"/>
      <c r="P3051" s="3"/>
      <c r="R3051" s="3"/>
    </row>
    <row r="3052" spans="2:18" x14ac:dyDescent="0.2">
      <c r="B3052" s="1"/>
      <c r="C3052" s="2"/>
      <c r="D3052" s="2"/>
      <c r="F3052" s="1"/>
      <c r="G3052" s="2"/>
      <c r="H3052" s="2"/>
      <c r="J3052" s="3"/>
      <c r="K3052" s="3"/>
      <c r="L3052" s="3"/>
      <c r="N3052" s="3"/>
      <c r="O3052" s="3"/>
      <c r="P3052" s="3"/>
      <c r="R3052" s="3"/>
    </row>
    <row r="3053" spans="2:18" x14ac:dyDescent="0.2">
      <c r="B3053" s="1"/>
      <c r="C3053" s="2"/>
      <c r="D3053" s="2"/>
      <c r="F3053" s="1"/>
      <c r="G3053" s="2"/>
      <c r="H3053" s="2"/>
      <c r="J3053" s="3"/>
      <c r="K3053" s="3"/>
      <c r="L3053" s="3"/>
      <c r="N3053" s="3"/>
      <c r="O3053" s="3"/>
      <c r="P3053" s="3"/>
      <c r="R3053" s="3"/>
    </row>
    <row r="3054" spans="2:18" x14ac:dyDescent="0.2">
      <c r="B3054" s="1"/>
      <c r="C3054" s="2"/>
      <c r="D3054" s="2"/>
      <c r="F3054" s="1"/>
      <c r="G3054" s="2"/>
      <c r="H3054" s="2"/>
      <c r="J3054" s="3"/>
      <c r="K3054" s="3"/>
      <c r="L3054" s="3"/>
      <c r="N3054" s="3"/>
      <c r="O3054" s="3"/>
      <c r="P3054" s="3"/>
      <c r="R3054" s="3"/>
    </row>
    <row r="3055" spans="2:18" x14ac:dyDescent="0.2">
      <c r="B3055" s="1"/>
      <c r="C3055" s="2"/>
      <c r="D3055" s="2"/>
      <c r="F3055" s="1"/>
      <c r="G3055" s="2"/>
      <c r="H3055" s="2"/>
      <c r="J3055" s="3"/>
      <c r="K3055" s="3"/>
      <c r="L3055" s="3"/>
      <c r="N3055" s="3"/>
      <c r="O3055" s="3"/>
      <c r="P3055" s="3"/>
      <c r="R3055" s="3"/>
    </row>
    <row r="3056" spans="2:18" x14ac:dyDescent="0.2">
      <c r="B3056" s="1"/>
      <c r="C3056" s="2"/>
      <c r="D3056" s="2"/>
      <c r="F3056" s="1"/>
      <c r="G3056" s="2"/>
      <c r="H3056" s="2"/>
      <c r="J3056" s="3"/>
      <c r="K3056" s="3"/>
      <c r="L3056" s="3"/>
      <c r="N3056" s="3"/>
      <c r="O3056" s="3"/>
      <c r="P3056" s="3"/>
      <c r="R3056" s="3"/>
    </row>
    <row r="3057" spans="2:18" x14ac:dyDescent="0.2">
      <c r="B3057" s="1"/>
      <c r="C3057" s="2"/>
      <c r="D3057" s="2"/>
      <c r="F3057" s="1"/>
      <c r="G3057" s="2"/>
      <c r="H3057" s="2"/>
      <c r="J3057" s="3"/>
      <c r="K3057" s="3"/>
      <c r="L3057" s="3"/>
      <c r="N3057" s="3"/>
      <c r="O3057" s="3"/>
      <c r="P3057" s="3"/>
      <c r="R3057" s="3"/>
    </row>
    <row r="3058" spans="2:18" x14ac:dyDescent="0.2">
      <c r="B3058" s="1"/>
      <c r="C3058" s="2"/>
      <c r="D3058" s="2"/>
      <c r="F3058" s="1"/>
      <c r="G3058" s="2"/>
      <c r="H3058" s="2"/>
      <c r="J3058" s="3"/>
      <c r="K3058" s="3"/>
      <c r="L3058" s="3"/>
      <c r="N3058" s="3"/>
      <c r="O3058" s="3"/>
      <c r="P3058" s="3"/>
      <c r="R3058" s="3"/>
    </row>
    <row r="3059" spans="2:18" x14ac:dyDescent="0.2">
      <c r="B3059" s="1"/>
      <c r="C3059" s="2"/>
      <c r="D3059" s="2"/>
      <c r="F3059" s="1"/>
      <c r="G3059" s="2"/>
      <c r="H3059" s="2"/>
      <c r="J3059" s="3"/>
      <c r="K3059" s="3"/>
      <c r="L3059" s="3"/>
      <c r="N3059" s="3"/>
      <c r="O3059" s="3"/>
      <c r="P3059" s="3"/>
      <c r="R3059" s="3"/>
    </row>
    <row r="3060" spans="2:18" x14ac:dyDescent="0.2">
      <c r="B3060" s="1"/>
      <c r="C3060" s="2"/>
      <c r="D3060" s="2"/>
      <c r="F3060" s="1"/>
      <c r="G3060" s="2"/>
      <c r="H3060" s="2"/>
      <c r="J3060" s="3"/>
      <c r="K3060" s="3"/>
      <c r="L3060" s="3"/>
      <c r="N3060" s="3"/>
      <c r="O3060" s="3"/>
      <c r="P3060" s="3"/>
      <c r="R3060" s="3"/>
    </row>
    <row r="3061" spans="2:18" x14ac:dyDescent="0.2">
      <c r="B3061" s="1"/>
      <c r="C3061" s="2"/>
      <c r="D3061" s="2"/>
      <c r="F3061" s="1"/>
      <c r="G3061" s="2"/>
      <c r="H3061" s="2"/>
      <c r="J3061" s="3"/>
      <c r="K3061" s="3"/>
      <c r="L3061" s="3"/>
      <c r="N3061" s="3"/>
      <c r="O3061" s="3"/>
      <c r="P3061" s="3"/>
      <c r="R3061" s="3"/>
    </row>
    <row r="3062" spans="2:18" x14ac:dyDescent="0.2">
      <c r="B3062" s="1"/>
      <c r="C3062" s="2"/>
      <c r="D3062" s="2"/>
      <c r="F3062" s="1"/>
      <c r="G3062" s="2"/>
      <c r="H3062" s="2"/>
      <c r="J3062" s="3"/>
      <c r="K3062" s="3"/>
      <c r="L3062" s="3"/>
      <c r="N3062" s="3"/>
      <c r="O3062" s="3"/>
      <c r="P3062" s="3"/>
      <c r="R3062" s="3"/>
    </row>
    <row r="3063" spans="2:18" x14ac:dyDescent="0.2">
      <c r="B3063" s="1"/>
      <c r="C3063" s="2"/>
      <c r="D3063" s="2"/>
      <c r="F3063" s="1"/>
      <c r="G3063" s="2"/>
      <c r="H3063" s="2"/>
      <c r="J3063" s="3"/>
      <c r="K3063" s="3"/>
      <c r="L3063" s="3"/>
      <c r="N3063" s="3"/>
      <c r="O3063" s="3"/>
      <c r="P3063" s="3"/>
      <c r="R3063" s="3"/>
    </row>
    <row r="3064" spans="2:18" x14ac:dyDescent="0.2">
      <c r="B3064" s="1"/>
      <c r="C3064" s="2"/>
      <c r="D3064" s="2"/>
      <c r="F3064" s="1"/>
      <c r="G3064" s="2"/>
      <c r="H3064" s="2"/>
      <c r="J3064" s="3"/>
      <c r="K3064" s="3"/>
      <c r="L3064" s="3"/>
      <c r="N3064" s="3"/>
      <c r="O3064" s="3"/>
      <c r="P3064" s="3"/>
      <c r="R3064" s="3"/>
    </row>
    <row r="3065" spans="2:18" x14ac:dyDescent="0.2">
      <c r="B3065" s="1"/>
      <c r="C3065" s="2"/>
      <c r="D3065" s="2"/>
      <c r="F3065" s="1"/>
      <c r="G3065" s="2"/>
      <c r="H3065" s="2"/>
      <c r="J3065" s="3"/>
      <c r="K3065" s="3"/>
      <c r="L3065" s="3"/>
      <c r="N3065" s="3"/>
      <c r="O3065" s="3"/>
      <c r="P3065" s="3"/>
      <c r="R3065" s="3"/>
    </row>
    <row r="3066" spans="2:18" x14ac:dyDescent="0.2">
      <c r="B3066" s="1"/>
      <c r="C3066" s="2"/>
      <c r="D3066" s="2"/>
      <c r="F3066" s="1"/>
      <c r="G3066" s="2"/>
      <c r="H3066" s="2"/>
      <c r="J3066" s="3"/>
      <c r="K3066" s="3"/>
      <c r="L3066" s="3"/>
      <c r="N3066" s="3"/>
      <c r="O3066" s="3"/>
      <c r="P3066" s="3"/>
      <c r="R3066" s="3"/>
    </row>
    <row r="3067" spans="2:18" x14ac:dyDescent="0.2">
      <c r="B3067" s="1"/>
      <c r="C3067" s="2"/>
      <c r="D3067" s="2"/>
      <c r="F3067" s="1"/>
      <c r="G3067" s="2"/>
      <c r="H3067" s="2"/>
      <c r="J3067" s="3"/>
      <c r="K3067" s="3"/>
      <c r="L3067" s="3"/>
      <c r="N3067" s="3"/>
      <c r="O3067" s="3"/>
      <c r="P3067" s="3"/>
      <c r="R3067" s="3"/>
    </row>
    <row r="3068" spans="2:18" x14ac:dyDescent="0.2">
      <c r="B3068" s="1"/>
      <c r="C3068" s="2"/>
      <c r="D3068" s="2"/>
      <c r="F3068" s="1"/>
      <c r="G3068" s="2"/>
      <c r="H3068" s="2"/>
      <c r="J3068" s="3"/>
      <c r="K3068" s="3"/>
      <c r="L3068" s="3"/>
      <c r="N3068" s="3"/>
      <c r="O3068" s="3"/>
      <c r="P3068" s="3"/>
      <c r="R3068" s="3"/>
    </row>
    <row r="3069" spans="2:18" x14ac:dyDescent="0.2">
      <c r="B3069" s="1"/>
      <c r="C3069" s="2"/>
      <c r="D3069" s="2"/>
      <c r="F3069" s="1"/>
      <c r="G3069" s="2"/>
      <c r="H3069" s="2"/>
      <c r="J3069" s="3"/>
      <c r="K3069" s="3"/>
      <c r="L3069" s="3"/>
      <c r="N3069" s="3"/>
      <c r="O3069" s="3"/>
      <c r="P3069" s="3"/>
      <c r="R3069" s="3"/>
    </row>
    <row r="3070" spans="2:18" x14ac:dyDescent="0.2">
      <c r="B3070" s="1"/>
      <c r="C3070" s="2"/>
      <c r="D3070" s="2"/>
      <c r="F3070" s="1"/>
      <c r="G3070" s="2"/>
      <c r="H3070" s="2"/>
      <c r="J3070" s="3"/>
      <c r="K3070" s="3"/>
      <c r="L3070" s="3"/>
      <c r="N3070" s="3"/>
      <c r="O3070" s="3"/>
      <c r="P3070" s="3"/>
      <c r="R3070" s="3"/>
    </row>
    <row r="3071" spans="2:18" x14ac:dyDescent="0.2">
      <c r="B3071" s="1"/>
      <c r="C3071" s="2"/>
      <c r="D3071" s="2"/>
      <c r="F3071" s="1"/>
      <c r="G3071" s="2"/>
      <c r="H3071" s="2"/>
      <c r="J3071" s="3"/>
      <c r="K3071" s="3"/>
      <c r="L3071" s="3"/>
      <c r="N3071" s="3"/>
      <c r="O3071" s="3"/>
      <c r="P3071" s="3"/>
      <c r="R3071" s="3"/>
    </row>
    <row r="3072" spans="2:18" x14ac:dyDescent="0.2">
      <c r="B3072" s="1"/>
      <c r="C3072" s="2"/>
      <c r="D3072" s="2"/>
      <c r="F3072" s="1"/>
      <c r="G3072" s="2"/>
      <c r="H3072" s="2"/>
      <c r="J3072" s="3"/>
      <c r="K3072" s="3"/>
      <c r="L3072" s="3"/>
      <c r="N3072" s="3"/>
      <c r="O3072" s="3"/>
      <c r="P3072" s="3"/>
      <c r="R3072" s="3"/>
    </row>
    <row r="3073" spans="2:18" x14ac:dyDescent="0.2">
      <c r="B3073" s="1"/>
      <c r="C3073" s="2"/>
      <c r="D3073" s="2"/>
      <c r="F3073" s="1"/>
      <c r="G3073" s="2"/>
      <c r="H3073" s="2"/>
      <c r="J3073" s="3"/>
      <c r="K3073" s="3"/>
      <c r="L3073" s="3"/>
      <c r="N3073" s="3"/>
      <c r="O3073" s="3"/>
      <c r="P3073" s="3"/>
      <c r="R3073" s="3"/>
    </row>
    <row r="3074" spans="2:18" x14ac:dyDescent="0.2">
      <c r="B3074" s="1"/>
      <c r="C3074" s="2"/>
      <c r="D3074" s="2"/>
      <c r="F3074" s="1"/>
      <c r="G3074" s="2"/>
      <c r="H3074" s="2"/>
      <c r="J3074" s="3"/>
      <c r="K3074" s="3"/>
      <c r="L3074" s="3"/>
      <c r="N3074" s="3"/>
      <c r="O3074" s="3"/>
      <c r="P3074" s="3"/>
      <c r="R3074" s="3"/>
    </row>
    <row r="3075" spans="2:18" x14ac:dyDescent="0.2">
      <c r="B3075" s="1"/>
      <c r="C3075" s="2"/>
      <c r="D3075" s="2"/>
      <c r="F3075" s="1"/>
      <c r="G3075" s="2"/>
      <c r="H3075" s="2"/>
      <c r="J3075" s="3"/>
      <c r="K3075" s="3"/>
      <c r="L3075" s="3"/>
      <c r="N3075" s="3"/>
      <c r="O3075" s="3"/>
      <c r="P3075" s="3"/>
      <c r="R3075" s="3"/>
    </row>
    <row r="3076" spans="2:18" x14ac:dyDescent="0.2">
      <c r="B3076" s="1"/>
      <c r="C3076" s="2"/>
      <c r="D3076" s="2"/>
      <c r="F3076" s="1"/>
      <c r="G3076" s="2"/>
      <c r="H3076" s="2"/>
      <c r="J3076" s="3"/>
      <c r="K3076" s="3"/>
      <c r="L3076" s="3"/>
      <c r="N3076" s="3"/>
      <c r="O3076" s="3"/>
      <c r="P3076" s="3"/>
      <c r="R3076" s="3"/>
    </row>
    <row r="3077" spans="2:18" x14ac:dyDescent="0.2">
      <c r="B3077" s="1"/>
      <c r="C3077" s="2"/>
      <c r="D3077" s="2"/>
      <c r="F3077" s="1"/>
      <c r="G3077" s="2"/>
      <c r="H3077" s="2"/>
      <c r="J3077" s="3"/>
      <c r="K3077" s="3"/>
      <c r="L3077" s="3"/>
      <c r="N3077" s="3"/>
      <c r="O3077" s="3"/>
      <c r="P3077" s="3"/>
      <c r="R3077" s="3"/>
    </row>
    <row r="3078" spans="2:18" x14ac:dyDescent="0.2">
      <c r="B3078" s="1"/>
      <c r="C3078" s="2"/>
      <c r="D3078" s="2"/>
      <c r="F3078" s="1"/>
      <c r="G3078" s="2"/>
      <c r="H3078" s="2"/>
      <c r="J3078" s="3"/>
      <c r="K3078" s="3"/>
      <c r="L3078" s="3"/>
      <c r="N3078" s="3"/>
      <c r="O3078" s="3"/>
      <c r="P3078" s="3"/>
      <c r="R3078" s="3"/>
    </row>
    <row r="3079" spans="2:18" x14ac:dyDescent="0.2">
      <c r="B3079" s="1"/>
      <c r="C3079" s="2"/>
      <c r="D3079" s="2"/>
      <c r="F3079" s="1"/>
      <c r="G3079" s="2"/>
      <c r="H3079" s="2"/>
      <c r="J3079" s="3"/>
      <c r="K3079" s="3"/>
      <c r="L3079" s="3"/>
      <c r="N3079" s="3"/>
      <c r="O3079" s="3"/>
      <c r="P3079" s="3"/>
      <c r="R3079" s="3"/>
    </row>
    <row r="3080" spans="2:18" x14ac:dyDescent="0.2">
      <c r="B3080" s="1"/>
      <c r="C3080" s="2"/>
      <c r="D3080" s="2"/>
      <c r="F3080" s="1"/>
      <c r="G3080" s="2"/>
      <c r="H3080" s="2"/>
      <c r="J3080" s="3"/>
      <c r="K3080" s="3"/>
      <c r="L3080" s="3"/>
      <c r="N3080" s="3"/>
      <c r="O3080" s="3"/>
      <c r="P3080" s="3"/>
      <c r="R3080" s="3"/>
    </row>
    <row r="3081" spans="2:18" x14ac:dyDescent="0.2">
      <c r="B3081" s="1"/>
      <c r="C3081" s="2"/>
      <c r="D3081" s="2"/>
      <c r="F3081" s="1"/>
      <c r="G3081" s="2"/>
      <c r="H3081" s="2"/>
      <c r="J3081" s="3"/>
      <c r="K3081" s="3"/>
      <c r="L3081" s="3"/>
      <c r="N3081" s="3"/>
      <c r="O3081" s="3"/>
      <c r="P3081" s="3"/>
      <c r="R3081" s="3"/>
    </row>
    <row r="3082" spans="2:18" x14ac:dyDescent="0.2">
      <c r="B3082" s="1"/>
      <c r="C3082" s="2"/>
      <c r="D3082" s="2"/>
      <c r="F3082" s="1"/>
      <c r="G3082" s="2"/>
      <c r="H3082" s="2"/>
      <c r="J3082" s="3"/>
      <c r="K3082" s="3"/>
      <c r="L3082" s="3"/>
      <c r="N3082" s="3"/>
      <c r="O3082" s="3"/>
      <c r="P3082" s="3"/>
      <c r="R3082" s="3"/>
    </row>
    <row r="3083" spans="2:18" x14ac:dyDescent="0.2">
      <c r="B3083" s="1"/>
      <c r="C3083" s="2"/>
      <c r="D3083" s="2"/>
      <c r="F3083" s="1"/>
      <c r="G3083" s="2"/>
      <c r="H3083" s="2"/>
      <c r="J3083" s="3"/>
      <c r="K3083" s="3"/>
      <c r="L3083" s="3"/>
      <c r="N3083" s="3"/>
      <c r="O3083" s="3"/>
      <c r="P3083" s="3"/>
      <c r="R3083" s="3"/>
    </row>
    <row r="3084" spans="2:18" x14ac:dyDescent="0.2">
      <c r="B3084" s="1"/>
      <c r="C3084" s="2"/>
      <c r="D3084" s="2"/>
      <c r="F3084" s="1"/>
      <c r="G3084" s="2"/>
      <c r="H3084" s="2"/>
      <c r="J3084" s="3"/>
      <c r="K3084" s="3"/>
      <c r="L3084" s="3"/>
      <c r="N3084" s="3"/>
      <c r="O3084" s="3"/>
      <c r="P3084" s="3"/>
      <c r="R3084" s="3"/>
    </row>
    <row r="3085" spans="2:18" x14ac:dyDescent="0.2">
      <c r="B3085" s="1"/>
      <c r="C3085" s="2"/>
      <c r="D3085" s="2"/>
      <c r="F3085" s="1"/>
      <c r="G3085" s="2"/>
      <c r="H3085" s="2"/>
      <c r="J3085" s="3"/>
      <c r="K3085" s="3"/>
      <c r="L3085" s="3"/>
      <c r="N3085" s="3"/>
      <c r="O3085" s="3"/>
      <c r="P3085" s="3"/>
      <c r="R3085" s="3"/>
    </row>
    <row r="3086" spans="2:18" x14ac:dyDescent="0.2">
      <c r="B3086" s="1"/>
      <c r="C3086" s="2"/>
      <c r="D3086" s="2"/>
      <c r="F3086" s="1"/>
      <c r="G3086" s="2"/>
      <c r="H3086" s="2"/>
      <c r="J3086" s="3"/>
      <c r="K3086" s="3"/>
      <c r="L3086" s="3"/>
      <c r="N3086" s="3"/>
      <c r="O3086" s="3"/>
      <c r="P3086" s="3"/>
      <c r="R3086" s="3"/>
    </row>
    <row r="3087" spans="2:18" x14ac:dyDescent="0.2">
      <c r="B3087" s="1"/>
      <c r="C3087" s="2"/>
      <c r="D3087" s="2"/>
      <c r="F3087" s="1"/>
      <c r="G3087" s="2"/>
      <c r="H3087" s="2"/>
      <c r="J3087" s="3"/>
      <c r="K3087" s="3"/>
      <c r="L3087" s="3"/>
      <c r="N3087" s="3"/>
      <c r="O3087" s="3"/>
      <c r="P3087" s="3"/>
      <c r="R3087" s="3"/>
    </row>
    <row r="3088" spans="2:18" x14ac:dyDescent="0.2">
      <c r="B3088" s="1"/>
      <c r="C3088" s="2"/>
      <c r="D3088" s="2"/>
      <c r="F3088" s="1"/>
      <c r="G3088" s="2"/>
      <c r="H3088" s="2"/>
      <c r="J3088" s="3"/>
      <c r="K3088" s="3"/>
      <c r="L3088" s="3"/>
      <c r="N3088" s="3"/>
      <c r="O3088" s="3"/>
      <c r="P3088" s="3"/>
      <c r="R3088" s="3"/>
    </row>
    <row r="3089" spans="2:18" x14ac:dyDescent="0.2">
      <c r="B3089" s="1"/>
      <c r="C3089" s="2"/>
      <c r="D3089" s="2"/>
      <c r="F3089" s="1"/>
      <c r="G3089" s="2"/>
      <c r="H3089" s="2"/>
      <c r="J3089" s="3"/>
      <c r="K3089" s="3"/>
      <c r="L3089" s="3"/>
      <c r="N3089" s="3"/>
      <c r="O3089" s="3"/>
      <c r="P3089" s="3"/>
      <c r="R3089" s="3"/>
    </row>
    <row r="3090" spans="2:18" x14ac:dyDescent="0.2">
      <c r="B3090" s="1"/>
      <c r="C3090" s="2"/>
      <c r="D3090" s="2"/>
      <c r="F3090" s="1"/>
      <c r="G3090" s="2"/>
      <c r="H3090" s="2"/>
      <c r="J3090" s="3"/>
      <c r="K3090" s="3"/>
      <c r="L3090" s="3"/>
      <c r="N3090" s="3"/>
      <c r="O3090" s="3"/>
      <c r="P3090" s="3"/>
      <c r="R3090" s="3"/>
    </row>
    <row r="3091" spans="2:18" x14ac:dyDescent="0.2">
      <c r="B3091" s="1"/>
      <c r="C3091" s="2"/>
      <c r="D3091" s="2"/>
      <c r="F3091" s="1"/>
      <c r="G3091" s="2"/>
      <c r="H3091" s="2"/>
      <c r="J3091" s="3"/>
      <c r="K3091" s="3"/>
      <c r="L3091" s="3"/>
      <c r="N3091" s="3"/>
      <c r="O3091" s="3"/>
      <c r="P3091" s="3"/>
      <c r="R3091" s="3"/>
    </row>
    <row r="3092" spans="2:18" x14ac:dyDescent="0.2">
      <c r="B3092" s="1"/>
      <c r="C3092" s="2"/>
      <c r="D3092" s="2"/>
      <c r="F3092" s="1"/>
      <c r="G3092" s="2"/>
      <c r="H3092" s="2"/>
      <c r="J3092" s="3"/>
      <c r="K3092" s="3"/>
      <c r="L3092" s="3"/>
      <c r="N3092" s="3"/>
      <c r="O3092" s="3"/>
      <c r="P3092" s="3"/>
      <c r="R3092" s="3"/>
    </row>
    <row r="3093" spans="2:18" x14ac:dyDescent="0.2">
      <c r="B3093" s="1"/>
      <c r="C3093" s="2"/>
      <c r="D3093" s="2"/>
      <c r="F3093" s="1"/>
      <c r="G3093" s="2"/>
      <c r="H3093" s="2"/>
      <c r="J3093" s="3"/>
      <c r="K3093" s="3"/>
      <c r="L3093" s="3"/>
      <c r="N3093" s="3"/>
      <c r="O3093" s="3"/>
      <c r="P3093" s="3"/>
      <c r="R3093" s="3"/>
    </row>
    <row r="3094" spans="2:18" x14ac:dyDescent="0.2">
      <c r="B3094" s="1"/>
      <c r="C3094" s="2"/>
      <c r="D3094" s="2"/>
      <c r="F3094" s="1"/>
      <c r="G3094" s="2"/>
      <c r="H3094" s="2"/>
      <c r="J3094" s="3"/>
      <c r="K3094" s="3"/>
      <c r="L3094" s="3"/>
      <c r="N3094" s="3"/>
      <c r="O3094" s="3"/>
      <c r="P3094" s="3"/>
      <c r="R3094" s="3"/>
    </row>
    <row r="3095" spans="2:18" x14ac:dyDescent="0.2">
      <c r="B3095" s="1"/>
      <c r="C3095" s="2"/>
      <c r="D3095" s="2"/>
      <c r="F3095" s="1"/>
      <c r="G3095" s="2"/>
      <c r="H3095" s="2"/>
      <c r="J3095" s="3"/>
      <c r="K3095" s="3"/>
      <c r="L3095" s="3"/>
      <c r="N3095" s="3"/>
      <c r="O3095" s="3"/>
      <c r="P3095" s="3"/>
      <c r="R3095" s="3"/>
    </row>
    <row r="3096" spans="2:18" x14ac:dyDescent="0.2">
      <c r="B3096" s="1"/>
      <c r="C3096" s="2"/>
      <c r="D3096" s="2"/>
      <c r="F3096" s="1"/>
      <c r="G3096" s="2"/>
      <c r="H3096" s="2"/>
      <c r="J3096" s="3"/>
      <c r="K3096" s="3"/>
      <c r="L3096" s="3"/>
      <c r="N3096" s="3"/>
      <c r="O3096" s="3"/>
      <c r="P3096" s="3"/>
      <c r="R3096" s="3"/>
    </row>
    <row r="3097" spans="2:18" x14ac:dyDescent="0.2">
      <c r="B3097" s="1"/>
      <c r="C3097" s="2"/>
      <c r="D3097" s="2"/>
      <c r="F3097" s="1"/>
      <c r="G3097" s="2"/>
      <c r="H3097" s="2"/>
      <c r="J3097" s="3"/>
      <c r="K3097" s="3"/>
      <c r="L3097" s="3"/>
      <c r="N3097" s="3"/>
      <c r="O3097" s="3"/>
      <c r="P3097" s="3"/>
      <c r="R3097" s="3"/>
    </row>
    <row r="3098" spans="2:18" x14ac:dyDescent="0.2">
      <c r="B3098" s="1"/>
      <c r="C3098" s="2"/>
      <c r="D3098" s="2"/>
      <c r="F3098" s="1"/>
      <c r="G3098" s="2"/>
      <c r="H3098" s="2"/>
      <c r="J3098" s="3"/>
      <c r="K3098" s="3"/>
      <c r="L3098" s="3"/>
      <c r="N3098" s="3"/>
      <c r="O3098" s="3"/>
      <c r="P3098" s="3"/>
      <c r="R3098" s="3"/>
    </row>
    <row r="3099" spans="2:18" x14ac:dyDescent="0.2">
      <c r="B3099" s="1"/>
      <c r="C3099" s="2"/>
      <c r="D3099" s="2"/>
      <c r="F3099" s="1"/>
      <c r="G3099" s="2"/>
      <c r="H3099" s="2"/>
      <c r="J3099" s="3"/>
      <c r="K3099" s="3"/>
      <c r="L3099" s="3"/>
      <c r="N3099" s="3"/>
      <c r="O3099" s="3"/>
      <c r="P3099" s="3"/>
      <c r="R3099" s="3"/>
    </row>
    <row r="3100" spans="2:18" x14ac:dyDescent="0.2">
      <c r="B3100" s="1"/>
      <c r="C3100" s="2"/>
      <c r="D3100" s="2"/>
      <c r="F3100" s="1"/>
      <c r="G3100" s="2"/>
      <c r="H3100" s="2"/>
      <c r="J3100" s="3"/>
      <c r="K3100" s="3"/>
      <c r="L3100" s="3"/>
      <c r="N3100" s="3"/>
      <c r="O3100" s="3"/>
      <c r="P3100" s="3"/>
      <c r="R3100" s="3"/>
    </row>
    <row r="3101" spans="2:18" x14ac:dyDescent="0.2">
      <c r="B3101" s="1"/>
      <c r="C3101" s="2"/>
      <c r="D3101" s="2"/>
      <c r="F3101" s="1"/>
      <c r="G3101" s="2"/>
      <c r="H3101" s="2"/>
      <c r="J3101" s="3"/>
      <c r="K3101" s="3"/>
      <c r="L3101" s="3"/>
      <c r="N3101" s="3"/>
      <c r="O3101" s="3"/>
      <c r="P3101" s="3"/>
      <c r="R3101" s="3"/>
    </row>
    <row r="3102" spans="2:18" x14ac:dyDescent="0.2">
      <c r="B3102" s="1"/>
      <c r="C3102" s="2"/>
      <c r="D3102" s="2"/>
      <c r="F3102" s="1"/>
      <c r="G3102" s="2"/>
      <c r="H3102" s="2"/>
      <c r="J3102" s="3"/>
      <c r="K3102" s="3"/>
      <c r="L3102" s="3"/>
      <c r="N3102" s="3"/>
      <c r="O3102" s="3"/>
      <c r="P3102" s="3"/>
      <c r="R3102" s="3"/>
    </row>
    <row r="3103" spans="2:18" x14ac:dyDescent="0.2">
      <c r="B3103" s="1"/>
      <c r="C3103" s="2"/>
      <c r="D3103" s="2"/>
      <c r="F3103" s="1"/>
      <c r="G3103" s="2"/>
      <c r="H3103" s="2"/>
      <c r="J3103" s="3"/>
      <c r="K3103" s="3"/>
      <c r="L3103" s="3"/>
      <c r="N3103" s="3"/>
      <c r="O3103" s="3"/>
      <c r="P3103" s="3"/>
      <c r="R3103" s="3"/>
    </row>
    <row r="3104" spans="2:18" x14ac:dyDescent="0.2">
      <c r="B3104" s="1"/>
      <c r="C3104" s="2"/>
      <c r="D3104" s="2"/>
      <c r="F3104" s="1"/>
      <c r="G3104" s="2"/>
      <c r="H3104" s="2"/>
      <c r="J3104" s="3"/>
      <c r="K3104" s="3"/>
      <c r="L3104" s="3"/>
      <c r="N3104" s="3"/>
      <c r="O3104" s="3"/>
      <c r="P3104" s="3"/>
      <c r="R3104" s="3"/>
    </row>
    <row r="3105" spans="2:18" x14ac:dyDescent="0.2">
      <c r="B3105" s="1"/>
      <c r="C3105" s="2"/>
      <c r="D3105" s="2"/>
      <c r="F3105" s="1"/>
      <c r="G3105" s="2"/>
      <c r="H3105" s="2"/>
      <c r="J3105" s="3"/>
      <c r="K3105" s="3"/>
      <c r="L3105" s="3"/>
      <c r="N3105" s="3"/>
      <c r="O3105" s="3"/>
      <c r="P3105" s="3"/>
      <c r="R3105" s="3"/>
    </row>
    <row r="3106" spans="2:18" x14ac:dyDescent="0.2">
      <c r="B3106" s="1"/>
      <c r="C3106" s="2"/>
      <c r="D3106" s="2"/>
      <c r="F3106" s="1"/>
      <c r="G3106" s="2"/>
      <c r="H3106" s="2"/>
      <c r="J3106" s="3"/>
      <c r="K3106" s="3"/>
      <c r="L3106" s="3"/>
      <c r="N3106" s="3"/>
      <c r="O3106" s="3"/>
      <c r="P3106" s="3"/>
      <c r="R3106" s="3"/>
    </row>
    <row r="3107" spans="2:18" x14ac:dyDescent="0.2">
      <c r="B3107" s="1"/>
      <c r="C3107" s="2"/>
      <c r="D3107" s="2"/>
      <c r="F3107" s="1"/>
      <c r="G3107" s="2"/>
      <c r="H3107" s="2"/>
      <c r="J3107" s="3"/>
      <c r="K3107" s="3"/>
      <c r="L3107" s="3"/>
      <c r="N3107" s="3"/>
      <c r="O3107" s="3"/>
      <c r="P3107" s="3"/>
      <c r="R3107" s="3"/>
    </row>
    <row r="3108" spans="2:18" x14ac:dyDescent="0.2">
      <c r="B3108" s="1"/>
      <c r="C3108" s="2"/>
      <c r="D3108" s="2"/>
      <c r="F3108" s="1"/>
      <c r="G3108" s="2"/>
      <c r="H3108" s="2"/>
      <c r="J3108" s="3"/>
      <c r="K3108" s="3"/>
      <c r="L3108" s="3"/>
      <c r="N3108" s="3"/>
      <c r="O3108" s="3"/>
      <c r="P3108" s="3"/>
      <c r="R3108" s="3"/>
    </row>
    <row r="3109" spans="2:18" x14ac:dyDescent="0.2">
      <c r="B3109" s="1"/>
      <c r="C3109" s="2"/>
      <c r="D3109" s="2"/>
      <c r="F3109" s="1"/>
      <c r="G3109" s="2"/>
      <c r="H3109" s="2"/>
      <c r="J3109" s="3"/>
      <c r="K3109" s="3"/>
      <c r="L3109" s="3"/>
      <c r="N3109" s="3"/>
      <c r="O3109" s="3"/>
      <c r="P3109" s="3"/>
      <c r="R3109" s="3"/>
    </row>
    <row r="3110" spans="2:18" x14ac:dyDescent="0.2">
      <c r="B3110" s="1"/>
      <c r="C3110" s="2"/>
      <c r="D3110" s="2"/>
      <c r="F3110" s="1"/>
      <c r="G3110" s="2"/>
      <c r="H3110" s="2"/>
      <c r="J3110" s="3"/>
      <c r="K3110" s="3"/>
      <c r="L3110" s="3"/>
      <c r="N3110" s="3"/>
      <c r="O3110" s="3"/>
      <c r="P3110" s="3"/>
      <c r="R3110" s="3"/>
    </row>
    <row r="3111" spans="2:18" x14ac:dyDescent="0.2">
      <c r="B3111" s="1"/>
      <c r="C3111" s="2"/>
      <c r="D3111" s="2"/>
      <c r="F3111" s="1"/>
      <c r="G3111" s="2"/>
      <c r="H3111" s="2"/>
      <c r="J3111" s="3"/>
      <c r="K3111" s="3"/>
      <c r="L3111" s="3"/>
      <c r="N3111" s="3"/>
      <c r="O3111" s="3"/>
      <c r="P3111" s="3"/>
      <c r="R3111" s="3"/>
    </row>
    <row r="3112" spans="2:18" x14ac:dyDescent="0.2">
      <c r="B3112" s="1"/>
      <c r="C3112" s="2"/>
      <c r="D3112" s="2"/>
      <c r="F3112" s="1"/>
      <c r="G3112" s="2"/>
      <c r="H3112" s="2"/>
      <c r="J3112" s="3"/>
      <c r="K3112" s="3"/>
      <c r="L3112" s="3"/>
      <c r="N3112" s="3"/>
      <c r="O3112" s="3"/>
      <c r="P3112" s="3"/>
      <c r="R3112" s="3"/>
    </row>
    <row r="3113" spans="2:18" x14ac:dyDescent="0.2">
      <c r="B3113" s="1"/>
      <c r="C3113" s="2"/>
      <c r="D3113" s="2"/>
      <c r="F3113" s="1"/>
      <c r="G3113" s="2"/>
      <c r="H3113" s="2"/>
      <c r="J3113" s="3"/>
      <c r="K3113" s="3"/>
      <c r="L3113" s="3"/>
      <c r="N3113" s="3"/>
      <c r="O3113" s="3"/>
      <c r="P3113" s="3"/>
      <c r="R3113" s="3"/>
    </row>
    <row r="3114" spans="2:18" x14ac:dyDescent="0.2">
      <c r="B3114" s="1"/>
      <c r="C3114" s="2"/>
      <c r="D3114" s="2"/>
      <c r="F3114" s="1"/>
      <c r="G3114" s="2"/>
      <c r="H3114" s="2"/>
      <c r="J3114" s="3"/>
      <c r="K3114" s="3"/>
      <c r="L3114" s="3"/>
      <c r="N3114" s="3"/>
      <c r="O3114" s="3"/>
      <c r="P3114" s="3"/>
      <c r="R3114" s="3"/>
    </row>
    <row r="3115" spans="2:18" x14ac:dyDescent="0.2">
      <c r="B3115" s="1"/>
      <c r="C3115" s="2"/>
      <c r="D3115" s="2"/>
      <c r="F3115" s="1"/>
      <c r="G3115" s="2"/>
      <c r="H3115" s="2"/>
      <c r="J3115" s="3"/>
      <c r="K3115" s="3"/>
      <c r="L3115" s="3"/>
      <c r="N3115" s="3"/>
      <c r="O3115" s="3"/>
      <c r="P3115" s="3"/>
      <c r="R3115" s="3"/>
    </row>
    <row r="3116" spans="2:18" x14ac:dyDescent="0.2">
      <c r="B3116" s="1"/>
      <c r="C3116" s="2"/>
      <c r="D3116" s="2"/>
      <c r="F3116" s="1"/>
      <c r="G3116" s="2"/>
      <c r="H3116" s="2"/>
      <c r="J3116" s="3"/>
      <c r="K3116" s="3"/>
      <c r="L3116" s="3"/>
      <c r="N3116" s="3"/>
      <c r="O3116" s="3"/>
      <c r="P3116" s="3"/>
      <c r="R3116" s="3"/>
    </row>
    <row r="3117" spans="2:18" x14ac:dyDescent="0.2">
      <c r="B3117" s="1"/>
      <c r="C3117" s="2"/>
      <c r="D3117" s="2"/>
      <c r="F3117" s="1"/>
      <c r="G3117" s="2"/>
      <c r="H3117" s="2"/>
      <c r="J3117" s="3"/>
      <c r="K3117" s="3"/>
      <c r="L3117" s="3"/>
      <c r="N3117" s="3"/>
      <c r="O3117" s="3"/>
      <c r="P3117" s="3"/>
      <c r="R3117" s="3"/>
    </row>
    <row r="3118" spans="2:18" x14ac:dyDescent="0.2">
      <c r="B3118" s="1"/>
      <c r="C3118" s="2"/>
      <c r="D3118" s="2"/>
      <c r="F3118" s="1"/>
      <c r="G3118" s="2"/>
      <c r="H3118" s="2"/>
      <c r="J3118" s="3"/>
      <c r="K3118" s="3"/>
      <c r="L3118" s="3"/>
      <c r="N3118" s="3"/>
      <c r="O3118" s="3"/>
      <c r="P3118" s="3"/>
      <c r="R3118" s="3"/>
    </row>
    <row r="3119" spans="2:18" x14ac:dyDescent="0.2">
      <c r="B3119" s="1"/>
      <c r="C3119" s="2"/>
      <c r="D3119" s="2"/>
      <c r="F3119" s="1"/>
      <c r="G3119" s="2"/>
      <c r="H3119" s="2"/>
      <c r="J3119" s="3"/>
      <c r="K3119" s="3"/>
      <c r="L3119" s="3"/>
      <c r="N3119" s="3"/>
      <c r="O3119" s="3"/>
      <c r="P3119" s="3"/>
      <c r="R3119" s="3"/>
    </row>
    <row r="3120" spans="2:18" x14ac:dyDescent="0.2">
      <c r="B3120" s="1"/>
      <c r="C3120" s="2"/>
      <c r="D3120" s="2"/>
      <c r="F3120" s="1"/>
      <c r="G3120" s="2"/>
      <c r="H3120" s="2"/>
      <c r="J3120" s="3"/>
      <c r="K3120" s="3"/>
      <c r="L3120" s="3"/>
      <c r="N3120" s="3"/>
      <c r="O3120" s="3"/>
      <c r="P3120" s="3"/>
      <c r="R3120" s="3"/>
    </row>
    <row r="3121" spans="2:18" x14ac:dyDescent="0.2">
      <c r="B3121" s="1"/>
      <c r="C3121" s="2"/>
      <c r="D3121" s="2"/>
      <c r="F3121" s="1"/>
      <c r="G3121" s="2"/>
      <c r="H3121" s="2"/>
      <c r="J3121" s="3"/>
      <c r="K3121" s="3"/>
      <c r="L3121" s="3"/>
      <c r="N3121" s="3"/>
      <c r="O3121" s="3"/>
      <c r="P3121" s="3"/>
      <c r="R3121" s="3"/>
    </row>
    <row r="3122" spans="2:18" x14ac:dyDescent="0.2">
      <c r="B3122" s="1"/>
      <c r="C3122" s="2"/>
      <c r="D3122" s="2"/>
      <c r="F3122" s="1"/>
      <c r="G3122" s="2"/>
      <c r="H3122" s="2"/>
      <c r="J3122" s="3"/>
      <c r="K3122" s="3"/>
      <c r="L3122" s="3"/>
      <c r="N3122" s="3"/>
      <c r="O3122" s="3"/>
      <c r="P3122" s="3"/>
      <c r="R3122" s="3"/>
    </row>
    <row r="3123" spans="2:18" x14ac:dyDescent="0.2">
      <c r="B3123" s="1"/>
      <c r="C3123" s="2"/>
      <c r="D3123" s="2"/>
      <c r="F3123" s="1"/>
      <c r="G3123" s="2"/>
      <c r="H3123" s="2"/>
      <c r="J3123" s="3"/>
      <c r="K3123" s="3"/>
      <c r="L3123" s="3"/>
      <c r="N3123" s="3"/>
      <c r="O3123" s="3"/>
      <c r="P3123" s="3"/>
      <c r="R3123" s="3"/>
    </row>
    <row r="3124" spans="2:18" x14ac:dyDescent="0.2">
      <c r="B3124" s="1"/>
      <c r="C3124" s="2"/>
      <c r="D3124" s="2"/>
      <c r="F3124" s="1"/>
      <c r="G3124" s="2"/>
      <c r="H3124" s="2"/>
      <c r="J3124" s="3"/>
      <c r="K3124" s="3"/>
      <c r="L3124" s="3"/>
      <c r="N3124" s="3"/>
      <c r="O3124" s="3"/>
      <c r="P3124" s="3"/>
      <c r="R3124" s="3"/>
    </row>
    <row r="3125" spans="2:18" x14ac:dyDescent="0.2">
      <c r="B3125" s="1"/>
      <c r="C3125" s="2"/>
      <c r="D3125" s="2"/>
      <c r="F3125" s="1"/>
      <c r="G3125" s="2"/>
      <c r="H3125" s="2"/>
      <c r="J3125" s="3"/>
      <c r="K3125" s="3"/>
      <c r="L3125" s="3"/>
      <c r="N3125" s="3"/>
      <c r="O3125" s="3"/>
      <c r="P3125" s="3"/>
      <c r="R3125" s="3"/>
    </row>
    <row r="3126" spans="2:18" x14ac:dyDescent="0.2">
      <c r="B3126" s="1"/>
      <c r="C3126" s="2"/>
      <c r="D3126" s="2"/>
      <c r="F3126" s="1"/>
      <c r="G3126" s="2"/>
      <c r="H3126" s="2"/>
      <c r="J3126" s="3"/>
      <c r="K3126" s="3"/>
      <c r="L3126" s="3"/>
      <c r="N3126" s="3"/>
      <c r="O3126" s="3"/>
      <c r="P3126" s="3"/>
      <c r="R3126" s="3"/>
    </row>
    <row r="3127" spans="2:18" x14ac:dyDescent="0.2">
      <c r="B3127" s="1"/>
      <c r="C3127" s="2"/>
      <c r="D3127" s="2"/>
      <c r="F3127" s="1"/>
      <c r="G3127" s="2"/>
      <c r="H3127" s="2"/>
      <c r="J3127" s="3"/>
      <c r="K3127" s="3"/>
      <c r="L3127" s="3"/>
      <c r="N3127" s="3"/>
      <c r="O3127" s="3"/>
      <c r="P3127" s="3"/>
      <c r="R3127" s="3"/>
    </row>
    <row r="3128" spans="2:18" x14ac:dyDescent="0.2">
      <c r="B3128" s="1"/>
      <c r="C3128" s="2"/>
      <c r="D3128" s="2"/>
      <c r="F3128" s="1"/>
      <c r="G3128" s="2"/>
      <c r="H3128" s="2"/>
      <c r="J3128" s="3"/>
      <c r="K3128" s="3"/>
      <c r="L3128" s="3"/>
      <c r="N3128" s="3"/>
      <c r="O3128" s="3"/>
      <c r="P3128" s="3"/>
      <c r="R3128" s="3"/>
    </row>
    <row r="3129" spans="2:18" x14ac:dyDescent="0.2">
      <c r="B3129" s="1"/>
      <c r="C3129" s="2"/>
      <c r="D3129" s="2"/>
      <c r="F3129" s="1"/>
      <c r="G3129" s="2"/>
      <c r="H3129" s="2"/>
      <c r="J3129" s="3"/>
      <c r="K3129" s="3"/>
      <c r="L3129" s="3"/>
      <c r="N3129" s="3"/>
      <c r="O3129" s="3"/>
      <c r="P3129" s="3"/>
      <c r="R3129" s="3"/>
    </row>
    <row r="3130" spans="2:18" x14ac:dyDescent="0.2">
      <c r="B3130" s="1"/>
      <c r="C3130" s="2"/>
      <c r="D3130" s="2"/>
      <c r="F3130" s="1"/>
      <c r="G3130" s="2"/>
      <c r="H3130" s="2"/>
      <c r="J3130" s="3"/>
      <c r="K3130" s="3"/>
      <c r="L3130" s="3"/>
      <c r="N3130" s="3"/>
      <c r="O3130" s="3"/>
      <c r="P3130" s="3"/>
      <c r="R3130" s="3"/>
    </row>
    <row r="3131" spans="2:18" x14ac:dyDescent="0.2">
      <c r="B3131" s="1"/>
      <c r="C3131" s="2"/>
      <c r="D3131" s="2"/>
      <c r="F3131" s="1"/>
      <c r="G3131" s="2"/>
      <c r="H3131" s="2"/>
      <c r="J3131" s="3"/>
      <c r="K3131" s="3"/>
      <c r="L3131" s="3"/>
      <c r="N3131" s="3"/>
      <c r="O3131" s="3"/>
      <c r="P3131" s="3"/>
      <c r="R3131" s="3"/>
    </row>
    <row r="3132" spans="2:18" x14ac:dyDescent="0.2">
      <c r="B3132" s="1"/>
      <c r="C3132" s="2"/>
      <c r="D3132" s="2"/>
      <c r="F3132" s="1"/>
      <c r="G3132" s="2"/>
      <c r="H3132" s="2"/>
      <c r="J3132" s="3"/>
      <c r="K3132" s="3"/>
      <c r="L3132" s="3"/>
      <c r="N3132" s="3"/>
      <c r="O3132" s="3"/>
      <c r="P3132" s="3"/>
      <c r="R3132" s="3"/>
    </row>
    <row r="3133" spans="2:18" x14ac:dyDescent="0.2">
      <c r="B3133" s="1"/>
      <c r="C3133" s="2"/>
      <c r="D3133" s="2"/>
      <c r="F3133" s="1"/>
      <c r="G3133" s="2"/>
      <c r="H3133" s="2"/>
      <c r="J3133" s="3"/>
      <c r="K3133" s="3"/>
      <c r="L3133" s="3"/>
      <c r="N3133" s="3"/>
      <c r="O3133" s="3"/>
      <c r="P3133" s="3"/>
      <c r="R3133" s="3"/>
    </row>
    <row r="3134" spans="2:18" x14ac:dyDescent="0.2">
      <c r="B3134" s="1"/>
      <c r="C3134" s="2"/>
      <c r="D3134" s="2"/>
      <c r="F3134" s="1"/>
      <c r="G3134" s="2"/>
      <c r="H3134" s="2"/>
      <c r="J3134" s="3"/>
      <c r="K3134" s="3"/>
      <c r="L3134" s="3"/>
      <c r="N3134" s="3"/>
      <c r="O3134" s="3"/>
      <c r="P3134" s="3"/>
      <c r="R3134" s="3"/>
    </row>
    <row r="3135" spans="2:18" x14ac:dyDescent="0.2">
      <c r="B3135" s="1"/>
      <c r="C3135" s="2"/>
      <c r="D3135" s="2"/>
      <c r="F3135" s="1"/>
      <c r="G3135" s="2"/>
      <c r="H3135" s="2"/>
      <c r="J3135" s="3"/>
      <c r="K3135" s="3"/>
      <c r="L3135" s="3"/>
      <c r="N3135" s="3"/>
      <c r="O3135" s="3"/>
      <c r="P3135" s="3"/>
      <c r="R3135" s="3"/>
    </row>
    <row r="3136" spans="2:18" x14ac:dyDescent="0.2">
      <c r="B3136" s="1"/>
      <c r="C3136" s="2"/>
      <c r="D3136" s="2"/>
      <c r="F3136" s="1"/>
      <c r="G3136" s="2"/>
      <c r="H3136" s="2"/>
      <c r="J3136" s="3"/>
      <c r="K3136" s="3"/>
      <c r="L3136" s="3"/>
      <c r="N3136" s="3"/>
      <c r="O3136" s="3"/>
      <c r="P3136" s="3"/>
      <c r="R3136" s="3"/>
    </row>
    <row r="3137" spans="2:18" x14ac:dyDescent="0.2">
      <c r="B3137" s="1"/>
      <c r="C3137" s="2"/>
      <c r="D3137" s="2"/>
      <c r="F3137" s="1"/>
      <c r="G3137" s="2"/>
      <c r="H3137" s="2"/>
      <c r="J3137" s="3"/>
      <c r="K3137" s="3"/>
      <c r="L3137" s="3"/>
      <c r="N3137" s="3"/>
      <c r="O3137" s="3"/>
      <c r="P3137" s="3"/>
      <c r="R3137" s="3"/>
    </row>
    <row r="3138" spans="2:18" x14ac:dyDescent="0.2">
      <c r="B3138" s="1"/>
      <c r="C3138" s="2"/>
      <c r="D3138" s="2"/>
      <c r="F3138" s="1"/>
      <c r="G3138" s="2"/>
      <c r="H3138" s="2"/>
      <c r="J3138" s="3"/>
      <c r="K3138" s="3"/>
      <c r="L3138" s="3"/>
      <c r="N3138" s="3"/>
      <c r="O3138" s="3"/>
      <c r="P3138" s="3"/>
      <c r="R3138" s="3"/>
    </row>
    <row r="3139" spans="2:18" x14ac:dyDescent="0.2">
      <c r="B3139" s="1"/>
      <c r="C3139" s="2"/>
      <c r="D3139" s="2"/>
      <c r="F3139" s="1"/>
      <c r="G3139" s="2"/>
      <c r="H3139" s="2"/>
      <c r="J3139" s="3"/>
      <c r="K3139" s="3"/>
      <c r="L3139" s="3"/>
      <c r="N3139" s="3"/>
      <c r="O3139" s="3"/>
      <c r="P3139" s="3"/>
      <c r="R3139" s="3"/>
    </row>
    <row r="3140" spans="2:18" x14ac:dyDescent="0.2">
      <c r="B3140" s="1"/>
      <c r="C3140" s="2"/>
      <c r="D3140" s="2"/>
      <c r="F3140" s="1"/>
      <c r="G3140" s="2"/>
      <c r="H3140" s="2"/>
      <c r="J3140" s="3"/>
      <c r="K3140" s="3"/>
      <c r="L3140" s="3"/>
      <c r="N3140" s="3"/>
      <c r="O3140" s="3"/>
      <c r="P3140" s="3"/>
      <c r="R3140" s="3"/>
    </row>
    <row r="3141" spans="2:18" x14ac:dyDescent="0.2">
      <c r="B3141" s="1"/>
      <c r="C3141" s="2"/>
      <c r="D3141" s="2"/>
      <c r="F3141" s="1"/>
      <c r="G3141" s="2"/>
      <c r="H3141" s="2"/>
      <c r="J3141" s="3"/>
      <c r="K3141" s="3"/>
      <c r="L3141" s="3"/>
      <c r="N3141" s="3"/>
      <c r="O3141" s="3"/>
      <c r="P3141" s="3"/>
      <c r="R3141" s="3"/>
    </row>
    <row r="3142" spans="2:18" x14ac:dyDescent="0.2">
      <c r="B3142" s="1"/>
      <c r="C3142" s="2"/>
      <c r="D3142" s="2"/>
      <c r="F3142" s="1"/>
      <c r="G3142" s="2"/>
      <c r="H3142" s="2"/>
      <c r="J3142" s="3"/>
      <c r="K3142" s="3"/>
      <c r="L3142" s="3"/>
      <c r="N3142" s="3"/>
      <c r="O3142" s="3"/>
      <c r="P3142" s="3"/>
      <c r="R3142" s="3"/>
    </row>
    <row r="3143" spans="2:18" x14ac:dyDescent="0.2">
      <c r="B3143" s="1"/>
      <c r="C3143" s="2"/>
      <c r="D3143" s="2"/>
      <c r="F3143" s="1"/>
      <c r="G3143" s="2"/>
      <c r="H3143" s="2"/>
      <c r="J3143" s="3"/>
      <c r="K3143" s="3"/>
      <c r="L3143" s="3"/>
      <c r="N3143" s="3"/>
      <c r="O3143" s="3"/>
      <c r="P3143" s="3"/>
      <c r="R3143" s="3"/>
    </row>
    <row r="3144" spans="2:18" x14ac:dyDescent="0.2">
      <c r="B3144" s="1"/>
      <c r="C3144" s="2"/>
      <c r="D3144" s="2"/>
      <c r="F3144" s="1"/>
      <c r="G3144" s="2"/>
      <c r="H3144" s="2"/>
      <c r="J3144" s="3"/>
      <c r="K3144" s="3"/>
      <c r="L3144" s="3"/>
      <c r="N3144" s="3"/>
      <c r="O3144" s="3"/>
      <c r="P3144" s="3"/>
      <c r="R3144" s="3"/>
    </row>
    <row r="3145" spans="2:18" x14ac:dyDescent="0.2">
      <c r="B3145" s="1"/>
      <c r="C3145" s="2"/>
      <c r="D3145" s="2"/>
      <c r="F3145" s="1"/>
      <c r="G3145" s="2"/>
      <c r="H3145" s="2"/>
      <c r="J3145" s="3"/>
      <c r="K3145" s="3"/>
      <c r="L3145" s="3"/>
      <c r="N3145" s="3"/>
      <c r="O3145" s="3"/>
      <c r="P3145" s="3"/>
      <c r="R3145" s="3"/>
    </row>
    <row r="3146" spans="2:18" x14ac:dyDescent="0.2">
      <c r="B3146" s="1"/>
      <c r="C3146" s="2"/>
      <c r="D3146" s="2"/>
      <c r="F3146" s="1"/>
      <c r="G3146" s="2"/>
      <c r="H3146" s="2"/>
      <c r="J3146" s="3"/>
      <c r="K3146" s="3"/>
      <c r="L3146" s="3"/>
      <c r="N3146" s="3"/>
      <c r="O3146" s="3"/>
      <c r="P3146" s="3"/>
      <c r="R3146" s="3"/>
    </row>
    <row r="3147" spans="2:18" x14ac:dyDescent="0.2">
      <c r="B3147" s="1"/>
      <c r="C3147" s="2"/>
      <c r="D3147" s="2"/>
      <c r="F3147" s="1"/>
      <c r="G3147" s="2"/>
      <c r="H3147" s="2"/>
      <c r="J3147" s="3"/>
      <c r="K3147" s="3"/>
      <c r="L3147" s="3"/>
      <c r="N3147" s="3"/>
      <c r="O3147" s="3"/>
      <c r="P3147" s="3"/>
      <c r="R3147" s="3"/>
    </row>
    <row r="3148" spans="2:18" x14ac:dyDescent="0.2">
      <c r="B3148" s="1"/>
      <c r="C3148" s="2"/>
      <c r="D3148" s="2"/>
      <c r="F3148" s="1"/>
      <c r="G3148" s="2"/>
      <c r="H3148" s="2"/>
      <c r="J3148" s="3"/>
      <c r="K3148" s="3"/>
      <c r="L3148" s="3"/>
      <c r="N3148" s="3"/>
      <c r="O3148" s="3"/>
      <c r="P3148" s="3"/>
      <c r="R3148" s="3"/>
    </row>
    <row r="3149" spans="2:18" x14ac:dyDescent="0.2">
      <c r="B3149" s="1"/>
      <c r="C3149" s="2"/>
      <c r="D3149" s="2"/>
      <c r="F3149" s="1"/>
      <c r="G3149" s="2"/>
      <c r="H3149" s="2"/>
      <c r="J3149" s="3"/>
      <c r="K3149" s="3"/>
      <c r="L3149" s="3"/>
      <c r="N3149" s="3"/>
      <c r="O3149" s="3"/>
      <c r="P3149" s="3"/>
      <c r="R3149" s="3"/>
    </row>
    <row r="3150" spans="2:18" x14ac:dyDescent="0.2">
      <c r="B3150" s="1"/>
      <c r="C3150" s="2"/>
      <c r="D3150" s="2"/>
      <c r="F3150" s="1"/>
      <c r="G3150" s="2"/>
      <c r="H3150" s="2"/>
      <c r="J3150" s="3"/>
      <c r="K3150" s="3"/>
      <c r="L3150" s="3"/>
      <c r="N3150" s="3"/>
      <c r="O3150" s="3"/>
      <c r="P3150" s="3"/>
      <c r="R3150" s="3"/>
    </row>
    <row r="3151" spans="2:18" x14ac:dyDescent="0.2">
      <c r="B3151" s="1"/>
      <c r="C3151" s="2"/>
      <c r="D3151" s="2"/>
      <c r="F3151" s="1"/>
      <c r="G3151" s="2"/>
      <c r="H3151" s="2"/>
      <c r="J3151" s="3"/>
      <c r="K3151" s="3"/>
      <c r="L3151" s="3"/>
      <c r="N3151" s="3"/>
      <c r="O3151" s="3"/>
      <c r="P3151" s="3"/>
      <c r="R3151" s="3"/>
    </row>
    <row r="3152" spans="2:18" x14ac:dyDescent="0.2">
      <c r="B3152" s="1"/>
      <c r="C3152" s="2"/>
      <c r="D3152" s="2"/>
      <c r="F3152" s="1"/>
      <c r="G3152" s="2"/>
      <c r="H3152" s="2"/>
      <c r="J3152" s="3"/>
      <c r="K3152" s="3"/>
      <c r="L3152" s="3"/>
      <c r="N3152" s="3"/>
      <c r="O3152" s="3"/>
      <c r="P3152" s="3"/>
      <c r="R3152" s="3"/>
    </row>
    <row r="3153" spans="2:18" x14ac:dyDescent="0.2">
      <c r="B3153" s="1"/>
      <c r="C3153" s="2"/>
      <c r="D3153" s="2"/>
      <c r="F3153" s="1"/>
      <c r="G3153" s="2"/>
      <c r="H3153" s="2"/>
      <c r="J3153" s="3"/>
      <c r="K3153" s="3"/>
      <c r="L3153" s="3"/>
      <c r="N3153" s="3"/>
      <c r="O3153" s="3"/>
      <c r="P3153" s="3"/>
      <c r="R3153" s="3"/>
    </row>
    <row r="3154" spans="2:18" x14ac:dyDescent="0.2">
      <c r="B3154" s="1"/>
      <c r="C3154" s="2"/>
      <c r="D3154" s="2"/>
      <c r="F3154" s="1"/>
      <c r="G3154" s="2"/>
      <c r="H3154" s="2"/>
      <c r="J3154" s="3"/>
      <c r="K3154" s="3"/>
      <c r="L3154" s="3"/>
      <c r="N3154" s="3"/>
      <c r="O3154" s="3"/>
      <c r="P3154" s="3"/>
      <c r="R3154" s="3"/>
    </row>
    <row r="3155" spans="2:18" x14ac:dyDescent="0.2">
      <c r="B3155" s="1"/>
      <c r="C3155" s="2"/>
      <c r="D3155" s="2"/>
      <c r="F3155" s="1"/>
      <c r="G3155" s="2"/>
      <c r="H3155" s="2"/>
      <c r="J3155" s="3"/>
      <c r="K3155" s="3"/>
      <c r="L3155" s="3"/>
      <c r="N3155" s="3"/>
      <c r="O3155" s="3"/>
      <c r="P3155" s="3"/>
      <c r="R3155" s="3"/>
    </row>
    <row r="3156" spans="2:18" x14ac:dyDescent="0.2">
      <c r="B3156" s="1"/>
      <c r="C3156" s="2"/>
      <c r="D3156" s="2"/>
      <c r="F3156" s="1"/>
      <c r="G3156" s="2"/>
      <c r="H3156" s="2"/>
      <c r="J3156" s="3"/>
      <c r="K3156" s="3"/>
      <c r="L3156" s="3"/>
      <c r="N3156" s="3"/>
      <c r="O3156" s="3"/>
      <c r="P3156" s="3"/>
      <c r="R3156" s="3"/>
    </row>
    <row r="3157" spans="2:18" x14ac:dyDescent="0.2">
      <c r="B3157" s="1"/>
      <c r="C3157" s="2"/>
      <c r="D3157" s="2"/>
      <c r="F3157" s="1"/>
      <c r="G3157" s="2"/>
      <c r="H3157" s="2"/>
      <c r="J3157" s="3"/>
      <c r="K3157" s="3"/>
      <c r="L3157" s="3"/>
      <c r="N3157" s="3"/>
      <c r="O3157" s="3"/>
      <c r="P3157" s="3"/>
      <c r="R3157" s="3"/>
    </row>
    <row r="3158" spans="2:18" x14ac:dyDescent="0.2">
      <c r="B3158" s="1"/>
      <c r="C3158" s="2"/>
      <c r="D3158" s="2"/>
      <c r="F3158" s="1"/>
      <c r="G3158" s="2"/>
      <c r="H3158" s="2"/>
      <c r="J3158" s="3"/>
      <c r="K3158" s="3"/>
      <c r="L3158" s="3"/>
      <c r="N3158" s="3"/>
      <c r="O3158" s="3"/>
      <c r="P3158" s="3"/>
      <c r="R3158" s="3"/>
    </row>
    <row r="3159" spans="2:18" x14ac:dyDescent="0.2">
      <c r="B3159" s="1"/>
      <c r="C3159" s="2"/>
      <c r="D3159" s="2"/>
      <c r="F3159" s="1"/>
      <c r="G3159" s="2"/>
      <c r="H3159" s="2"/>
      <c r="J3159" s="3"/>
      <c r="K3159" s="3"/>
      <c r="L3159" s="3"/>
      <c r="N3159" s="3"/>
      <c r="O3159" s="3"/>
      <c r="P3159" s="3"/>
      <c r="R3159" s="3"/>
    </row>
    <row r="3160" spans="2:18" x14ac:dyDescent="0.2">
      <c r="B3160" s="1"/>
      <c r="C3160" s="2"/>
      <c r="D3160" s="2"/>
      <c r="F3160" s="1"/>
      <c r="G3160" s="2"/>
      <c r="H3160" s="2"/>
      <c r="J3160" s="3"/>
      <c r="K3160" s="3"/>
      <c r="L3160" s="3"/>
      <c r="N3160" s="3"/>
      <c r="O3160" s="3"/>
      <c r="P3160" s="3"/>
      <c r="R3160" s="3"/>
    </row>
    <row r="3161" spans="2:18" x14ac:dyDescent="0.2">
      <c r="B3161" s="1"/>
      <c r="C3161" s="2"/>
      <c r="D3161" s="2"/>
      <c r="F3161" s="1"/>
      <c r="G3161" s="2"/>
      <c r="H3161" s="2"/>
      <c r="J3161" s="3"/>
      <c r="K3161" s="3"/>
      <c r="L3161" s="3"/>
      <c r="N3161" s="3"/>
      <c r="O3161" s="3"/>
      <c r="P3161" s="3"/>
      <c r="R3161" s="3"/>
    </row>
    <row r="3162" spans="2:18" x14ac:dyDescent="0.2">
      <c r="B3162" s="1"/>
      <c r="C3162" s="2"/>
      <c r="D3162" s="2"/>
      <c r="F3162" s="1"/>
      <c r="G3162" s="2"/>
      <c r="H3162" s="2"/>
      <c r="J3162" s="3"/>
      <c r="K3162" s="3"/>
      <c r="L3162" s="3"/>
      <c r="N3162" s="3"/>
      <c r="O3162" s="3"/>
      <c r="P3162" s="3"/>
      <c r="R3162" s="3"/>
    </row>
    <row r="3163" spans="2:18" x14ac:dyDescent="0.2">
      <c r="B3163" s="1"/>
      <c r="C3163" s="2"/>
      <c r="D3163" s="2"/>
      <c r="F3163" s="1"/>
      <c r="G3163" s="2"/>
      <c r="H3163" s="2"/>
      <c r="J3163" s="3"/>
      <c r="K3163" s="3"/>
      <c r="L3163" s="3"/>
      <c r="N3163" s="3"/>
      <c r="O3163" s="3"/>
      <c r="P3163" s="3"/>
      <c r="R3163" s="3"/>
    </row>
    <row r="3164" spans="2:18" x14ac:dyDescent="0.2">
      <c r="B3164" s="1"/>
      <c r="C3164" s="2"/>
      <c r="D3164" s="2"/>
      <c r="F3164" s="1"/>
      <c r="G3164" s="2"/>
      <c r="H3164" s="2"/>
      <c r="J3164" s="3"/>
      <c r="K3164" s="3"/>
      <c r="L3164" s="3"/>
      <c r="N3164" s="3"/>
      <c r="O3164" s="3"/>
      <c r="P3164" s="3"/>
      <c r="R3164" s="3"/>
    </row>
    <row r="3165" spans="2:18" x14ac:dyDescent="0.2">
      <c r="B3165" s="1"/>
      <c r="C3165" s="2"/>
      <c r="D3165" s="2"/>
      <c r="F3165" s="1"/>
      <c r="G3165" s="2"/>
      <c r="H3165" s="2"/>
      <c r="J3165" s="3"/>
      <c r="K3165" s="3"/>
      <c r="L3165" s="3"/>
      <c r="N3165" s="3"/>
      <c r="O3165" s="3"/>
      <c r="P3165" s="3"/>
      <c r="R3165" s="3"/>
    </row>
    <row r="3166" spans="2:18" x14ac:dyDescent="0.2">
      <c r="B3166" s="1"/>
      <c r="C3166" s="2"/>
      <c r="D3166" s="2"/>
      <c r="F3166" s="1"/>
      <c r="G3166" s="2"/>
      <c r="H3166" s="2"/>
      <c r="J3166" s="3"/>
      <c r="K3166" s="3"/>
      <c r="L3166" s="3"/>
      <c r="N3166" s="3"/>
      <c r="O3166" s="3"/>
      <c r="P3166" s="3"/>
      <c r="R3166" s="3"/>
    </row>
    <row r="3167" spans="2:18" x14ac:dyDescent="0.2">
      <c r="B3167" s="1"/>
      <c r="C3167" s="2"/>
      <c r="D3167" s="2"/>
      <c r="F3167" s="1"/>
      <c r="G3167" s="2"/>
      <c r="H3167" s="2"/>
      <c r="J3167" s="3"/>
      <c r="K3167" s="3"/>
      <c r="L3167" s="3"/>
      <c r="N3167" s="3"/>
      <c r="O3167" s="3"/>
      <c r="P3167" s="3"/>
      <c r="R3167" s="3"/>
    </row>
    <row r="3168" spans="2:18" x14ac:dyDescent="0.2">
      <c r="B3168" s="1"/>
      <c r="C3168" s="2"/>
      <c r="D3168" s="2"/>
      <c r="F3168" s="1"/>
      <c r="G3168" s="2"/>
      <c r="H3168" s="2"/>
      <c r="J3168" s="3"/>
      <c r="K3168" s="3"/>
      <c r="L3168" s="3"/>
      <c r="N3168" s="3"/>
      <c r="O3168" s="3"/>
      <c r="P3168" s="3"/>
      <c r="R3168" s="3"/>
    </row>
    <row r="3169" spans="2:18" x14ac:dyDescent="0.2">
      <c r="B3169" s="1"/>
      <c r="C3169" s="2"/>
      <c r="D3169" s="2"/>
      <c r="F3169" s="1"/>
      <c r="G3169" s="2"/>
      <c r="H3169" s="2"/>
      <c r="J3169" s="3"/>
      <c r="K3169" s="3"/>
      <c r="L3169" s="3"/>
      <c r="N3169" s="3"/>
      <c r="O3169" s="3"/>
      <c r="P3169" s="3"/>
      <c r="R3169" s="3"/>
    </row>
    <row r="3170" spans="2:18" x14ac:dyDescent="0.2">
      <c r="B3170" s="1"/>
      <c r="C3170" s="2"/>
      <c r="D3170" s="2"/>
      <c r="F3170" s="1"/>
      <c r="G3170" s="2"/>
      <c r="H3170" s="2"/>
      <c r="J3170" s="3"/>
      <c r="K3170" s="3"/>
      <c r="L3170" s="3"/>
      <c r="N3170" s="3"/>
      <c r="O3170" s="3"/>
      <c r="P3170" s="3"/>
      <c r="R3170" s="3"/>
    </row>
    <row r="3171" spans="2:18" x14ac:dyDescent="0.2">
      <c r="B3171" s="1"/>
      <c r="C3171" s="2"/>
      <c r="D3171" s="2"/>
      <c r="F3171" s="1"/>
      <c r="G3171" s="2"/>
      <c r="H3171" s="2"/>
      <c r="J3171" s="3"/>
      <c r="K3171" s="3"/>
      <c r="L3171" s="3"/>
      <c r="N3171" s="3"/>
      <c r="O3171" s="3"/>
      <c r="P3171" s="3"/>
      <c r="R3171" s="3"/>
    </row>
    <row r="3172" spans="2:18" x14ac:dyDescent="0.2">
      <c r="B3172" s="1"/>
      <c r="C3172" s="2"/>
      <c r="D3172" s="2"/>
      <c r="F3172" s="1"/>
      <c r="G3172" s="2"/>
      <c r="H3172" s="2"/>
      <c r="J3172" s="3"/>
      <c r="K3172" s="3"/>
      <c r="L3172" s="3"/>
      <c r="N3172" s="3"/>
      <c r="O3172" s="3"/>
      <c r="P3172" s="3"/>
      <c r="R3172" s="3"/>
    </row>
    <row r="3173" spans="2:18" x14ac:dyDescent="0.2">
      <c r="B3173" s="1"/>
      <c r="C3173" s="2"/>
      <c r="D3173" s="2"/>
      <c r="F3173" s="1"/>
      <c r="G3173" s="2"/>
      <c r="H3173" s="2"/>
      <c r="J3173" s="3"/>
      <c r="K3173" s="3"/>
      <c r="L3173" s="3"/>
      <c r="N3173" s="3"/>
      <c r="O3173" s="3"/>
      <c r="P3173" s="3"/>
      <c r="R3173" s="3"/>
    </row>
    <row r="3174" spans="2:18" x14ac:dyDescent="0.2">
      <c r="B3174" s="1"/>
      <c r="C3174" s="2"/>
      <c r="D3174" s="2"/>
      <c r="F3174" s="1"/>
      <c r="G3174" s="2"/>
      <c r="H3174" s="2"/>
      <c r="J3174" s="3"/>
      <c r="K3174" s="3"/>
      <c r="L3174" s="3"/>
      <c r="N3174" s="3"/>
      <c r="O3174" s="3"/>
      <c r="P3174" s="3"/>
      <c r="R3174" s="3"/>
    </row>
    <row r="3175" spans="2:18" x14ac:dyDescent="0.2">
      <c r="B3175" s="1"/>
      <c r="C3175" s="2"/>
      <c r="D3175" s="2"/>
      <c r="F3175" s="1"/>
      <c r="G3175" s="2"/>
      <c r="H3175" s="2"/>
      <c r="J3175" s="3"/>
      <c r="K3175" s="3"/>
      <c r="L3175" s="3"/>
      <c r="N3175" s="3"/>
      <c r="O3175" s="3"/>
      <c r="P3175" s="3"/>
      <c r="R3175" s="3"/>
    </row>
    <row r="3176" spans="2:18" x14ac:dyDescent="0.2">
      <c r="B3176" s="1"/>
      <c r="C3176" s="2"/>
      <c r="D3176" s="2"/>
      <c r="F3176" s="1"/>
      <c r="G3176" s="2"/>
      <c r="H3176" s="2"/>
      <c r="J3176" s="3"/>
      <c r="K3176" s="3"/>
      <c r="L3176" s="3"/>
      <c r="N3176" s="3"/>
      <c r="O3176" s="3"/>
      <c r="P3176" s="3"/>
      <c r="R3176" s="3"/>
    </row>
    <row r="3177" spans="2:18" x14ac:dyDescent="0.2">
      <c r="B3177" s="1"/>
      <c r="C3177" s="2"/>
      <c r="D3177" s="2"/>
      <c r="F3177" s="1"/>
      <c r="G3177" s="2"/>
      <c r="H3177" s="2"/>
      <c r="J3177" s="3"/>
      <c r="K3177" s="3"/>
      <c r="L3177" s="3"/>
      <c r="N3177" s="3"/>
      <c r="O3177" s="3"/>
      <c r="P3177" s="3"/>
      <c r="R3177" s="3"/>
    </row>
    <row r="3178" spans="2:18" x14ac:dyDescent="0.2">
      <c r="B3178" s="1"/>
      <c r="C3178" s="2"/>
      <c r="D3178" s="2"/>
      <c r="F3178" s="1"/>
      <c r="G3178" s="2"/>
      <c r="H3178" s="2"/>
      <c r="J3178" s="3"/>
      <c r="K3178" s="3"/>
      <c r="L3178" s="3"/>
      <c r="N3178" s="3"/>
      <c r="O3178" s="3"/>
      <c r="P3178" s="3"/>
      <c r="R3178" s="3"/>
    </row>
    <row r="3179" spans="2:18" x14ac:dyDescent="0.2">
      <c r="B3179" s="1"/>
      <c r="C3179" s="2"/>
      <c r="D3179" s="2"/>
      <c r="F3179" s="1"/>
      <c r="G3179" s="2"/>
      <c r="H3179" s="2"/>
      <c r="J3179" s="3"/>
      <c r="K3179" s="3"/>
      <c r="L3179" s="3"/>
      <c r="N3179" s="3"/>
      <c r="O3179" s="3"/>
      <c r="P3179" s="3"/>
      <c r="R3179" s="3"/>
    </row>
    <row r="3180" spans="2:18" x14ac:dyDescent="0.2">
      <c r="B3180" s="1"/>
      <c r="C3180" s="2"/>
      <c r="D3180" s="2"/>
      <c r="F3180" s="1"/>
      <c r="G3180" s="2"/>
      <c r="H3180" s="2"/>
      <c r="J3180" s="3"/>
      <c r="K3180" s="3"/>
      <c r="L3180" s="3"/>
      <c r="N3180" s="3"/>
      <c r="O3180" s="3"/>
      <c r="P3180" s="3"/>
      <c r="R3180" s="3"/>
    </row>
    <row r="3181" spans="2:18" x14ac:dyDescent="0.2">
      <c r="B3181" s="1"/>
      <c r="C3181" s="2"/>
      <c r="D3181" s="2"/>
      <c r="F3181" s="1"/>
      <c r="G3181" s="2"/>
      <c r="H3181" s="2"/>
      <c r="J3181" s="3"/>
      <c r="K3181" s="3"/>
      <c r="L3181" s="3"/>
      <c r="N3181" s="3"/>
      <c r="O3181" s="3"/>
      <c r="P3181" s="3"/>
      <c r="R3181" s="3"/>
    </row>
    <row r="3182" spans="2:18" x14ac:dyDescent="0.2">
      <c r="B3182" s="1"/>
      <c r="C3182" s="2"/>
      <c r="D3182" s="2"/>
      <c r="F3182" s="1"/>
      <c r="G3182" s="2"/>
      <c r="H3182" s="2"/>
      <c r="J3182" s="3"/>
      <c r="K3182" s="3"/>
      <c r="L3182" s="3"/>
      <c r="N3182" s="3"/>
      <c r="O3182" s="3"/>
      <c r="P3182" s="3"/>
      <c r="R3182" s="3"/>
    </row>
    <row r="3183" spans="2:18" x14ac:dyDescent="0.2">
      <c r="B3183" s="1"/>
      <c r="C3183" s="2"/>
      <c r="D3183" s="2"/>
      <c r="F3183" s="1"/>
      <c r="G3183" s="2"/>
      <c r="H3183" s="2"/>
      <c r="J3183" s="3"/>
      <c r="K3183" s="3"/>
      <c r="L3183" s="3"/>
      <c r="N3183" s="3"/>
      <c r="O3183" s="3"/>
      <c r="P3183" s="3"/>
      <c r="R3183" s="3"/>
    </row>
    <row r="3184" spans="2:18" x14ac:dyDescent="0.2">
      <c r="B3184" s="1"/>
      <c r="C3184" s="2"/>
      <c r="D3184" s="2"/>
      <c r="F3184" s="1"/>
      <c r="G3184" s="2"/>
      <c r="H3184" s="2"/>
      <c r="J3184" s="3"/>
      <c r="K3184" s="3"/>
      <c r="L3184" s="3"/>
      <c r="N3184" s="3"/>
      <c r="O3184" s="3"/>
      <c r="P3184" s="3"/>
      <c r="R3184" s="3"/>
    </row>
    <row r="3185" spans="2:18" x14ac:dyDescent="0.2">
      <c r="B3185" s="1"/>
      <c r="C3185" s="2"/>
      <c r="D3185" s="2"/>
      <c r="F3185" s="1"/>
      <c r="G3185" s="2"/>
      <c r="H3185" s="2"/>
      <c r="J3185" s="3"/>
      <c r="K3185" s="3"/>
      <c r="L3185" s="3"/>
      <c r="N3185" s="3"/>
      <c r="O3185" s="3"/>
      <c r="P3185" s="3"/>
      <c r="R3185" s="3"/>
    </row>
    <row r="3186" spans="2:18" x14ac:dyDescent="0.2">
      <c r="B3186" s="1"/>
      <c r="C3186" s="2"/>
      <c r="D3186" s="2"/>
      <c r="F3186" s="1"/>
      <c r="G3186" s="2"/>
      <c r="H3186" s="2"/>
      <c r="J3186" s="3"/>
      <c r="K3186" s="3"/>
      <c r="L3186" s="3"/>
      <c r="N3186" s="3"/>
      <c r="O3186" s="3"/>
      <c r="P3186" s="3"/>
      <c r="R3186" s="3"/>
    </row>
    <row r="3187" spans="2:18" x14ac:dyDescent="0.2">
      <c r="B3187" s="1"/>
      <c r="C3187" s="2"/>
      <c r="D3187" s="2"/>
      <c r="F3187" s="1"/>
      <c r="G3187" s="2"/>
      <c r="H3187" s="2"/>
      <c r="J3187" s="3"/>
      <c r="K3187" s="3"/>
      <c r="L3187" s="3"/>
      <c r="N3187" s="3"/>
      <c r="O3187" s="3"/>
      <c r="P3187" s="3"/>
      <c r="R3187" s="3"/>
    </row>
    <row r="3188" spans="2:18" x14ac:dyDescent="0.2">
      <c r="B3188" s="1"/>
      <c r="C3188" s="2"/>
      <c r="D3188" s="2"/>
      <c r="F3188" s="1"/>
      <c r="G3188" s="2"/>
      <c r="H3188" s="2"/>
      <c r="J3188" s="3"/>
      <c r="K3188" s="3"/>
      <c r="L3188" s="3"/>
      <c r="N3188" s="3"/>
      <c r="O3188" s="3"/>
      <c r="P3188" s="3"/>
      <c r="R3188" s="3"/>
    </row>
    <row r="3189" spans="2:18" x14ac:dyDescent="0.2">
      <c r="B3189" s="1"/>
      <c r="C3189" s="2"/>
      <c r="D3189" s="2"/>
      <c r="F3189" s="1"/>
      <c r="G3189" s="2"/>
      <c r="H3189" s="2"/>
      <c r="J3189" s="3"/>
      <c r="K3189" s="3"/>
      <c r="L3189" s="3"/>
      <c r="N3189" s="3"/>
      <c r="O3189" s="3"/>
      <c r="P3189" s="3"/>
      <c r="R3189" s="3"/>
    </row>
    <row r="3190" spans="2:18" x14ac:dyDescent="0.2">
      <c r="B3190" s="1"/>
      <c r="C3190" s="2"/>
      <c r="D3190" s="2"/>
      <c r="F3190" s="1"/>
      <c r="G3190" s="2"/>
      <c r="H3190" s="2"/>
      <c r="J3190" s="3"/>
      <c r="K3190" s="3"/>
      <c r="L3190" s="3"/>
      <c r="N3190" s="3"/>
      <c r="O3190" s="3"/>
      <c r="P3190" s="3"/>
      <c r="R3190" s="3"/>
    </row>
    <row r="3191" spans="2:18" x14ac:dyDescent="0.2">
      <c r="B3191" s="1"/>
      <c r="C3191" s="2"/>
      <c r="D3191" s="2"/>
      <c r="F3191" s="1"/>
      <c r="G3191" s="2"/>
      <c r="H3191" s="2"/>
      <c r="J3191" s="3"/>
      <c r="K3191" s="3"/>
      <c r="L3191" s="3"/>
      <c r="N3191" s="3"/>
      <c r="O3191" s="3"/>
      <c r="P3191" s="3"/>
      <c r="R3191" s="3"/>
    </row>
    <row r="3192" spans="2:18" x14ac:dyDescent="0.2">
      <c r="B3192" s="1"/>
      <c r="C3192" s="2"/>
      <c r="D3192" s="2"/>
      <c r="F3192" s="1"/>
      <c r="G3192" s="2"/>
      <c r="H3192" s="2"/>
      <c r="J3192" s="3"/>
      <c r="K3192" s="3"/>
      <c r="L3192" s="3"/>
      <c r="N3192" s="3"/>
      <c r="O3192" s="3"/>
      <c r="P3192" s="3"/>
      <c r="R3192" s="3"/>
    </row>
    <row r="3193" spans="2:18" x14ac:dyDescent="0.2">
      <c r="B3193" s="1"/>
      <c r="C3193" s="2"/>
      <c r="D3193" s="2"/>
      <c r="F3193" s="1"/>
      <c r="G3193" s="2"/>
      <c r="H3193" s="2"/>
      <c r="J3193" s="3"/>
      <c r="K3193" s="3"/>
      <c r="L3193" s="3"/>
      <c r="N3193" s="3"/>
      <c r="O3193" s="3"/>
      <c r="P3193" s="3"/>
      <c r="R3193" s="3"/>
    </row>
    <row r="3194" spans="2:18" x14ac:dyDescent="0.2">
      <c r="B3194" s="1"/>
      <c r="C3194" s="2"/>
      <c r="D3194" s="2"/>
      <c r="F3194" s="1"/>
      <c r="G3194" s="2"/>
      <c r="H3194" s="2"/>
      <c r="J3194" s="3"/>
      <c r="K3194" s="3"/>
      <c r="L3194" s="3"/>
      <c r="N3194" s="3"/>
      <c r="O3194" s="3"/>
      <c r="P3194" s="3"/>
      <c r="R3194" s="3"/>
    </row>
    <row r="3195" spans="2:18" x14ac:dyDescent="0.2">
      <c r="B3195" s="1"/>
      <c r="C3195" s="2"/>
      <c r="D3195" s="2"/>
      <c r="F3195" s="1"/>
      <c r="G3195" s="2"/>
      <c r="H3195" s="2"/>
      <c r="J3195" s="3"/>
      <c r="K3195" s="3"/>
      <c r="L3195" s="3"/>
      <c r="N3195" s="3"/>
      <c r="O3195" s="3"/>
      <c r="P3195" s="3"/>
      <c r="R3195" s="3"/>
    </row>
    <row r="3196" spans="2:18" x14ac:dyDescent="0.2">
      <c r="B3196" s="1"/>
      <c r="C3196" s="2"/>
      <c r="D3196" s="2"/>
      <c r="F3196" s="1"/>
      <c r="G3196" s="2"/>
      <c r="H3196" s="2"/>
      <c r="J3196" s="3"/>
      <c r="K3196" s="3"/>
      <c r="L3196" s="3"/>
      <c r="N3196" s="3"/>
      <c r="O3196" s="3"/>
      <c r="P3196" s="3"/>
      <c r="R3196" s="3"/>
    </row>
    <row r="3197" spans="2:18" x14ac:dyDescent="0.2">
      <c r="B3197" s="1"/>
      <c r="C3197" s="2"/>
      <c r="D3197" s="2"/>
      <c r="F3197" s="1"/>
      <c r="G3197" s="2"/>
      <c r="H3197" s="2"/>
      <c r="J3197" s="3"/>
      <c r="K3197" s="3"/>
      <c r="L3197" s="3"/>
      <c r="N3197" s="3"/>
      <c r="O3197" s="3"/>
      <c r="P3197" s="3"/>
      <c r="R3197" s="3"/>
    </row>
    <row r="3198" spans="2:18" x14ac:dyDescent="0.2">
      <c r="B3198" s="1"/>
      <c r="C3198" s="2"/>
      <c r="D3198" s="2"/>
      <c r="F3198" s="1"/>
      <c r="G3198" s="2"/>
      <c r="H3198" s="2"/>
      <c r="J3198" s="3"/>
      <c r="K3198" s="3"/>
      <c r="L3198" s="3"/>
      <c r="N3198" s="3"/>
      <c r="O3198" s="3"/>
      <c r="P3198" s="3"/>
      <c r="R3198" s="3"/>
    </row>
    <row r="3199" spans="2:18" x14ac:dyDescent="0.2">
      <c r="B3199" s="1"/>
      <c r="C3199" s="2"/>
      <c r="D3199" s="2"/>
      <c r="F3199" s="1"/>
      <c r="G3199" s="2"/>
      <c r="H3199" s="2"/>
      <c r="J3199" s="3"/>
      <c r="K3199" s="3"/>
      <c r="L3199" s="3"/>
      <c r="N3199" s="3"/>
      <c r="O3199" s="3"/>
      <c r="P3199" s="3"/>
      <c r="R3199" s="3"/>
    </row>
    <row r="3200" spans="2:18" x14ac:dyDescent="0.2">
      <c r="B3200" s="1"/>
      <c r="C3200" s="2"/>
      <c r="D3200" s="2"/>
      <c r="F3200" s="1"/>
      <c r="G3200" s="2"/>
      <c r="H3200" s="2"/>
      <c r="J3200" s="3"/>
      <c r="K3200" s="3"/>
      <c r="L3200" s="3"/>
      <c r="N3200" s="3"/>
      <c r="O3200" s="3"/>
      <c r="P3200" s="3"/>
      <c r="R3200" s="3"/>
    </row>
    <row r="3201" spans="2:18" x14ac:dyDescent="0.2">
      <c r="B3201" s="1"/>
      <c r="C3201" s="2"/>
      <c r="D3201" s="2"/>
      <c r="F3201" s="1"/>
      <c r="G3201" s="2"/>
      <c r="H3201" s="2"/>
      <c r="J3201" s="3"/>
      <c r="K3201" s="3"/>
      <c r="L3201" s="3"/>
      <c r="N3201" s="3"/>
      <c r="O3201" s="3"/>
      <c r="P3201" s="3"/>
      <c r="R3201" s="3"/>
    </row>
    <row r="3202" spans="2:18" x14ac:dyDescent="0.2">
      <c r="B3202" s="1"/>
      <c r="C3202" s="2"/>
      <c r="D3202" s="2"/>
      <c r="F3202" s="1"/>
      <c r="G3202" s="2"/>
      <c r="H3202" s="2"/>
      <c r="J3202" s="3"/>
      <c r="K3202" s="3"/>
      <c r="L3202" s="3"/>
      <c r="N3202" s="3"/>
      <c r="O3202" s="3"/>
      <c r="P3202" s="3"/>
      <c r="R3202" s="3"/>
    </row>
    <row r="3203" spans="2:18" x14ac:dyDescent="0.2">
      <c r="B3203" s="1"/>
      <c r="C3203" s="2"/>
      <c r="D3203" s="2"/>
      <c r="F3203" s="1"/>
      <c r="G3203" s="2"/>
      <c r="H3203" s="2"/>
      <c r="J3203" s="3"/>
      <c r="K3203" s="3"/>
      <c r="L3203" s="3"/>
      <c r="N3203" s="3"/>
      <c r="O3203" s="3"/>
      <c r="P3203" s="3"/>
      <c r="R3203" s="3"/>
    </row>
    <row r="3204" spans="2:18" x14ac:dyDescent="0.2">
      <c r="B3204" s="1"/>
      <c r="C3204" s="2"/>
      <c r="D3204" s="2"/>
      <c r="F3204" s="1"/>
      <c r="G3204" s="2"/>
      <c r="H3204" s="2"/>
      <c r="J3204" s="3"/>
      <c r="K3204" s="3"/>
      <c r="L3204" s="3"/>
      <c r="N3204" s="3"/>
      <c r="O3204" s="3"/>
      <c r="P3204" s="3"/>
      <c r="R3204" s="3"/>
    </row>
    <row r="3205" spans="2:18" x14ac:dyDescent="0.2">
      <c r="B3205" s="1"/>
      <c r="C3205" s="2"/>
      <c r="D3205" s="2"/>
      <c r="F3205" s="1"/>
      <c r="G3205" s="2"/>
      <c r="H3205" s="2"/>
      <c r="J3205" s="3"/>
      <c r="K3205" s="3"/>
      <c r="L3205" s="3"/>
      <c r="N3205" s="3"/>
      <c r="O3205" s="3"/>
      <c r="P3205" s="3"/>
      <c r="R3205" s="3"/>
    </row>
    <row r="3206" spans="2:18" x14ac:dyDescent="0.2">
      <c r="B3206" s="1"/>
      <c r="C3206" s="2"/>
      <c r="D3206" s="2"/>
      <c r="F3206" s="1"/>
      <c r="G3206" s="2"/>
      <c r="H3206" s="2"/>
      <c r="J3206" s="3"/>
      <c r="K3206" s="3"/>
      <c r="L3206" s="3"/>
      <c r="N3206" s="3"/>
      <c r="O3206" s="3"/>
      <c r="P3206" s="3"/>
      <c r="R3206" s="3"/>
    </row>
    <row r="3207" spans="2:18" x14ac:dyDescent="0.2">
      <c r="B3207" s="1"/>
      <c r="C3207" s="2"/>
      <c r="D3207" s="2"/>
      <c r="F3207" s="1"/>
      <c r="G3207" s="2"/>
      <c r="H3207" s="2"/>
      <c r="J3207" s="3"/>
      <c r="K3207" s="3"/>
      <c r="L3207" s="3"/>
      <c r="N3207" s="3"/>
      <c r="O3207" s="3"/>
      <c r="P3207" s="3"/>
      <c r="R3207" s="3"/>
    </row>
    <row r="3208" spans="2:18" x14ac:dyDescent="0.2">
      <c r="B3208" s="1"/>
      <c r="C3208" s="2"/>
      <c r="D3208" s="2"/>
      <c r="F3208" s="1"/>
      <c r="G3208" s="2"/>
      <c r="H3208" s="2"/>
      <c r="J3208" s="3"/>
      <c r="K3208" s="3"/>
      <c r="L3208" s="3"/>
      <c r="N3208" s="3"/>
      <c r="O3208" s="3"/>
      <c r="P3208" s="3"/>
      <c r="R3208" s="3"/>
    </row>
    <row r="3209" spans="2:18" x14ac:dyDescent="0.2">
      <c r="B3209" s="1"/>
      <c r="C3209" s="2"/>
      <c r="D3209" s="2"/>
      <c r="F3209" s="1"/>
      <c r="G3209" s="2"/>
      <c r="H3209" s="2"/>
      <c r="J3209" s="3"/>
      <c r="K3209" s="3"/>
      <c r="L3209" s="3"/>
      <c r="N3209" s="3"/>
      <c r="O3209" s="3"/>
      <c r="P3209" s="3"/>
      <c r="R3209" s="3"/>
    </row>
    <row r="3210" spans="2:18" x14ac:dyDescent="0.2">
      <c r="B3210" s="1"/>
      <c r="C3210" s="2"/>
      <c r="D3210" s="2"/>
      <c r="F3210" s="1"/>
      <c r="G3210" s="2"/>
      <c r="H3210" s="2"/>
      <c r="J3210" s="3"/>
      <c r="K3210" s="3"/>
      <c r="L3210" s="3"/>
      <c r="N3210" s="3"/>
      <c r="O3210" s="3"/>
      <c r="P3210" s="3"/>
      <c r="R3210" s="3"/>
    </row>
    <row r="3211" spans="2:18" x14ac:dyDescent="0.2">
      <c r="B3211" s="1"/>
      <c r="C3211" s="2"/>
      <c r="D3211" s="2"/>
      <c r="F3211" s="1"/>
      <c r="G3211" s="2"/>
      <c r="H3211" s="2"/>
      <c r="J3211" s="3"/>
      <c r="K3211" s="3"/>
      <c r="L3211" s="3"/>
      <c r="N3211" s="3"/>
      <c r="O3211" s="3"/>
      <c r="P3211" s="3"/>
      <c r="R3211" s="3"/>
    </row>
    <row r="3212" spans="2:18" x14ac:dyDescent="0.2">
      <c r="B3212" s="1"/>
      <c r="C3212" s="2"/>
      <c r="D3212" s="2"/>
      <c r="F3212" s="1"/>
      <c r="G3212" s="2"/>
      <c r="H3212" s="2"/>
      <c r="J3212" s="3"/>
      <c r="K3212" s="3"/>
      <c r="L3212" s="3"/>
      <c r="N3212" s="3"/>
      <c r="O3212" s="3"/>
      <c r="P3212" s="3"/>
      <c r="R3212" s="3"/>
    </row>
    <row r="3213" spans="2:18" x14ac:dyDescent="0.2">
      <c r="B3213" s="1"/>
      <c r="C3213" s="2"/>
      <c r="D3213" s="2"/>
      <c r="F3213" s="1"/>
      <c r="G3213" s="2"/>
      <c r="H3213" s="2"/>
      <c r="J3213" s="3"/>
      <c r="K3213" s="3"/>
      <c r="L3213" s="3"/>
      <c r="N3213" s="3"/>
      <c r="O3213" s="3"/>
      <c r="P3213" s="3"/>
      <c r="R3213" s="3"/>
    </row>
    <row r="3214" spans="2:18" x14ac:dyDescent="0.2">
      <c r="B3214" s="1"/>
      <c r="C3214" s="2"/>
      <c r="D3214" s="2"/>
      <c r="F3214" s="1"/>
      <c r="G3214" s="2"/>
      <c r="H3214" s="2"/>
      <c r="J3214" s="3"/>
      <c r="K3214" s="3"/>
      <c r="L3214" s="3"/>
      <c r="N3214" s="3"/>
      <c r="O3214" s="3"/>
      <c r="P3214" s="3"/>
      <c r="R3214" s="3"/>
    </row>
    <row r="3215" spans="2:18" x14ac:dyDescent="0.2">
      <c r="B3215" s="1"/>
      <c r="C3215" s="2"/>
      <c r="D3215" s="2"/>
      <c r="F3215" s="1"/>
      <c r="G3215" s="2"/>
      <c r="H3215" s="2"/>
      <c r="J3215" s="3"/>
      <c r="K3215" s="3"/>
      <c r="L3215" s="3"/>
      <c r="N3215" s="3"/>
      <c r="O3215" s="3"/>
      <c r="P3215" s="3"/>
      <c r="R3215" s="3"/>
    </row>
    <row r="3216" spans="2:18" x14ac:dyDescent="0.2">
      <c r="B3216" s="1"/>
      <c r="C3216" s="2"/>
      <c r="D3216" s="2"/>
      <c r="F3216" s="1"/>
      <c r="G3216" s="2"/>
      <c r="H3216" s="2"/>
      <c r="J3216" s="3"/>
      <c r="K3216" s="3"/>
      <c r="L3216" s="3"/>
      <c r="N3216" s="3"/>
      <c r="O3216" s="3"/>
      <c r="P3216" s="3"/>
      <c r="R3216" s="3"/>
    </row>
    <row r="3217" spans="2:18" x14ac:dyDescent="0.2">
      <c r="B3217" s="1"/>
      <c r="C3217" s="2"/>
      <c r="D3217" s="2"/>
      <c r="F3217" s="1"/>
      <c r="G3217" s="2"/>
      <c r="H3217" s="2"/>
      <c r="J3217" s="3"/>
      <c r="K3217" s="3"/>
      <c r="L3217" s="3"/>
      <c r="N3217" s="3"/>
      <c r="O3217" s="3"/>
      <c r="P3217" s="3"/>
      <c r="R3217" s="3"/>
    </row>
    <row r="3218" spans="2:18" x14ac:dyDescent="0.2">
      <c r="B3218" s="1"/>
      <c r="C3218" s="2"/>
      <c r="D3218" s="2"/>
      <c r="F3218" s="1"/>
      <c r="G3218" s="2"/>
      <c r="H3218" s="2"/>
      <c r="J3218" s="3"/>
      <c r="K3218" s="3"/>
      <c r="L3218" s="3"/>
      <c r="N3218" s="3"/>
      <c r="O3218" s="3"/>
      <c r="P3218" s="3"/>
      <c r="R3218" s="3"/>
    </row>
    <row r="3219" spans="2:18" x14ac:dyDescent="0.2">
      <c r="B3219" s="1"/>
      <c r="C3219" s="2"/>
      <c r="D3219" s="2"/>
      <c r="F3219" s="1"/>
      <c r="G3219" s="2"/>
      <c r="H3219" s="2"/>
      <c r="J3219" s="3"/>
      <c r="K3219" s="3"/>
      <c r="L3219" s="3"/>
      <c r="N3219" s="3"/>
      <c r="O3219" s="3"/>
      <c r="P3219" s="3"/>
      <c r="R3219" s="3"/>
    </row>
    <row r="3220" spans="2:18" x14ac:dyDescent="0.2">
      <c r="B3220" s="1"/>
      <c r="C3220" s="2"/>
      <c r="D3220" s="2"/>
      <c r="F3220" s="1"/>
      <c r="G3220" s="2"/>
      <c r="H3220" s="2"/>
      <c r="J3220" s="3"/>
      <c r="K3220" s="3"/>
      <c r="L3220" s="3"/>
      <c r="N3220" s="3"/>
      <c r="O3220" s="3"/>
      <c r="P3220" s="3"/>
      <c r="R3220" s="3"/>
    </row>
    <row r="3221" spans="2:18" x14ac:dyDescent="0.2">
      <c r="B3221" s="1"/>
      <c r="C3221" s="2"/>
      <c r="D3221" s="2"/>
      <c r="F3221" s="1"/>
      <c r="G3221" s="2"/>
      <c r="H3221" s="2"/>
      <c r="J3221" s="3"/>
      <c r="K3221" s="3"/>
      <c r="L3221" s="3"/>
      <c r="N3221" s="3"/>
      <c r="O3221" s="3"/>
      <c r="P3221" s="3"/>
      <c r="R3221" s="3"/>
    </row>
    <row r="3222" spans="2:18" x14ac:dyDescent="0.2">
      <c r="B3222" s="1"/>
      <c r="C3222" s="2"/>
      <c r="D3222" s="2"/>
      <c r="F3222" s="1"/>
      <c r="G3222" s="2"/>
      <c r="H3222" s="2"/>
      <c r="J3222" s="3"/>
      <c r="K3222" s="3"/>
      <c r="L3222" s="3"/>
      <c r="N3222" s="3"/>
      <c r="O3222" s="3"/>
      <c r="P3222" s="3"/>
      <c r="R3222" s="3"/>
    </row>
    <row r="3223" spans="2:18" x14ac:dyDescent="0.2">
      <c r="B3223" s="1"/>
      <c r="C3223" s="2"/>
      <c r="D3223" s="2"/>
      <c r="F3223" s="1"/>
      <c r="G3223" s="2"/>
      <c r="H3223" s="2"/>
      <c r="J3223" s="3"/>
      <c r="K3223" s="3"/>
      <c r="L3223" s="3"/>
      <c r="N3223" s="3"/>
      <c r="O3223" s="3"/>
      <c r="P3223" s="3"/>
      <c r="R3223" s="3"/>
    </row>
    <row r="3224" spans="2:18" x14ac:dyDescent="0.2">
      <c r="B3224" s="1"/>
      <c r="C3224" s="2"/>
      <c r="D3224" s="2"/>
      <c r="F3224" s="1"/>
      <c r="G3224" s="2"/>
      <c r="H3224" s="2"/>
      <c r="J3224" s="3"/>
      <c r="K3224" s="3"/>
      <c r="L3224" s="3"/>
      <c r="N3224" s="3"/>
      <c r="O3224" s="3"/>
      <c r="P3224" s="3"/>
      <c r="R3224" s="3"/>
    </row>
    <row r="3225" spans="2:18" x14ac:dyDescent="0.2">
      <c r="B3225" s="1"/>
      <c r="C3225" s="2"/>
      <c r="D3225" s="2"/>
      <c r="F3225" s="1"/>
      <c r="G3225" s="2"/>
      <c r="H3225" s="2"/>
      <c r="J3225" s="3"/>
      <c r="K3225" s="3"/>
      <c r="L3225" s="3"/>
      <c r="N3225" s="3"/>
      <c r="O3225" s="3"/>
      <c r="P3225" s="3"/>
      <c r="R3225" s="3"/>
    </row>
    <row r="3226" spans="2:18" x14ac:dyDescent="0.2">
      <c r="B3226" s="1"/>
      <c r="C3226" s="2"/>
      <c r="D3226" s="2"/>
      <c r="F3226" s="1"/>
      <c r="G3226" s="2"/>
      <c r="H3226" s="2"/>
      <c r="J3226" s="3"/>
      <c r="K3226" s="3"/>
      <c r="L3226" s="3"/>
      <c r="N3226" s="3"/>
      <c r="O3226" s="3"/>
      <c r="P3226" s="3"/>
      <c r="R3226" s="3"/>
    </row>
    <row r="3227" spans="2:18" x14ac:dyDescent="0.2">
      <c r="B3227" s="1"/>
      <c r="C3227" s="2"/>
      <c r="D3227" s="2"/>
      <c r="F3227" s="1"/>
      <c r="G3227" s="2"/>
      <c r="H3227" s="2"/>
      <c r="J3227" s="3"/>
      <c r="K3227" s="3"/>
      <c r="L3227" s="3"/>
      <c r="N3227" s="3"/>
      <c r="O3227" s="3"/>
      <c r="P3227" s="3"/>
      <c r="R3227" s="3"/>
    </row>
    <row r="3228" spans="2:18" x14ac:dyDescent="0.2">
      <c r="B3228" s="1"/>
      <c r="C3228" s="2"/>
      <c r="D3228" s="2"/>
      <c r="F3228" s="1"/>
      <c r="G3228" s="2"/>
      <c r="H3228" s="2"/>
      <c r="J3228" s="3"/>
      <c r="K3228" s="3"/>
      <c r="L3228" s="3"/>
      <c r="N3228" s="3"/>
      <c r="O3228" s="3"/>
      <c r="P3228" s="3"/>
      <c r="R3228" s="3"/>
    </row>
    <row r="3229" spans="2:18" x14ac:dyDescent="0.2">
      <c r="B3229" s="1"/>
      <c r="C3229" s="2"/>
      <c r="D3229" s="2"/>
      <c r="F3229" s="1"/>
      <c r="G3229" s="2"/>
      <c r="H3229" s="2"/>
      <c r="J3229" s="3"/>
      <c r="K3229" s="3"/>
      <c r="L3229" s="3"/>
      <c r="N3229" s="3"/>
      <c r="O3229" s="3"/>
      <c r="P3229" s="3"/>
      <c r="R3229" s="3"/>
    </row>
    <row r="3230" spans="2:18" x14ac:dyDescent="0.2">
      <c r="B3230" s="1"/>
      <c r="C3230" s="2"/>
      <c r="D3230" s="2"/>
      <c r="F3230" s="1"/>
      <c r="G3230" s="2"/>
      <c r="H3230" s="2"/>
      <c r="J3230" s="3"/>
      <c r="K3230" s="3"/>
      <c r="L3230" s="3"/>
      <c r="N3230" s="3"/>
      <c r="O3230" s="3"/>
      <c r="P3230" s="3"/>
      <c r="R3230" s="3"/>
    </row>
    <row r="3231" spans="2:18" x14ac:dyDescent="0.2">
      <c r="B3231" s="1"/>
      <c r="C3231" s="2"/>
      <c r="D3231" s="2"/>
      <c r="F3231" s="1"/>
      <c r="G3231" s="2"/>
      <c r="H3231" s="2"/>
      <c r="J3231" s="3"/>
      <c r="K3231" s="3"/>
      <c r="L3231" s="3"/>
      <c r="N3231" s="3"/>
      <c r="O3231" s="3"/>
      <c r="P3231" s="3"/>
      <c r="R3231" s="3"/>
    </row>
    <row r="3232" spans="2:18" x14ac:dyDescent="0.2">
      <c r="B3232" s="1"/>
      <c r="C3232" s="2"/>
      <c r="D3232" s="2"/>
      <c r="F3232" s="1"/>
      <c r="G3232" s="2"/>
      <c r="H3232" s="2"/>
      <c r="J3232" s="3"/>
      <c r="K3232" s="3"/>
      <c r="L3232" s="3"/>
      <c r="N3232" s="3"/>
      <c r="O3232" s="3"/>
      <c r="P3232" s="3"/>
      <c r="R3232" s="3"/>
    </row>
    <row r="3233" spans="2:18" x14ac:dyDescent="0.2">
      <c r="B3233" s="1"/>
      <c r="C3233" s="2"/>
      <c r="D3233" s="2"/>
      <c r="F3233" s="1"/>
      <c r="G3233" s="2"/>
      <c r="H3233" s="2"/>
      <c r="J3233" s="3"/>
      <c r="K3233" s="3"/>
      <c r="L3233" s="3"/>
      <c r="N3233" s="3"/>
      <c r="O3233" s="3"/>
      <c r="P3233" s="3"/>
      <c r="R3233" s="3"/>
    </row>
    <row r="3234" spans="2:18" x14ac:dyDescent="0.2">
      <c r="B3234" s="1"/>
      <c r="C3234" s="2"/>
      <c r="D3234" s="2"/>
      <c r="F3234" s="1"/>
      <c r="G3234" s="2"/>
      <c r="H3234" s="2"/>
      <c r="J3234" s="3"/>
      <c r="K3234" s="3"/>
      <c r="L3234" s="3"/>
      <c r="N3234" s="3"/>
      <c r="O3234" s="3"/>
      <c r="P3234" s="3"/>
      <c r="R3234" s="3"/>
    </row>
    <row r="3235" spans="2:18" x14ac:dyDescent="0.2">
      <c r="B3235" s="1"/>
      <c r="C3235" s="2"/>
      <c r="D3235" s="2"/>
      <c r="F3235" s="1"/>
      <c r="G3235" s="2"/>
      <c r="H3235" s="2"/>
      <c r="J3235" s="3"/>
      <c r="K3235" s="3"/>
      <c r="L3235" s="3"/>
      <c r="N3235" s="3"/>
      <c r="O3235" s="3"/>
      <c r="P3235" s="3"/>
      <c r="R3235" s="3"/>
    </row>
    <row r="3236" spans="2:18" x14ac:dyDescent="0.2">
      <c r="B3236" s="1"/>
      <c r="C3236" s="2"/>
      <c r="D3236" s="2"/>
      <c r="F3236" s="1"/>
      <c r="G3236" s="2"/>
      <c r="H3236" s="2"/>
      <c r="J3236" s="3"/>
      <c r="K3236" s="3"/>
      <c r="L3236" s="3"/>
      <c r="N3236" s="3"/>
      <c r="O3236" s="3"/>
      <c r="P3236" s="3"/>
      <c r="R3236" s="3"/>
    </row>
    <row r="3237" spans="2:18" x14ac:dyDescent="0.2">
      <c r="B3237" s="1"/>
      <c r="C3237" s="2"/>
      <c r="D3237" s="2"/>
      <c r="F3237" s="1"/>
      <c r="G3237" s="2"/>
      <c r="H3237" s="2"/>
      <c r="J3237" s="3"/>
      <c r="K3237" s="3"/>
      <c r="L3237" s="3"/>
      <c r="N3237" s="3"/>
      <c r="O3237" s="3"/>
      <c r="P3237" s="3"/>
      <c r="R3237" s="3"/>
    </row>
    <row r="3238" spans="2:18" x14ac:dyDescent="0.2">
      <c r="B3238" s="1"/>
      <c r="C3238" s="2"/>
      <c r="D3238" s="2"/>
      <c r="F3238" s="1"/>
      <c r="G3238" s="2"/>
      <c r="H3238" s="2"/>
      <c r="J3238" s="3"/>
      <c r="K3238" s="3"/>
      <c r="L3238" s="3"/>
      <c r="N3238" s="3"/>
      <c r="O3238" s="3"/>
      <c r="P3238" s="3"/>
      <c r="R3238" s="3"/>
    </row>
    <row r="3239" spans="2:18" x14ac:dyDescent="0.2">
      <c r="B3239" s="1"/>
      <c r="C3239" s="2"/>
      <c r="D3239" s="2"/>
      <c r="F3239" s="1"/>
      <c r="G3239" s="2"/>
      <c r="H3239" s="2"/>
      <c r="J3239" s="3"/>
      <c r="K3239" s="3"/>
      <c r="L3239" s="3"/>
      <c r="N3239" s="3"/>
      <c r="O3239" s="3"/>
      <c r="P3239" s="3"/>
      <c r="R3239" s="3"/>
    </row>
    <row r="3240" spans="2:18" x14ac:dyDescent="0.2">
      <c r="B3240" s="1"/>
      <c r="C3240" s="2"/>
      <c r="D3240" s="2"/>
      <c r="F3240" s="1"/>
      <c r="G3240" s="2"/>
      <c r="H3240" s="2"/>
      <c r="J3240" s="3"/>
      <c r="K3240" s="3"/>
      <c r="L3240" s="3"/>
      <c r="N3240" s="3"/>
      <c r="O3240" s="3"/>
      <c r="P3240" s="3"/>
      <c r="R3240" s="3"/>
    </row>
    <row r="3241" spans="2:18" x14ac:dyDescent="0.2">
      <c r="B3241" s="1"/>
      <c r="C3241" s="2"/>
      <c r="D3241" s="2"/>
      <c r="F3241" s="1"/>
      <c r="G3241" s="2"/>
      <c r="H3241" s="2"/>
      <c r="J3241" s="3"/>
      <c r="K3241" s="3"/>
      <c r="L3241" s="3"/>
      <c r="N3241" s="3"/>
      <c r="O3241" s="3"/>
      <c r="P3241" s="3"/>
      <c r="R3241" s="3"/>
    </row>
    <row r="3242" spans="2:18" x14ac:dyDescent="0.2">
      <c r="B3242" s="1"/>
      <c r="C3242" s="2"/>
      <c r="D3242" s="2"/>
      <c r="F3242" s="1"/>
      <c r="G3242" s="2"/>
      <c r="H3242" s="2"/>
      <c r="J3242" s="3"/>
      <c r="K3242" s="3"/>
      <c r="L3242" s="3"/>
      <c r="N3242" s="3"/>
      <c r="O3242" s="3"/>
      <c r="P3242" s="3"/>
      <c r="R3242" s="3"/>
    </row>
    <row r="3243" spans="2:18" x14ac:dyDescent="0.2">
      <c r="B3243" s="1"/>
      <c r="C3243" s="2"/>
      <c r="D3243" s="2"/>
      <c r="F3243" s="1"/>
      <c r="G3243" s="2"/>
      <c r="H3243" s="2"/>
      <c r="J3243" s="3"/>
      <c r="K3243" s="3"/>
      <c r="L3243" s="3"/>
      <c r="N3243" s="3"/>
      <c r="O3243" s="3"/>
      <c r="P3243" s="3"/>
      <c r="R3243" s="3"/>
    </row>
    <row r="3244" spans="2:18" x14ac:dyDescent="0.2">
      <c r="B3244" s="1"/>
      <c r="C3244" s="2"/>
      <c r="D3244" s="2"/>
      <c r="F3244" s="1"/>
      <c r="G3244" s="2"/>
      <c r="H3244" s="2"/>
      <c r="J3244" s="3"/>
      <c r="K3244" s="3"/>
      <c r="L3244" s="3"/>
      <c r="N3244" s="3"/>
      <c r="O3244" s="3"/>
      <c r="P3244" s="3"/>
      <c r="R3244" s="3"/>
    </row>
    <row r="3245" spans="2:18" x14ac:dyDescent="0.2">
      <c r="B3245" s="1"/>
      <c r="C3245" s="2"/>
      <c r="D3245" s="2"/>
      <c r="F3245" s="1"/>
      <c r="G3245" s="2"/>
      <c r="H3245" s="2"/>
      <c r="J3245" s="3"/>
      <c r="K3245" s="3"/>
      <c r="L3245" s="3"/>
      <c r="N3245" s="3"/>
      <c r="O3245" s="3"/>
      <c r="P3245" s="3"/>
      <c r="R3245" s="3"/>
    </row>
    <row r="3246" spans="2:18" x14ac:dyDescent="0.2">
      <c r="B3246" s="1"/>
      <c r="C3246" s="2"/>
      <c r="D3246" s="2"/>
      <c r="F3246" s="1"/>
      <c r="G3246" s="2"/>
      <c r="H3246" s="2"/>
      <c r="J3246" s="3"/>
      <c r="K3246" s="3"/>
      <c r="L3246" s="3"/>
      <c r="N3246" s="3"/>
      <c r="O3246" s="3"/>
      <c r="P3246" s="3"/>
      <c r="R3246" s="3"/>
    </row>
    <row r="3247" spans="2:18" x14ac:dyDescent="0.2">
      <c r="B3247" s="1"/>
      <c r="C3247" s="2"/>
      <c r="D3247" s="2"/>
      <c r="F3247" s="1"/>
      <c r="G3247" s="2"/>
      <c r="H3247" s="2"/>
      <c r="J3247" s="3"/>
      <c r="K3247" s="3"/>
      <c r="L3247" s="3"/>
      <c r="N3247" s="3"/>
      <c r="O3247" s="3"/>
      <c r="P3247" s="3"/>
      <c r="R3247" s="3"/>
    </row>
    <row r="3248" spans="2:18" x14ac:dyDescent="0.2">
      <c r="B3248" s="1"/>
      <c r="C3248" s="2"/>
      <c r="D3248" s="2"/>
      <c r="F3248" s="1"/>
      <c r="G3248" s="2"/>
      <c r="H3248" s="2"/>
      <c r="J3248" s="3"/>
      <c r="K3248" s="3"/>
      <c r="L3248" s="3"/>
      <c r="N3248" s="3"/>
      <c r="O3248" s="3"/>
      <c r="P3248" s="3"/>
      <c r="R3248" s="3"/>
    </row>
    <row r="3249" spans="2:18" x14ac:dyDescent="0.2">
      <c r="B3249" s="1"/>
      <c r="C3249" s="2"/>
      <c r="D3249" s="2"/>
      <c r="F3249" s="1"/>
      <c r="G3249" s="2"/>
      <c r="H3249" s="2"/>
      <c r="J3249" s="3"/>
      <c r="K3249" s="3"/>
      <c r="L3249" s="3"/>
      <c r="N3249" s="3"/>
      <c r="O3249" s="3"/>
      <c r="P3249" s="3"/>
      <c r="R3249" s="3"/>
    </row>
    <row r="3250" spans="2:18" x14ac:dyDescent="0.2">
      <c r="B3250" s="1"/>
      <c r="C3250" s="2"/>
      <c r="D3250" s="2"/>
      <c r="F3250" s="1"/>
      <c r="G3250" s="2"/>
      <c r="H3250" s="2"/>
      <c r="J3250" s="3"/>
      <c r="K3250" s="3"/>
      <c r="L3250" s="3"/>
      <c r="N3250" s="3"/>
      <c r="O3250" s="3"/>
      <c r="P3250" s="3"/>
      <c r="R3250" s="3"/>
    </row>
    <row r="3251" spans="2:18" x14ac:dyDescent="0.2">
      <c r="B3251" s="1"/>
      <c r="C3251" s="2"/>
      <c r="D3251" s="2"/>
      <c r="F3251" s="1"/>
      <c r="G3251" s="2"/>
      <c r="H3251" s="2"/>
      <c r="J3251" s="3"/>
      <c r="K3251" s="3"/>
      <c r="L3251" s="3"/>
      <c r="N3251" s="3"/>
      <c r="O3251" s="3"/>
      <c r="P3251" s="3"/>
      <c r="R3251" s="3"/>
    </row>
    <row r="3252" spans="2:18" x14ac:dyDescent="0.2">
      <c r="B3252" s="1"/>
      <c r="C3252" s="2"/>
      <c r="D3252" s="2"/>
      <c r="F3252" s="1"/>
      <c r="G3252" s="2"/>
      <c r="H3252" s="2"/>
      <c r="J3252" s="3"/>
      <c r="K3252" s="3"/>
      <c r="L3252" s="3"/>
      <c r="N3252" s="3"/>
      <c r="O3252" s="3"/>
      <c r="P3252" s="3"/>
      <c r="R3252" s="3"/>
    </row>
    <row r="3253" spans="2:18" x14ac:dyDescent="0.2">
      <c r="B3253" s="1"/>
      <c r="C3253" s="2"/>
      <c r="D3253" s="2"/>
      <c r="F3253" s="1"/>
      <c r="G3253" s="2"/>
      <c r="H3253" s="2"/>
      <c r="J3253" s="3"/>
      <c r="K3253" s="3"/>
      <c r="L3253" s="3"/>
      <c r="N3253" s="3"/>
      <c r="O3253" s="3"/>
      <c r="P3253" s="3"/>
      <c r="R3253" s="3"/>
    </row>
    <row r="3254" spans="2:18" x14ac:dyDescent="0.2">
      <c r="B3254" s="1"/>
      <c r="C3254" s="2"/>
      <c r="D3254" s="2"/>
      <c r="F3254" s="1"/>
      <c r="G3254" s="2"/>
      <c r="H3254" s="2"/>
      <c r="J3254" s="3"/>
      <c r="K3254" s="3"/>
      <c r="L3254" s="3"/>
      <c r="N3254" s="3"/>
      <c r="O3254" s="3"/>
      <c r="P3254" s="3"/>
      <c r="R3254" s="3"/>
    </row>
    <row r="3255" spans="2:18" x14ac:dyDescent="0.2">
      <c r="B3255" s="1"/>
      <c r="C3255" s="2"/>
      <c r="D3255" s="2"/>
      <c r="F3255" s="1"/>
      <c r="G3255" s="2"/>
      <c r="H3255" s="2"/>
      <c r="J3255" s="3"/>
      <c r="K3255" s="3"/>
      <c r="L3255" s="3"/>
      <c r="N3255" s="3"/>
      <c r="O3255" s="3"/>
      <c r="P3255" s="3"/>
      <c r="R3255" s="3"/>
    </row>
    <row r="3256" spans="2:18" x14ac:dyDescent="0.2">
      <c r="B3256" s="1"/>
      <c r="C3256" s="2"/>
      <c r="D3256" s="2"/>
      <c r="F3256" s="1"/>
      <c r="G3256" s="2"/>
      <c r="H3256" s="2"/>
      <c r="J3256" s="3"/>
      <c r="K3256" s="3"/>
      <c r="L3256" s="3"/>
      <c r="N3256" s="3"/>
      <c r="O3256" s="3"/>
      <c r="P3256" s="3"/>
      <c r="R3256" s="3"/>
    </row>
    <row r="3257" spans="2:18" x14ac:dyDescent="0.2">
      <c r="B3257" s="1"/>
      <c r="C3257" s="2"/>
      <c r="D3257" s="2"/>
      <c r="F3257" s="1"/>
      <c r="G3257" s="2"/>
      <c r="H3257" s="2"/>
      <c r="J3257" s="3"/>
      <c r="K3257" s="3"/>
      <c r="L3257" s="3"/>
      <c r="N3257" s="3"/>
      <c r="O3257" s="3"/>
      <c r="P3257" s="3"/>
      <c r="R3257" s="3"/>
    </row>
    <row r="3258" spans="2:18" x14ac:dyDescent="0.2">
      <c r="B3258" s="1"/>
      <c r="C3258" s="2"/>
      <c r="D3258" s="2"/>
      <c r="F3258" s="1"/>
      <c r="G3258" s="2"/>
      <c r="H3258" s="2"/>
      <c r="J3258" s="3"/>
      <c r="K3258" s="3"/>
      <c r="L3258" s="3"/>
      <c r="N3258" s="3"/>
      <c r="O3258" s="3"/>
      <c r="P3258" s="3"/>
      <c r="R3258" s="3"/>
    </row>
    <row r="3259" spans="2:18" x14ac:dyDescent="0.2">
      <c r="B3259" s="1"/>
      <c r="C3259" s="2"/>
      <c r="D3259" s="2"/>
      <c r="F3259" s="1"/>
      <c r="G3259" s="2"/>
      <c r="H3259" s="2"/>
      <c r="J3259" s="3"/>
      <c r="K3259" s="3"/>
      <c r="L3259" s="3"/>
      <c r="N3259" s="3"/>
      <c r="O3259" s="3"/>
      <c r="P3259" s="3"/>
      <c r="R3259" s="3"/>
    </row>
    <row r="3260" spans="2:18" x14ac:dyDescent="0.2">
      <c r="B3260" s="1"/>
      <c r="C3260" s="2"/>
      <c r="D3260" s="2"/>
      <c r="F3260" s="1"/>
      <c r="G3260" s="2"/>
      <c r="H3260" s="2"/>
      <c r="J3260" s="3"/>
      <c r="K3260" s="3"/>
      <c r="L3260" s="3"/>
      <c r="N3260" s="3"/>
      <c r="O3260" s="3"/>
      <c r="P3260" s="3"/>
      <c r="R3260" s="3"/>
    </row>
    <row r="3261" spans="2:18" x14ac:dyDescent="0.2">
      <c r="B3261" s="1"/>
      <c r="C3261" s="2"/>
      <c r="D3261" s="2"/>
      <c r="F3261" s="1"/>
      <c r="G3261" s="2"/>
      <c r="H3261" s="2"/>
      <c r="J3261" s="3"/>
      <c r="K3261" s="3"/>
      <c r="L3261" s="3"/>
      <c r="N3261" s="3"/>
      <c r="O3261" s="3"/>
      <c r="P3261" s="3"/>
      <c r="R3261" s="3"/>
    </row>
    <row r="3262" spans="2:18" x14ac:dyDescent="0.2">
      <c r="B3262" s="1"/>
      <c r="C3262" s="2"/>
      <c r="D3262" s="2"/>
      <c r="F3262" s="1"/>
      <c r="G3262" s="2"/>
      <c r="H3262" s="2"/>
      <c r="J3262" s="3"/>
      <c r="K3262" s="3"/>
      <c r="L3262" s="3"/>
      <c r="N3262" s="3"/>
      <c r="O3262" s="3"/>
      <c r="P3262" s="3"/>
      <c r="R3262" s="3"/>
    </row>
    <row r="3263" spans="2:18" x14ac:dyDescent="0.2">
      <c r="B3263" s="1"/>
      <c r="C3263" s="2"/>
      <c r="D3263" s="2"/>
      <c r="F3263" s="1"/>
      <c r="G3263" s="2"/>
      <c r="H3263" s="2"/>
      <c r="J3263" s="3"/>
      <c r="K3263" s="3"/>
      <c r="L3263" s="3"/>
      <c r="N3263" s="3"/>
      <c r="O3263" s="3"/>
      <c r="P3263" s="3"/>
      <c r="R3263" s="3"/>
    </row>
    <row r="3264" spans="2:18" x14ac:dyDescent="0.2">
      <c r="B3264" s="1"/>
      <c r="C3264" s="2"/>
      <c r="D3264" s="2"/>
      <c r="F3264" s="1"/>
      <c r="G3264" s="2"/>
      <c r="H3264" s="2"/>
      <c r="J3264" s="3"/>
      <c r="K3264" s="3"/>
      <c r="L3264" s="3"/>
      <c r="N3264" s="3"/>
      <c r="O3264" s="3"/>
      <c r="P3264" s="3"/>
      <c r="R3264" s="3"/>
    </row>
    <row r="3265" spans="2:18" x14ac:dyDescent="0.2">
      <c r="B3265" s="1"/>
      <c r="C3265" s="2"/>
      <c r="D3265" s="2"/>
      <c r="F3265" s="1"/>
      <c r="G3265" s="2"/>
      <c r="H3265" s="2"/>
      <c r="J3265" s="3"/>
      <c r="K3265" s="3"/>
      <c r="L3265" s="3"/>
      <c r="N3265" s="3"/>
      <c r="O3265" s="3"/>
      <c r="P3265" s="3"/>
      <c r="R3265" s="3"/>
    </row>
    <row r="3266" spans="2:18" x14ac:dyDescent="0.2">
      <c r="B3266" s="1"/>
      <c r="C3266" s="2"/>
      <c r="D3266" s="2"/>
      <c r="F3266" s="1"/>
      <c r="G3266" s="2"/>
      <c r="H3266" s="2"/>
      <c r="J3266" s="3"/>
      <c r="K3266" s="3"/>
      <c r="L3266" s="3"/>
      <c r="N3266" s="3"/>
      <c r="O3266" s="3"/>
      <c r="P3266" s="3"/>
      <c r="R3266" s="3"/>
    </row>
    <row r="3267" spans="2:18" x14ac:dyDescent="0.2">
      <c r="B3267" s="1"/>
      <c r="C3267" s="2"/>
      <c r="D3267" s="2"/>
      <c r="F3267" s="1"/>
      <c r="G3267" s="2"/>
      <c r="H3267" s="2"/>
      <c r="J3267" s="3"/>
      <c r="K3267" s="3"/>
      <c r="L3267" s="3"/>
      <c r="N3267" s="3"/>
      <c r="O3267" s="3"/>
      <c r="P3267" s="3"/>
      <c r="R3267" s="3"/>
    </row>
    <row r="3268" spans="2:18" x14ac:dyDescent="0.2">
      <c r="B3268" s="1"/>
      <c r="C3268" s="2"/>
      <c r="D3268" s="2"/>
      <c r="F3268" s="1"/>
      <c r="G3268" s="2"/>
      <c r="H3268" s="2"/>
      <c r="J3268" s="3"/>
      <c r="K3268" s="3"/>
      <c r="L3268" s="3"/>
      <c r="N3268" s="3"/>
      <c r="O3268" s="3"/>
      <c r="P3268" s="3"/>
      <c r="R3268" s="3"/>
    </row>
    <row r="3269" spans="2:18" x14ac:dyDescent="0.2">
      <c r="B3269" s="1"/>
      <c r="C3269" s="2"/>
      <c r="D3269" s="2"/>
      <c r="F3269" s="1"/>
      <c r="G3269" s="2"/>
      <c r="H3269" s="2"/>
      <c r="J3269" s="3"/>
      <c r="K3269" s="3"/>
      <c r="L3269" s="3"/>
      <c r="N3269" s="3"/>
      <c r="O3269" s="3"/>
      <c r="P3269" s="3"/>
      <c r="R3269" s="3"/>
    </row>
    <row r="3270" spans="2:18" x14ac:dyDescent="0.2">
      <c r="B3270" s="1"/>
      <c r="C3270" s="2"/>
      <c r="D3270" s="2"/>
      <c r="F3270" s="1"/>
      <c r="G3270" s="2"/>
      <c r="H3270" s="2"/>
      <c r="J3270" s="3"/>
      <c r="K3270" s="3"/>
      <c r="L3270" s="3"/>
      <c r="N3270" s="3"/>
      <c r="O3270" s="3"/>
      <c r="P3270" s="3"/>
      <c r="R3270" s="3"/>
    </row>
    <row r="3271" spans="2:18" x14ac:dyDescent="0.2">
      <c r="B3271" s="1"/>
      <c r="C3271" s="2"/>
      <c r="D3271" s="2"/>
      <c r="F3271" s="1"/>
      <c r="G3271" s="2"/>
      <c r="H3271" s="2"/>
      <c r="J3271" s="3"/>
      <c r="K3271" s="3"/>
      <c r="L3271" s="3"/>
      <c r="N3271" s="3"/>
      <c r="O3271" s="3"/>
      <c r="P3271" s="3"/>
      <c r="R3271" s="3"/>
    </row>
    <row r="3272" spans="2:18" x14ac:dyDescent="0.2">
      <c r="B3272" s="1"/>
      <c r="C3272" s="2"/>
      <c r="D3272" s="2"/>
      <c r="F3272" s="1"/>
      <c r="G3272" s="2"/>
      <c r="H3272" s="2"/>
      <c r="J3272" s="3"/>
      <c r="K3272" s="3"/>
      <c r="L3272" s="3"/>
      <c r="N3272" s="3"/>
      <c r="O3272" s="3"/>
      <c r="P3272" s="3"/>
      <c r="R3272" s="3"/>
    </row>
    <row r="3273" spans="2:18" x14ac:dyDescent="0.2">
      <c r="B3273" s="1"/>
      <c r="C3273" s="2"/>
      <c r="D3273" s="2"/>
      <c r="F3273" s="1"/>
      <c r="G3273" s="2"/>
      <c r="H3273" s="2"/>
      <c r="J3273" s="3"/>
      <c r="K3273" s="3"/>
      <c r="L3273" s="3"/>
      <c r="N3273" s="3"/>
      <c r="O3273" s="3"/>
      <c r="P3273" s="3"/>
      <c r="R3273" s="3"/>
    </row>
    <row r="3274" spans="2:18" x14ac:dyDescent="0.2">
      <c r="B3274" s="1"/>
      <c r="C3274" s="2"/>
      <c r="D3274" s="2"/>
      <c r="F3274" s="1"/>
      <c r="G3274" s="2"/>
      <c r="H3274" s="2"/>
      <c r="J3274" s="3"/>
      <c r="K3274" s="3"/>
      <c r="L3274" s="3"/>
      <c r="N3274" s="3"/>
      <c r="O3274" s="3"/>
      <c r="P3274" s="3"/>
      <c r="R3274" s="3"/>
    </row>
    <row r="3275" spans="2:18" x14ac:dyDescent="0.2">
      <c r="B3275" s="1"/>
      <c r="C3275" s="2"/>
      <c r="D3275" s="2"/>
      <c r="F3275" s="1"/>
      <c r="G3275" s="2"/>
      <c r="H3275" s="2"/>
      <c r="J3275" s="3"/>
      <c r="K3275" s="3"/>
      <c r="L3275" s="3"/>
      <c r="N3275" s="3"/>
      <c r="O3275" s="3"/>
      <c r="P3275" s="3"/>
      <c r="R3275" s="3"/>
    </row>
    <row r="3276" spans="2:18" x14ac:dyDescent="0.2">
      <c r="B3276" s="1"/>
      <c r="C3276" s="2"/>
      <c r="D3276" s="2"/>
      <c r="F3276" s="1"/>
      <c r="G3276" s="2"/>
      <c r="H3276" s="2"/>
      <c r="J3276" s="3"/>
      <c r="K3276" s="3"/>
      <c r="L3276" s="3"/>
      <c r="N3276" s="3"/>
      <c r="O3276" s="3"/>
      <c r="P3276" s="3"/>
      <c r="R3276" s="3"/>
    </row>
    <row r="3277" spans="2:18" x14ac:dyDescent="0.2">
      <c r="B3277" s="1"/>
      <c r="C3277" s="2"/>
      <c r="D3277" s="2"/>
      <c r="F3277" s="1"/>
      <c r="G3277" s="2"/>
      <c r="H3277" s="2"/>
      <c r="J3277" s="3"/>
      <c r="K3277" s="3"/>
      <c r="L3277" s="3"/>
      <c r="N3277" s="3"/>
      <c r="O3277" s="3"/>
      <c r="P3277" s="3"/>
      <c r="R3277" s="3"/>
    </row>
    <row r="3278" spans="2:18" x14ac:dyDescent="0.2">
      <c r="B3278" s="1"/>
      <c r="C3278" s="2"/>
      <c r="D3278" s="2"/>
      <c r="F3278" s="1"/>
      <c r="G3278" s="2"/>
      <c r="H3278" s="2"/>
      <c r="J3278" s="3"/>
      <c r="K3278" s="3"/>
      <c r="L3278" s="3"/>
      <c r="N3278" s="3"/>
      <c r="O3278" s="3"/>
      <c r="P3278" s="3"/>
      <c r="R3278" s="3"/>
    </row>
    <row r="3279" spans="2:18" x14ac:dyDescent="0.2">
      <c r="B3279" s="1"/>
      <c r="C3279" s="2"/>
      <c r="D3279" s="2"/>
      <c r="F3279" s="1"/>
      <c r="G3279" s="2"/>
      <c r="H3279" s="2"/>
      <c r="J3279" s="3"/>
      <c r="K3279" s="3"/>
      <c r="L3279" s="3"/>
      <c r="N3279" s="3"/>
      <c r="O3279" s="3"/>
      <c r="P3279" s="3"/>
      <c r="R3279" s="3"/>
    </row>
    <row r="3280" spans="2:18" x14ac:dyDescent="0.2">
      <c r="B3280" s="1"/>
      <c r="C3280" s="2"/>
      <c r="D3280" s="2"/>
      <c r="F3280" s="1"/>
      <c r="G3280" s="2"/>
      <c r="H3280" s="2"/>
      <c r="J3280" s="3"/>
      <c r="K3280" s="3"/>
      <c r="L3280" s="3"/>
      <c r="N3280" s="3"/>
      <c r="O3280" s="3"/>
      <c r="P3280" s="3"/>
      <c r="R3280" s="3"/>
    </row>
    <row r="3281" spans="2:18" x14ac:dyDescent="0.2">
      <c r="B3281" s="1"/>
      <c r="C3281" s="2"/>
      <c r="D3281" s="2"/>
      <c r="F3281" s="1"/>
      <c r="G3281" s="2"/>
      <c r="H3281" s="2"/>
      <c r="J3281" s="3"/>
      <c r="K3281" s="3"/>
      <c r="L3281" s="3"/>
      <c r="N3281" s="3"/>
      <c r="O3281" s="3"/>
      <c r="P3281" s="3"/>
      <c r="R3281" s="3"/>
    </row>
    <row r="3282" spans="2:18" x14ac:dyDescent="0.2">
      <c r="B3282" s="1"/>
      <c r="C3282" s="2"/>
      <c r="D3282" s="2"/>
      <c r="F3282" s="1"/>
      <c r="G3282" s="2"/>
      <c r="H3282" s="2"/>
      <c r="J3282" s="3"/>
      <c r="K3282" s="3"/>
      <c r="L3282" s="3"/>
      <c r="N3282" s="3"/>
      <c r="O3282" s="3"/>
      <c r="P3282" s="3"/>
      <c r="R3282" s="3"/>
    </row>
    <row r="3283" spans="2:18" x14ac:dyDescent="0.2">
      <c r="B3283" s="1"/>
      <c r="C3283" s="2"/>
      <c r="D3283" s="2"/>
      <c r="F3283" s="1"/>
      <c r="G3283" s="2"/>
      <c r="H3283" s="2"/>
      <c r="J3283" s="3"/>
      <c r="K3283" s="3"/>
      <c r="L3283" s="3"/>
      <c r="N3283" s="3"/>
      <c r="O3283" s="3"/>
      <c r="P3283" s="3"/>
      <c r="R3283" s="3"/>
    </row>
    <row r="3284" spans="2:18" x14ac:dyDescent="0.2">
      <c r="B3284" s="1"/>
      <c r="C3284" s="2"/>
      <c r="D3284" s="2"/>
      <c r="F3284" s="1"/>
      <c r="G3284" s="2"/>
      <c r="H3284" s="2"/>
      <c r="J3284" s="3"/>
      <c r="K3284" s="3"/>
      <c r="L3284" s="3"/>
      <c r="N3284" s="3"/>
      <c r="O3284" s="3"/>
      <c r="P3284" s="3"/>
      <c r="R3284" s="3"/>
    </row>
    <row r="3285" spans="2:18" x14ac:dyDescent="0.2">
      <c r="B3285" s="1"/>
      <c r="C3285" s="2"/>
      <c r="D3285" s="2"/>
      <c r="F3285" s="1"/>
      <c r="G3285" s="2"/>
      <c r="H3285" s="2"/>
      <c r="J3285" s="3"/>
      <c r="K3285" s="3"/>
      <c r="L3285" s="3"/>
      <c r="N3285" s="3"/>
      <c r="O3285" s="3"/>
      <c r="P3285" s="3"/>
      <c r="R3285" s="3"/>
    </row>
    <row r="3286" spans="2:18" x14ac:dyDescent="0.2">
      <c r="B3286" s="1"/>
      <c r="C3286" s="2"/>
      <c r="D3286" s="2"/>
      <c r="F3286" s="1"/>
      <c r="G3286" s="2"/>
      <c r="H3286" s="2"/>
      <c r="J3286" s="3"/>
      <c r="K3286" s="3"/>
      <c r="L3286" s="3"/>
      <c r="N3286" s="3"/>
      <c r="O3286" s="3"/>
      <c r="P3286" s="3"/>
      <c r="R3286" s="3"/>
    </row>
    <row r="3287" spans="2:18" x14ac:dyDescent="0.2">
      <c r="B3287" s="1"/>
      <c r="C3287" s="2"/>
      <c r="D3287" s="2"/>
      <c r="F3287" s="1"/>
      <c r="G3287" s="2"/>
      <c r="H3287" s="2"/>
      <c r="J3287" s="3"/>
      <c r="K3287" s="3"/>
      <c r="L3287" s="3"/>
      <c r="N3287" s="3"/>
      <c r="O3287" s="3"/>
      <c r="P3287" s="3"/>
      <c r="R3287" s="3"/>
    </row>
    <row r="3288" spans="2:18" x14ac:dyDescent="0.2">
      <c r="B3288" s="1"/>
      <c r="C3288" s="2"/>
      <c r="D3288" s="2"/>
      <c r="F3288" s="1"/>
      <c r="G3288" s="2"/>
      <c r="H3288" s="2"/>
      <c r="J3288" s="3"/>
      <c r="K3288" s="3"/>
      <c r="L3288" s="3"/>
      <c r="N3288" s="3"/>
      <c r="O3288" s="3"/>
      <c r="P3288" s="3"/>
      <c r="R3288" s="3"/>
    </row>
    <row r="3289" spans="2:18" x14ac:dyDescent="0.2">
      <c r="B3289" s="1"/>
      <c r="C3289" s="2"/>
      <c r="D3289" s="2"/>
      <c r="F3289" s="1"/>
      <c r="G3289" s="2"/>
      <c r="H3289" s="2"/>
      <c r="J3289" s="3"/>
      <c r="K3289" s="3"/>
      <c r="L3289" s="3"/>
      <c r="N3289" s="3"/>
      <c r="O3289" s="3"/>
      <c r="P3289" s="3"/>
      <c r="R3289" s="3"/>
    </row>
    <row r="3290" spans="2:18" x14ac:dyDescent="0.2">
      <c r="B3290" s="1"/>
      <c r="C3290" s="2"/>
      <c r="D3290" s="2"/>
      <c r="F3290" s="1"/>
      <c r="G3290" s="2"/>
      <c r="H3290" s="2"/>
      <c r="J3290" s="3"/>
      <c r="K3290" s="3"/>
      <c r="L3290" s="3"/>
      <c r="N3290" s="3"/>
      <c r="O3290" s="3"/>
      <c r="P3290" s="3"/>
      <c r="R3290" s="3"/>
    </row>
    <row r="3291" spans="2:18" x14ac:dyDescent="0.2">
      <c r="B3291" s="1"/>
      <c r="C3291" s="2"/>
      <c r="D3291" s="2"/>
      <c r="F3291" s="1"/>
      <c r="G3291" s="2"/>
      <c r="H3291" s="2"/>
      <c r="J3291" s="3"/>
      <c r="K3291" s="3"/>
      <c r="L3291" s="3"/>
      <c r="N3291" s="3"/>
      <c r="O3291" s="3"/>
      <c r="P3291" s="3"/>
      <c r="R3291" s="3"/>
    </row>
    <row r="3292" spans="2:18" x14ac:dyDescent="0.2">
      <c r="B3292" s="1"/>
      <c r="C3292" s="2"/>
      <c r="D3292" s="2"/>
      <c r="F3292" s="1"/>
      <c r="G3292" s="2"/>
      <c r="H3292" s="2"/>
      <c r="J3292" s="3"/>
      <c r="K3292" s="3"/>
      <c r="L3292" s="3"/>
      <c r="N3292" s="3"/>
      <c r="O3292" s="3"/>
      <c r="P3292" s="3"/>
      <c r="R3292" s="3"/>
    </row>
    <row r="3293" spans="2:18" x14ac:dyDescent="0.2">
      <c r="B3293" s="1"/>
      <c r="C3293" s="2"/>
      <c r="D3293" s="2"/>
      <c r="F3293" s="1"/>
      <c r="G3293" s="2"/>
      <c r="H3293" s="2"/>
      <c r="J3293" s="3"/>
      <c r="K3293" s="3"/>
      <c r="L3293" s="3"/>
      <c r="N3293" s="3"/>
      <c r="O3293" s="3"/>
      <c r="P3293" s="3"/>
      <c r="R3293" s="3"/>
    </row>
    <row r="3294" spans="2:18" x14ac:dyDescent="0.2">
      <c r="B3294" s="1"/>
      <c r="C3294" s="2"/>
      <c r="D3294" s="2"/>
      <c r="F3294" s="1"/>
      <c r="G3294" s="2"/>
      <c r="H3294" s="2"/>
      <c r="J3294" s="3"/>
      <c r="K3294" s="3"/>
      <c r="L3294" s="3"/>
      <c r="N3294" s="3"/>
      <c r="O3294" s="3"/>
      <c r="P3294" s="3"/>
      <c r="R3294" s="3"/>
    </row>
    <row r="3295" spans="2:18" x14ac:dyDescent="0.2">
      <c r="B3295" s="1"/>
      <c r="C3295" s="2"/>
      <c r="D3295" s="2"/>
      <c r="F3295" s="1"/>
      <c r="G3295" s="2"/>
      <c r="H3295" s="2"/>
      <c r="J3295" s="3"/>
      <c r="K3295" s="3"/>
      <c r="L3295" s="3"/>
      <c r="N3295" s="3"/>
      <c r="O3295" s="3"/>
      <c r="P3295" s="3"/>
      <c r="R3295" s="3"/>
    </row>
    <row r="3296" spans="2:18" x14ac:dyDescent="0.2">
      <c r="B3296" s="1"/>
      <c r="C3296" s="2"/>
      <c r="D3296" s="2"/>
      <c r="F3296" s="1"/>
      <c r="G3296" s="2"/>
      <c r="H3296" s="2"/>
      <c r="J3296" s="3"/>
      <c r="K3296" s="3"/>
      <c r="L3296" s="3"/>
      <c r="N3296" s="3"/>
      <c r="O3296" s="3"/>
      <c r="P3296" s="3"/>
      <c r="R3296" s="3"/>
    </row>
    <row r="3297" spans="2:18" x14ac:dyDescent="0.2">
      <c r="B3297" s="1"/>
      <c r="C3297" s="2"/>
      <c r="D3297" s="2"/>
      <c r="F3297" s="1"/>
      <c r="G3297" s="2"/>
      <c r="H3297" s="2"/>
      <c r="J3297" s="3"/>
      <c r="K3297" s="3"/>
      <c r="L3297" s="3"/>
      <c r="N3297" s="3"/>
      <c r="O3297" s="3"/>
      <c r="P3297" s="3"/>
      <c r="R3297" s="3"/>
    </row>
    <row r="3298" spans="2:18" x14ac:dyDescent="0.2">
      <c r="B3298" s="1"/>
      <c r="C3298" s="2"/>
      <c r="D3298" s="2"/>
      <c r="F3298" s="1"/>
      <c r="G3298" s="2"/>
      <c r="H3298" s="2"/>
      <c r="J3298" s="3"/>
      <c r="K3298" s="3"/>
      <c r="L3298" s="3"/>
      <c r="N3298" s="3"/>
      <c r="O3298" s="3"/>
      <c r="P3298" s="3"/>
      <c r="R3298" s="3"/>
    </row>
    <row r="3299" spans="2:18" x14ac:dyDescent="0.2">
      <c r="B3299" s="1"/>
      <c r="C3299" s="2"/>
      <c r="D3299" s="2"/>
      <c r="F3299" s="1"/>
      <c r="G3299" s="2"/>
      <c r="H3299" s="2"/>
      <c r="J3299" s="3"/>
      <c r="K3299" s="3"/>
      <c r="L3299" s="3"/>
      <c r="N3299" s="3"/>
      <c r="O3299" s="3"/>
      <c r="P3299" s="3"/>
      <c r="R3299" s="3"/>
    </row>
    <row r="3300" spans="2:18" x14ac:dyDescent="0.2">
      <c r="B3300" s="1"/>
      <c r="C3300" s="2"/>
      <c r="D3300" s="2"/>
      <c r="F3300" s="1"/>
      <c r="G3300" s="2"/>
      <c r="H3300" s="2"/>
      <c r="J3300" s="3"/>
      <c r="K3300" s="3"/>
      <c r="L3300" s="3"/>
      <c r="N3300" s="3"/>
      <c r="O3300" s="3"/>
      <c r="P3300" s="3"/>
      <c r="R3300" s="3"/>
    </row>
    <row r="3301" spans="2:18" x14ac:dyDescent="0.2">
      <c r="B3301" s="1"/>
      <c r="C3301" s="2"/>
      <c r="D3301" s="2"/>
      <c r="F3301" s="1"/>
      <c r="G3301" s="2"/>
      <c r="H3301" s="2"/>
      <c r="J3301" s="3"/>
      <c r="K3301" s="3"/>
      <c r="L3301" s="3"/>
      <c r="N3301" s="3"/>
      <c r="O3301" s="3"/>
      <c r="P3301" s="3"/>
      <c r="R3301" s="3"/>
    </row>
    <row r="3302" spans="2:18" x14ac:dyDescent="0.2">
      <c r="B3302" s="1"/>
      <c r="C3302" s="2"/>
      <c r="D3302" s="2"/>
      <c r="F3302" s="1"/>
      <c r="G3302" s="2"/>
      <c r="H3302" s="2"/>
      <c r="J3302" s="3"/>
      <c r="K3302" s="3"/>
      <c r="L3302" s="3"/>
      <c r="N3302" s="3"/>
      <c r="O3302" s="3"/>
      <c r="P3302" s="3"/>
      <c r="R3302" s="3"/>
    </row>
    <row r="3303" spans="2:18" x14ac:dyDescent="0.2">
      <c r="B3303" s="1"/>
      <c r="C3303" s="2"/>
      <c r="D3303" s="2"/>
      <c r="F3303" s="1"/>
      <c r="G3303" s="2"/>
      <c r="H3303" s="2"/>
      <c r="J3303" s="3"/>
      <c r="K3303" s="3"/>
      <c r="L3303" s="3"/>
      <c r="N3303" s="3"/>
      <c r="O3303" s="3"/>
      <c r="P3303" s="3"/>
      <c r="R3303" s="3"/>
    </row>
    <row r="3304" spans="2:18" x14ac:dyDescent="0.2">
      <c r="B3304" s="1"/>
      <c r="C3304" s="2"/>
      <c r="D3304" s="2"/>
      <c r="F3304" s="1"/>
      <c r="G3304" s="2"/>
      <c r="H3304" s="2"/>
      <c r="J3304" s="3"/>
      <c r="K3304" s="3"/>
      <c r="L3304" s="3"/>
      <c r="N3304" s="3"/>
      <c r="O3304" s="3"/>
      <c r="P3304" s="3"/>
      <c r="R3304" s="3"/>
    </row>
    <row r="3305" spans="2:18" x14ac:dyDescent="0.2">
      <c r="B3305" s="1"/>
      <c r="C3305" s="2"/>
      <c r="D3305" s="2"/>
      <c r="F3305" s="1"/>
      <c r="G3305" s="2"/>
      <c r="H3305" s="2"/>
      <c r="J3305" s="3"/>
      <c r="K3305" s="3"/>
      <c r="L3305" s="3"/>
      <c r="N3305" s="3"/>
      <c r="O3305" s="3"/>
      <c r="P3305" s="3"/>
      <c r="R3305" s="3"/>
    </row>
    <row r="3306" spans="2:18" x14ac:dyDescent="0.2">
      <c r="B3306" s="1"/>
      <c r="C3306" s="2"/>
      <c r="D3306" s="2"/>
      <c r="F3306" s="1"/>
      <c r="G3306" s="2"/>
      <c r="H3306" s="2"/>
      <c r="J3306" s="3"/>
      <c r="K3306" s="3"/>
      <c r="L3306" s="3"/>
      <c r="N3306" s="3"/>
      <c r="O3306" s="3"/>
      <c r="P3306" s="3"/>
      <c r="R3306" s="3"/>
    </row>
    <row r="3307" spans="2:18" x14ac:dyDescent="0.2">
      <c r="B3307" s="1"/>
      <c r="C3307" s="2"/>
      <c r="D3307" s="2"/>
      <c r="F3307" s="1"/>
      <c r="G3307" s="2"/>
      <c r="H3307" s="2"/>
      <c r="J3307" s="3"/>
      <c r="K3307" s="3"/>
      <c r="L3307" s="3"/>
      <c r="N3307" s="3"/>
      <c r="O3307" s="3"/>
      <c r="P3307" s="3"/>
      <c r="R3307" s="3"/>
    </row>
    <row r="3308" spans="2:18" x14ac:dyDescent="0.2">
      <c r="B3308" s="1"/>
      <c r="C3308" s="2"/>
      <c r="D3308" s="2"/>
      <c r="F3308" s="1"/>
      <c r="G3308" s="2"/>
      <c r="H3308" s="2"/>
      <c r="J3308" s="3"/>
      <c r="K3308" s="3"/>
      <c r="L3308" s="3"/>
      <c r="N3308" s="3"/>
      <c r="O3308" s="3"/>
      <c r="P3308" s="3"/>
      <c r="R3308" s="3"/>
    </row>
    <row r="3309" spans="2:18" x14ac:dyDescent="0.2">
      <c r="B3309" s="1"/>
      <c r="C3309" s="2"/>
      <c r="D3309" s="2"/>
      <c r="F3309" s="1"/>
      <c r="G3309" s="2"/>
      <c r="H3309" s="2"/>
      <c r="J3309" s="3"/>
      <c r="K3309" s="3"/>
      <c r="L3309" s="3"/>
      <c r="N3309" s="3"/>
      <c r="O3309" s="3"/>
      <c r="P3309" s="3"/>
      <c r="R3309" s="3"/>
    </row>
    <row r="3310" spans="2:18" x14ac:dyDescent="0.2">
      <c r="B3310" s="1"/>
      <c r="C3310" s="2"/>
      <c r="D3310" s="2"/>
      <c r="F3310" s="1"/>
      <c r="G3310" s="2"/>
      <c r="H3310" s="2"/>
      <c r="J3310" s="3"/>
      <c r="K3310" s="3"/>
      <c r="L3310" s="3"/>
      <c r="N3310" s="3"/>
      <c r="O3310" s="3"/>
      <c r="P3310" s="3"/>
      <c r="R3310" s="3"/>
    </row>
    <row r="3311" spans="2:18" x14ac:dyDescent="0.2">
      <c r="B3311" s="1"/>
      <c r="C3311" s="2"/>
      <c r="D3311" s="2"/>
      <c r="F3311" s="1"/>
      <c r="G3311" s="2"/>
      <c r="H3311" s="2"/>
      <c r="J3311" s="3"/>
      <c r="K3311" s="3"/>
      <c r="L3311" s="3"/>
      <c r="N3311" s="3"/>
      <c r="O3311" s="3"/>
      <c r="P3311" s="3"/>
      <c r="R3311" s="3"/>
    </row>
    <row r="3312" spans="2:18" x14ac:dyDescent="0.2">
      <c r="B3312" s="1"/>
      <c r="C3312" s="2"/>
      <c r="D3312" s="2"/>
      <c r="F3312" s="1"/>
      <c r="G3312" s="2"/>
      <c r="H3312" s="2"/>
      <c r="J3312" s="3"/>
      <c r="K3312" s="3"/>
      <c r="L3312" s="3"/>
      <c r="N3312" s="3"/>
      <c r="O3312" s="3"/>
      <c r="P3312" s="3"/>
      <c r="R3312" s="3"/>
    </row>
    <row r="3313" spans="2:18" x14ac:dyDescent="0.2">
      <c r="B3313" s="1"/>
      <c r="C3313" s="2"/>
      <c r="D3313" s="2"/>
      <c r="F3313" s="1"/>
      <c r="G3313" s="2"/>
      <c r="H3313" s="2"/>
      <c r="J3313" s="3"/>
      <c r="K3313" s="3"/>
      <c r="L3313" s="3"/>
      <c r="N3313" s="3"/>
      <c r="O3313" s="3"/>
      <c r="P3313" s="3"/>
      <c r="R3313" s="3"/>
    </row>
    <row r="3314" spans="2:18" x14ac:dyDescent="0.2">
      <c r="B3314" s="1"/>
      <c r="C3314" s="2"/>
      <c r="D3314" s="2"/>
      <c r="F3314" s="1"/>
      <c r="G3314" s="2"/>
      <c r="H3314" s="2"/>
      <c r="J3314" s="3"/>
      <c r="K3314" s="3"/>
      <c r="L3314" s="3"/>
      <c r="N3314" s="3"/>
      <c r="O3314" s="3"/>
      <c r="P3314" s="3"/>
      <c r="R3314" s="3"/>
    </row>
    <row r="3315" spans="2:18" x14ac:dyDescent="0.2">
      <c r="B3315" s="1"/>
      <c r="C3315" s="2"/>
      <c r="D3315" s="2"/>
      <c r="F3315" s="1"/>
      <c r="G3315" s="2"/>
      <c r="H3315" s="2"/>
      <c r="J3315" s="3"/>
      <c r="K3315" s="3"/>
      <c r="L3315" s="3"/>
      <c r="N3315" s="3"/>
      <c r="O3315" s="3"/>
      <c r="P3315" s="3"/>
      <c r="R3315" s="3"/>
    </row>
    <row r="3316" spans="2:18" x14ac:dyDescent="0.2">
      <c r="B3316" s="1"/>
      <c r="C3316" s="2"/>
      <c r="D3316" s="2"/>
      <c r="F3316" s="1"/>
      <c r="G3316" s="2"/>
      <c r="H3316" s="2"/>
      <c r="J3316" s="3"/>
      <c r="K3316" s="3"/>
      <c r="L3316" s="3"/>
      <c r="N3316" s="3"/>
      <c r="O3316" s="3"/>
      <c r="P3316" s="3"/>
      <c r="R3316" s="3"/>
    </row>
    <row r="3317" spans="2:18" x14ac:dyDescent="0.2">
      <c r="B3317" s="1"/>
      <c r="C3317" s="2"/>
      <c r="D3317" s="2"/>
      <c r="F3317" s="1"/>
      <c r="G3317" s="2"/>
      <c r="H3317" s="2"/>
      <c r="J3317" s="3"/>
      <c r="K3317" s="3"/>
      <c r="L3317" s="3"/>
      <c r="N3317" s="3"/>
      <c r="O3317" s="3"/>
      <c r="P3317" s="3"/>
      <c r="R3317" s="3"/>
    </row>
    <row r="3318" spans="2:18" x14ac:dyDescent="0.2">
      <c r="B3318" s="1"/>
      <c r="C3318" s="2"/>
      <c r="D3318" s="2"/>
      <c r="F3318" s="1"/>
      <c r="G3318" s="2"/>
      <c r="H3318" s="2"/>
      <c r="J3318" s="3"/>
      <c r="K3318" s="3"/>
      <c r="L3318" s="3"/>
      <c r="N3318" s="3"/>
      <c r="O3318" s="3"/>
      <c r="P3318" s="3"/>
      <c r="R3318" s="3"/>
    </row>
    <row r="3319" spans="2:18" x14ac:dyDescent="0.2">
      <c r="B3319" s="1"/>
      <c r="C3319" s="2"/>
      <c r="D3319" s="2"/>
      <c r="F3319" s="1"/>
      <c r="G3319" s="2"/>
      <c r="H3319" s="2"/>
      <c r="J3319" s="3"/>
      <c r="K3319" s="3"/>
      <c r="L3319" s="3"/>
      <c r="N3319" s="3"/>
      <c r="O3319" s="3"/>
      <c r="P3319" s="3"/>
      <c r="R3319" s="3"/>
    </row>
    <row r="3320" spans="2:18" x14ac:dyDescent="0.2">
      <c r="B3320" s="1"/>
      <c r="C3320" s="2"/>
      <c r="D3320" s="2"/>
      <c r="F3320" s="1"/>
      <c r="G3320" s="2"/>
      <c r="H3320" s="2"/>
      <c r="J3320" s="3"/>
      <c r="K3320" s="3"/>
      <c r="L3320" s="3"/>
      <c r="N3320" s="3"/>
      <c r="O3320" s="3"/>
      <c r="P3320" s="3"/>
      <c r="R3320" s="3"/>
    </row>
    <row r="3321" spans="2:18" x14ac:dyDescent="0.2">
      <c r="B3321" s="1"/>
      <c r="C3321" s="2"/>
      <c r="D3321" s="2"/>
      <c r="F3321" s="1"/>
      <c r="G3321" s="2"/>
      <c r="H3321" s="2"/>
      <c r="J3321" s="3"/>
      <c r="K3321" s="3"/>
      <c r="L3321" s="3"/>
      <c r="N3321" s="3"/>
      <c r="O3321" s="3"/>
      <c r="P3321" s="3"/>
      <c r="R3321" s="3"/>
    </row>
    <row r="3322" spans="2:18" x14ac:dyDescent="0.2">
      <c r="B3322" s="1"/>
      <c r="C3322" s="2"/>
      <c r="D3322" s="2"/>
      <c r="F3322" s="1"/>
      <c r="G3322" s="2"/>
      <c r="H3322" s="2"/>
      <c r="J3322" s="3"/>
      <c r="K3322" s="3"/>
      <c r="L3322" s="3"/>
      <c r="N3322" s="3"/>
      <c r="O3322" s="3"/>
      <c r="P3322" s="3"/>
      <c r="R3322" s="3"/>
    </row>
    <row r="3323" spans="2:18" x14ac:dyDescent="0.2">
      <c r="B3323" s="1"/>
      <c r="C3323" s="2"/>
      <c r="D3323" s="2"/>
      <c r="F3323" s="1"/>
      <c r="G3323" s="2"/>
      <c r="H3323" s="2"/>
      <c r="J3323" s="3"/>
      <c r="K3323" s="3"/>
      <c r="L3323" s="3"/>
      <c r="N3323" s="3"/>
      <c r="O3323" s="3"/>
      <c r="P3323" s="3"/>
      <c r="R3323" s="3"/>
    </row>
    <row r="3324" spans="2:18" x14ac:dyDescent="0.2">
      <c r="B3324" s="1"/>
      <c r="C3324" s="2"/>
      <c r="D3324" s="2"/>
      <c r="F3324" s="1"/>
      <c r="G3324" s="2"/>
      <c r="H3324" s="2"/>
      <c r="J3324" s="3"/>
      <c r="K3324" s="3"/>
      <c r="L3324" s="3"/>
      <c r="N3324" s="3"/>
      <c r="O3324" s="3"/>
      <c r="P3324" s="3"/>
      <c r="R3324" s="3"/>
    </row>
    <row r="3325" spans="2:18" x14ac:dyDescent="0.2">
      <c r="B3325" s="1"/>
      <c r="C3325" s="2"/>
      <c r="D3325" s="2"/>
      <c r="F3325" s="1"/>
      <c r="G3325" s="2"/>
      <c r="H3325" s="2"/>
      <c r="J3325" s="3"/>
      <c r="K3325" s="3"/>
      <c r="L3325" s="3"/>
      <c r="N3325" s="3"/>
      <c r="O3325" s="3"/>
      <c r="P3325" s="3"/>
      <c r="R3325" s="3"/>
    </row>
    <row r="3326" spans="2:18" x14ac:dyDescent="0.2">
      <c r="B3326" s="1"/>
      <c r="C3326" s="2"/>
      <c r="D3326" s="2"/>
      <c r="F3326" s="1"/>
      <c r="G3326" s="2"/>
      <c r="H3326" s="2"/>
      <c r="J3326" s="3"/>
      <c r="K3326" s="3"/>
      <c r="L3326" s="3"/>
      <c r="N3326" s="3"/>
      <c r="O3326" s="3"/>
      <c r="P3326" s="3"/>
      <c r="R3326" s="3"/>
    </row>
    <row r="3327" spans="2:18" x14ac:dyDescent="0.2">
      <c r="B3327" s="1"/>
      <c r="C3327" s="2"/>
      <c r="D3327" s="2"/>
      <c r="F3327" s="1"/>
      <c r="G3327" s="2"/>
      <c r="H3327" s="2"/>
      <c r="J3327" s="3"/>
      <c r="K3327" s="3"/>
      <c r="L3327" s="3"/>
      <c r="N3327" s="3"/>
      <c r="O3327" s="3"/>
      <c r="P3327" s="3"/>
      <c r="R3327" s="3"/>
    </row>
    <row r="3328" spans="2:18" x14ac:dyDescent="0.2">
      <c r="B3328" s="1"/>
      <c r="C3328" s="2"/>
      <c r="D3328" s="2"/>
      <c r="F3328" s="1"/>
      <c r="G3328" s="2"/>
      <c r="H3328" s="2"/>
      <c r="J3328" s="3"/>
      <c r="K3328" s="3"/>
      <c r="L3328" s="3"/>
      <c r="N3328" s="3"/>
      <c r="O3328" s="3"/>
      <c r="P3328" s="3"/>
      <c r="R3328" s="3"/>
    </row>
    <row r="3329" spans="2:18" x14ac:dyDescent="0.2">
      <c r="B3329" s="1"/>
      <c r="C3329" s="2"/>
      <c r="D3329" s="2"/>
      <c r="F3329" s="1"/>
      <c r="G3329" s="2"/>
      <c r="H3329" s="2"/>
      <c r="J3329" s="3"/>
      <c r="K3329" s="3"/>
      <c r="L3329" s="3"/>
      <c r="N3329" s="3"/>
      <c r="O3329" s="3"/>
      <c r="P3329" s="3"/>
      <c r="R3329" s="3"/>
    </row>
    <row r="3330" spans="2:18" x14ac:dyDescent="0.2">
      <c r="B3330" s="1"/>
      <c r="C3330" s="2"/>
      <c r="D3330" s="2"/>
      <c r="F3330" s="1"/>
      <c r="G3330" s="2"/>
      <c r="H3330" s="2"/>
      <c r="J3330" s="3"/>
      <c r="K3330" s="3"/>
      <c r="L3330" s="3"/>
      <c r="N3330" s="3"/>
      <c r="O3330" s="3"/>
      <c r="P3330" s="3"/>
      <c r="R3330" s="3"/>
    </row>
    <row r="3331" spans="2:18" x14ac:dyDescent="0.2">
      <c r="B3331" s="1"/>
      <c r="C3331" s="2"/>
      <c r="D3331" s="2"/>
      <c r="F3331" s="1"/>
      <c r="G3331" s="2"/>
      <c r="H3331" s="2"/>
      <c r="J3331" s="3"/>
      <c r="K3331" s="3"/>
      <c r="L3331" s="3"/>
      <c r="N3331" s="3"/>
      <c r="O3331" s="3"/>
      <c r="P3331" s="3"/>
      <c r="R3331" s="3"/>
    </row>
    <row r="3332" spans="2:18" x14ac:dyDescent="0.2">
      <c r="B3332" s="1"/>
      <c r="C3332" s="2"/>
      <c r="D3332" s="2"/>
      <c r="F3332" s="1"/>
      <c r="G3332" s="2"/>
      <c r="H3332" s="2"/>
      <c r="J3332" s="3"/>
      <c r="K3332" s="3"/>
      <c r="L3332" s="3"/>
      <c r="N3332" s="3"/>
      <c r="O3332" s="3"/>
      <c r="P3332" s="3"/>
      <c r="R3332" s="3"/>
    </row>
    <row r="3333" spans="2:18" x14ac:dyDescent="0.2">
      <c r="B3333" s="1"/>
      <c r="C3333" s="2"/>
      <c r="D3333" s="2"/>
      <c r="F3333" s="1"/>
      <c r="G3333" s="2"/>
      <c r="H3333" s="2"/>
      <c r="J3333" s="3"/>
      <c r="K3333" s="3"/>
      <c r="L3333" s="3"/>
      <c r="N3333" s="3"/>
      <c r="O3333" s="3"/>
      <c r="P3333" s="3"/>
      <c r="R3333" s="3"/>
    </row>
    <row r="3334" spans="2:18" x14ac:dyDescent="0.2">
      <c r="B3334" s="1"/>
      <c r="C3334" s="2"/>
      <c r="D3334" s="2"/>
      <c r="F3334" s="1"/>
      <c r="G3334" s="2"/>
      <c r="H3334" s="2"/>
      <c r="J3334" s="3"/>
      <c r="K3334" s="3"/>
      <c r="L3334" s="3"/>
      <c r="N3334" s="3"/>
      <c r="O3334" s="3"/>
      <c r="P3334" s="3"/>
      <c r="R3334" s="3"/>
    </row>
    <row r="3335" spans="2:18" x14ac:dyDescent="0.2">
      <c r="B3335" s="1"/>
      <c r="C3335" s="2"/>
      <c r="D3335" s="2"/>
      <c r="F3335" s="1"/>
      <c r="G3335" s="2"/>
      <c r="H3335" s="2"/>
      <c r="J3335" s="3"/>
      <c r="K3335" s="3"/>
      <c r="L3335" s="3"/>
      <c r="N3335" s="3"/>
      <c r="O3335" s="3"/>
      <c r="P3335" s="3"/>
      <c r="R3335" s="3"/>
    </row>
    <row r="3336" spans="2:18" x14ac:dyDescent="0.2">
      <c r="B3336" s="1"/>
      <c r="C3336" s="2"/>
      <c r="D3336" s="2"/>
      <c r="F3336" s="1"/>
      <c r="G3336" s="2"/>
      <c r="H3336" s="2"/>
      <c r="J3336" s="3"/>
      <c r="K3336" s="3"/>
      <c r="L3336" s="3"/>
      <c r="N3336" s="3"/>
      <c r="O3336" s="3"/>
      <c r="P3336" s="3"/>
      <c r="R3336" s="3"/>
    </row>
    <row r="3337" spans="2:18" x14ac:dyDescent="0.2">
      <c r="B3337" s="1"/>
      <c r="C3337" s="2"/>
      <c r="D3337" s="2"/>
      <c r="F3337" s="1"/>
      <c r="G3337" s="2"/>
      <c r="H3337" s="2"/>
      <c r="J3337" s="3"/>
      <c r="K3337" s="3"/>
      <c r="L3337" s="3"/>
      <c r="N3337" s="3"/>
      <c r="O3337" s="3"/>
      <c r="P3337" s="3"/>
      <c r="R3337" s="3"/>
    </row>
    <row r="3338" spans="2:18" x14ac:dyDescent="0.2">
      <c r="B3338" s="1"/>
      <c r="C3338" s="2"/>
      <c r="D3338" s="2"/>
      <c r="F3338" s="1"/>
      <c r="G3338" s="2"/>
      <c r="H3338" s="2"/>
      <c r="J3338" s="3"/>
      <c r="K3338" s="3"/>
      <c r="L3338" s="3"/>
      <c r="N3338" s="3"/>
      <c r="O3338" s="3"/>
      <c r="P3338" s="3"/>
      <c r="R3338" s="3"/>
    </row>
    <row r="3339" spans="2:18" x14ac:dyDescent="0.2">
      <c r="B3339" s="1"/>
      <c r="C3339" s="2"/>
      <c r="D3339" s="2"/>
      <c r="F3339" s="1"/>
      <c r="G3339" s="2"/>
      <c r="H3339" s="2"/>
      <c r="J3339" s="3"/>
      <c r="K3339" s="3"/>
      <c r="L3339" s="3"/>
      <c r="N3339" s="3"/>
      <c r="O3339" s="3"/>
      <c r="P3339" s="3"/>
      <c r="R3339" s="3"/>
    </row>
    <row r="3340" spans="2:18" x14ac:dyDescent="0.2">
      <c r="B3340" s="1"/>
      <c r="C3340" s="2"/>
      <c r="D3340" s="2"/>
      <c r="F3340" s="1"/>
      <c r="G3340" s="2"/>
      <c r="H3340" s="2"/>
      <c r="J3340" s="3"/>
      <c r="K3340" s="3"/>
      <c r="L3340" s="3"/>
      <c r="N3340" s="3"/>
      <c r="O3340" s="3"/>
      <c r="P3340" s="3"/>
      <c r="R3340" s="3"/>
    </row>
    <row r="3341" spans="2:18" x14ac:dyDescent="0.2">
      <c r="B3341" s="1"/>
      <c r="C3341" s="2"/>
      <c r="D3341" s="2"/>
      <c r="F3341" s="1"/>
      <c r="G3341" s="2"/>
      <c r="H3341" s="2"/>
      <c r="J3341" s="3"/>
      <c r="K3341" s="3"/>
      <c r="L3341" s="3"/>
      <c r="N3341" s="3"/>
      <c r="O3341" s="3"/>
      <c r="P3341" s="3"/>
      <c r="R3341" s="3"/>
    </row>
    <row r="3342" spans="2:18" x14ac:dyDescent="0.2">
      <c r="B3342" s="1"/>
      <c r="C3342" s="2"/>
      <c r="D3342" s="2"/>
      <c r="F3342" s="1"/>
      <c r="G3342" s="2"/>
      <c r="H3342" s="2"/>
      <c r="J3342" s="3"/>
      <c r="K3342" s="3"/>
      <c r="L3342" s="3"/>
      <c r="N3342" s="3"/>
      <c r="O3342" s="3"/>
      <c r="P3342" s="3"/>
      <c r="R3342" s="3"/>
    </row>
    <row r="3343" spans="2:18" x14ac:dyDescent="0.2">
      <c r="B3343" s="1"/>
      <c r="C3343" s="2"/>
      <c r="D3343" s="2"/>
      <c r="F3343" s="1"/>
      <c r="G3343" s="2"/>
      <c r="H3343" s="2"/>
      <c r="J3343" s="3"/>
      <c r="K3343" s="3"/>
      <c r="L3343" s="3"/>
      <c r="N3343" s="3"/>
      <c r="O3343" s="3"/>
      <c r="P3343" s="3"/>
      <c r="R3343" s="3"/>
    </row>
    <row r="3344" spans="2:18" x14ac:dyDescent="0.2">
      <c r="B3344" s="1"/>
      <c r="C3344" s="2"/>
      <c r="D3344" s="2"/>
      <c r="F3344" s="1"/>
      <c r="G3344" s="2"/>
      <c r="H3344" s="2"/>
      <c r="J3344" s="3"/>
      <c r="K3344" s="3"/>
      <c r="L3344" s="3"/>
      <c r="N3344" s="3"/>
      <c r="O3344" s="3"/>
      <c r="P3344" s="3"/>
      <c r="R3344" s="3"/>
    </row>
    <row r="3345" spans="2:18" x14ac:dyDescent="0.2">
      <c r="B3345" s="1"/>
      <c r="C3345" s="2"/>
      <c r="D3345" s="2"/>
      <c r="F3345" s="1"/>
      <c r="G3345" s="2"/>
      <c r="H3345" s="2"/>
      <c r="J3345" s="3"/>
      <c r="K3345" s="3"/>
      <c r="L3345" s="3"/>
      <c r="N3345" s="3"/>
      <c r="O3345" s="3"/>
      <c r="P3345" s="3"/>
      <c r="R3345" s="3"/>
    </row>
    <row r="3346" spans="2:18" x14ac:dyDescent="0.2">
      <c r="B3346" s="1"/>
      <c r="C3346" s="2"/>
      <c r="D3346" s="2"/>
      <c r="F3346" s="1"/>
      <c r="G3346" s="2"/>
      <c r="H3346" s="2"/>
      <c r="J3346" s="3"/>
      <c r="K3346" s="3"/>
      <c r="L3346" s="3"/>
      <c r="N3346" s="3"/>
      <c r="O3346" s="3"/>
      <c r="P3346" s="3"/>
      <c r="R3346" s="3"/>
    </row>
    <row r="3347" spans="2:18" x14ac:dyDescent="0.2">
      <c r="B3347" s="1"/>
      <c r="C3347" s="2"/>
      <c r="D3347" s="2"/>
      <c r="F3347" s="1"/>
      <c r="G3347" s="2"/>
      <c r="H3347" s="2"/>
      <c r="J3347" s="3"/>
      <c r="K3347" s="3"/>
      <c r="L3347" s="3"/>
      <c r="N3347" s="3"/>
      <c r="O3347" s="3"/>
      <c r="P3347" s="3"/>
      <c r="R3347" s="3"/>
    </row>
    <row r="3348" spans="2:18" x14ac:dyDescent="0.2">
      <c r="B3348" s="1"/>
      <c r="C3348" s="2"/>
      <c r="D3348" s="2"/>
      <c r="F3348" s="1"/>
      <c r="G3348" s="2"/>
      <c r="H3348" s="2"/>
      <c r="J3348" s="3"/>
      <c r="K3348" s="3"/>
      <c r="L3348" s="3"/>
      <c r="N3348" s="3"/>
      <c r="O3348" s="3"/>
      <c r="P3348" s="3"/>
      <c r="R3348" s="3"/>
    </row>
    <row r="3349" spans="2:18" x14ac:dyDescent="0.2">
      <c r="B3349" s="1"/>
      <c r="C3349" s="2"/>
      <c r="D3349" s="2"/>
      <c r="F3349" s="1"/>
      <c r="G3349" s="2"/>
      <c r="H3349" s="2"/>
      <c r="J3349" s="3"/>
      <c r="K3349" s="3"/>
      <c r="L3349" s="3"/>
      <c r="N3349" s="3"/>
      <c r="O3349" s="3"/>
      <c r="P3349" s="3"/>
      <c r="R3349" s="3"/>
    </row>
    <row r="3350" spans="2:18" x14ac:dyDescent="0.2">
      <c r="B3350" s="1"/>
      <c r="C3350" s="2"/>
      <c r="D3350" s="2"/>
      <c r="F3350" s="1"/>
      <c r="G3350" s="2"/>
      <c r="H3350" s="2"/>
      <c r="J3350" s="3"/>
      <c r="K3350" s="3"/>
      <c r="L3350" s="3"/>
      <c r="N3350" s="3"/>
      <c r="O3350" s="3"/>
      <c r="P3350" s="3"/>
      <c r="R3350" s="3"/>
    </row>
    <row r="3351" spans="2:18" x14ac:dyDescent="0.2">
      <c r="B3351" s="1"/>
      <c r="C3351" s="2"/>
      <c r="D3351" s="2"/>
      <c r="F3351" s="1"/>
      <c r="G3351" s="2"/>
      <c r="H3351" s="2"/>
      <c r="J3351" s="3"/>
      <c r="K3351" s="3"/>
      <c r="L3351" s="3"/>
      <c r="N3351" s="3"/>
      <c r="O3351" s="3"/>
      <c r="P3351" s="3"/>
      <c r="R3351" s="3"/>
    </row>
    <row r="3352" spans="2:18" x14ac:dyDescent="0.2">
      <c r="B3352" s="1"/>
      <c r="C3352" s="2"/>
      <c r="D3352" s="2"/>
      <c r="F3352" s="1"/>
      <c r="G3352" s="2"/>
      <c r="H3352" s="2"/>
      <c r="J3352" s="3"/>
      <c r="K3352" s="3"/>
      <c r="L3352" s="3"/>
      <c r="N3352" s="3"/>
      <c r="O3352" s="3"/>
      <c r="P3352" s="3"/>
      <c r="R3352" s="3"/>
    </row>
    <row r="3353" spans="2:18" x14ac:dyDescent="0.2">
      <c r="B3353" s="1"/>
      <c r="C3353" s="2"/>
      <c r="D3353" s="2"/>
      <c r="F3353" s="1"/>
      <c r="G3353" s="2"/>
      <c r="H3353" s="2"/>
      <c r="J3353" s="3"/>
      <c r="K3353" s="3"/>
      <c r="L3353" s="3"/>
      <c r="N3353" s="3"/>
      <c r="O3353" s="3"/>
      <c r="P3353" s="3"/>
      <c r="R3353" s="3"/>
    </row>
    <row r="3354" spans="2:18" x14ac:dyDescent="0.2">
      <c r="B3354" s="1"/>
      <c r="C3354" s="2"/>
      <c r="D3354" s="2"/>
      <c r="F3354" s="1"/>
      <c r="G3354" s="2"/>
      <c r="H3354" s="2"/>
      <c r="J3354" s="3"/>
      <c r="K3354" s="3"/>
      <c r="L3354" s="3"/>
      <c r="N3354" s="3"/>
      <c r="O3354" s="3"/>
      <c r="P3354" s="3"/>
      <c r="R3354" s="3"/>
    </row>
    <row r="3355" spans="2:18" x14ac:dyDescent="0.2">
      <c r="B3355" s="1"/>
      <c r="C3355" s="2"/>
      <c r="D3355" s="2"/>
      <c r="F3355" s="1"/>
      <c r="G3355" s="2"/>
      <c r="H3355" s="2"/>
      <c r="J3355" s="3"/>
      <c r="K3355" s="3"/>
      <c r="L3355" s="3"/>
      <c r="N3355" s="3"/>
      <c r="O3355" s="3"/>
      <c r="P3355" s="3"/>
      <c r="R3355" s="3"/>
    </row>
    <row r="3356" spans="2:18" x14ac:dyDescent="0.2">
      <c r="B3356" s="1"/>
      <c r="C3356" s="2"/>
      <c r="D3356" s="2"/>
      <c r="F3356" s="1"/>
      <c r="G3356" s="2"/>
      <c r="H3356" s="2"/>
      <c r="J3356" s="3"/>
      <c r="K3356" s="3"/>
      <c r="L3356" s="3"/>
      <c r="N3356" s="3"/>
      <c r="O3356" s="3"/>
      <c r="P3356" s="3"/>
      <c r="R3356" s="3"/>
    </row>
    <row r="3357" spans="2:18" x14ac:dyDescent="0.2">
      <c r="B3357" s="1"/>
      <c r="C3357" s="2"/>
      <c r="D3357" s="2"/>
      <c r="F3357" s="1"/>
      <c r="G3357" s="2"/>
      <c r="H3357" s="2"/>
      <c r="J3357" s="3"/>
      <c r="K3357" s="3"/>
      <c r="L3357" s="3"/>
      <c r="N3357" s="3"/>
      <c r="O3357" s="3"/>
      <c r="P3357" s="3"/>
      <c r="R3357" s="3"/>
    </row>
    <row r="3358" spans="2:18" x14ac:dyDescent="0.2">
      <c r="B3358" s="1"/>
      <c r="C3358" s="2"/>
      <c r="D3358" s="2"/>
      <c r="F3358" s="1"/>
      <c r="G3358" s="2"/>
      <c r="H3358" s="2"/>
      <c r="J3358" s="3"/>
      <c r="K3358" s="3"/>
      <c r="L3358" s="3"/>
      <c r="N3358" s="3"/>
      <c r="O3358" s="3"/>
      <c r="P3358" s="3"/>
      <c r="R3358" s="3"/>
    </row>
    <row r="3359" spans="2:18" x14ac:dyDescent="0.2">
      <c r="B3359" s="1"/>
      <c r="C3359" s="2"/>
      <c r="D3359" s="2"/>
      <c r="F3359" s="1"/>
      <c r="G3359" s="2"/>
      <c r="H3359" s="2"/>
      <c r="J3359" s="3"/>
      <c r="K3359" s="3"/>
      <c r="L3359" s="3"/>
      <c r="N3359" s="3"/>
      <c r="O3359" s="3"/>
      <c r="P3359" s="3"/>
      <c r="R3359" s="3"/>
    </row>
    <row r="3360" spans="2:18" x14ac:dyDescent="0.2">
      <c r="B3360" s="1"/>
      <c r="C3360" s="2"/>
      <c r="D3360" s="2"/>
      <c r="F3360" s="1"/>
      <c r="G3360" s="2"/>
      <c r="H3360" s="2"/>
      <c r="J3360" s="3"/>
      <c r="K3360" s="3"/>
      <c r="L3360" s="3"/>
      <c r="N3360" s="3"/>
      <c r="O3360" s="3"/>
      <c r="P3360" s="3"/>
      <c r="R3360" s="3"/>
    </row>
    <row r="3361" spans="2:18" x14ac:dyDescent="0.2">
      <c r="B3361" s="1"/>
      <c r="C3361" s="2"/>
      <c r="D3361" s="2"/>
      <c r="F3361" s="1"/>
      <c r="G3361" s="2"/>
      <c r="H3361" s="2"/>
      <c r="J3361" s="3"/>
      <c r="K3361" s="3"/>
      <c r="L3361" s="3"/>
      <c r="N3361" s="3"/>
      <c r="O3361" s="3"/>
      <c r="P3361" s="3"/>
      <c r="R3361" s="3"/>
    </row>
    <row r="3362" spans="2:18" x14ac:dyDescent="0.2">
      <c r="B3362" s="1"/>
      <c r="C3362" s="2"/>
      <c r="D3362" s="2"/>
      <c r="F3362" s="1"/>
      <c r="G3362" s="2"/>
      <c r="H3362" s="2"/>
      <c r="J3362" s="3"/>
      <c r="K3362" s="3"/>
      <c r="L3362" s="3"/>
      <c r="N3362" s="3"/>
      <c r="O3362" s="3"/>
      <c r="P3362" s="3"/>
      <c r="R3362" s="3"/>
    </row>
    <row r="3363" spans="2:18" x14ac:dyDescent="0.2">
      <c r="B3363" s="1"/>
      <c r="C3363" s="2"/>
      <c r="D3363" s="2"/>
      <c r="F3363" s="1"/>
      <c r="G3363" s="2"/>
      <c r="H3363" s="2"/>
      <c r="J3363" s="3"/>
      <c r="K3363" s="3"/>
      <c r="L3363" s="3"/>
      <c r="N3363" s="3"/>
      <c r="O3363" s="3"/>
      <c r="P3363" s="3"/>
      <c r="R3363" s="3"/>
    </row>
    <row r="3364" spans="2:18" x14ac:dyDescent="0.2">
      <c r="B3364" s="1"/>
      <c r="C3364" s="2"/>
      <c r="D3364" s="2"/>
      <c r="F3364" s="1"/>
      <c r="G3364" s="2"/>
      <c r="H3364" s="2"/>
      <c r="J3364" s="3"/>
      <c r="K3364" s="3"/>
      <c r="L3364" s="3"/>
      <c r="N3364" s="3"/>
      <c r="O3364" s="3"/>
      <c r="P3364" s="3"/>
      <c r="R3364" s="3"/>
    </row>
    <row r="3365" spans="2:18" x14ac:dyDescent="0.2">
      <c r="B3365" s="1"/>
      <c r="C3365" s="2"/>
      <c r="D3365" s="2"/>
      <c r="F3365" s="1"/>
      <c r="G3365" s="2"/>
      <c r="H3365" s="2"/>
      <c r="J3365" s="3"/>
      <c r="K3365" s="3"/>
      <c r="L3365" s="3"/>
      <c r="N3365" s="3"/>
      <c r="O3365" s="3"/>
      <c r="P3365" s="3"/>
      <c r="R3365" s="3"/>
    </row>
    <row r="3366" spans="2:18" x14ac:dyDescent="0.2">
      <c r="B3366" s="1"/>
      <c r="C3366" s="2"/>
      <c r="D3366" s="2"/>
      <c r="F3366" s="1"/>
      <c r="G3366" s="2"/>
      <c r="H3366" s="2"/>
      <c r="J3366" s="3"/>
      <c r="K3366" s="3"/>
      <c r="L3366" s="3"/>
      <c r="N3366" s="3"/>
      <c r="O3366" s="3"/>
      <c r="P3366" s="3"/>
      <c r="R3366" s="3"/>
    </row>
    <row r="3367" spans="2:18" x14ac:dyDescent="0.2">
      <c r="B3367" s="1"/>
      <c r="C3367" s="2"/>
      <c r="D3367" s="2"/>
      <c r="F3367" s="1"/>
      <c r="G3367" s="2"/>
      <c r="H3367" s="2"/>
      <c r="J3367" s="3"/>
      <c r="K3367" s="3"/>
      <c r="L3367" s="3"/>
      <c r="N3367" s="3"/>
      <c r="O3367" s="3"/>
      <c r="P3367" s="3"/>
      <c r="R3367" s="3"/>
    </row>
    <row r="3368" spans="2:18" x14ac:dyDescent="0.2">
      <c r="B3368" s="1"/>
      <c r="C3368" s="2"/>
      <c r="D3368" s="2"/>
      <c r="F3368" s="1"/>
      <c r="G3368" s="2"/>
      <c r="H3368" s="2"/>
      <c r="J3368" s="3"/>
      <c r="K3368" s="3"/>
      <c r="L3368" s="3"/>
      <c r="N3368" s="3"/>
      <c r="O3368" s="3"/>
      <c r="P3368" s="3"/>
      <c r="R3368" s="3"/>
    </row>
    <row r="3369" spans="2:18" x14ac:dyDescent="0.2">
      <c r="B3369" s="1"/>
      <c r="C3369" s="2"/>
      <c r="D3369" s="2"/>
      <c r="F3369" s="1"/>
      <c r="G3369" s="2"/>
      <c r="H3369" s="2"/>
      <c r="J3369" s="3"/>
      <c r="K3369" s="3"/>
      <c r="L3369" s="3"/>
      <c r="N3369" s="3"/>
      <c r="O3369" s="3"/>
      <c r="P3369" s="3"/>
      <c r="R3369" s="3"/>
    </row>
    <row r="3370" spans="2:18" x14ac:dyDescent="0.2">
      <c r="B3370" s="1"/>
      <c r="C3370" s="2"/>
      <c r="D3370" s="2"/>
      <c r="F3370" s="1"/>
      <c r="G3370" s="2"/>
      <c r="H3370" s="2"/>
      <c r="J3370" s="3"/>
      <c r="K3370" s="3"/>
      <c r="L3370" s="3"/>
      <c r="N3370" s="3"/>
      <c r="O3370" s="3"/>
      <c r="P3370" s="3"/>
      <c r="R3370" s="3"/>
    </row>
    <row r="3371" spans="2:18" x14ac:dyDescent="0.2">
      <c r="B3371" s="1"/>
      <c r="C3371" s="2"/>
      <c r="D3371" s="2"/>
      <c r="F3371" s="1"/>
      <c r="G3371" s="2"/>
      <c r="H3371" s="2"/>
      <c r="J3371" s="3"/>
      <c r="K3371" s="3"/>
      <c r="L3371" s="3"/>
      <c r="N3371" s="3"/>
      <c r="O3371" s="3"/>
      <c r="P3371" s="3"/>
      <c r="R3371" s="3"/>
    </row>
    <row r="3372" spans="2:18" x14ac:dyDescent="0.2">
      <c r="B3372" s="1"/>
      <c r="C3372" s="2"/>
      <c r="D3372" s="2"/>
      <c r="F3372" s="1"/>
      <c r="G3372" s="2"/>
      <c r="H3372" s="2"/>
      <c r="J3372" s="3"/>
      <c r="K3372" s="3"/>
      <c r="L3372" s="3"/>
      <c r="N3372" s="3"/>
      <c r="O3372" s="3"/>
      <c r="P3372" s="3"/>
      <c r="R3372" s="3"/>
    </row>
    <row r="3373" spans="2:18" x14ac:dyDescent="0.2">
      <c r="B3373" s="1"/>
      <c r="C3373" s="2"/>
      <c r="D3373" s="2"/>
      <c r="F3373" s="1"/>
      <c r="G3373" s="2"/>
      <c r="H3373" s="2"/>
      <c r="J3373" s="3"/>
      <c r="K3373" s="3"/>
      <c r="L3373" s="3"/>
      <c r="N3373" s="3"/>
      <c r="O3373" s="3"/>
      <c r="P3373" s="3"/>
      <c r="R3373" s="3"/>
    </row>
    <row r="3374" spans="2:18" x14ac:dyDescent="0.2">
      <c r="B3374" s="1"/>
      <c r="C3374" s="2"/>
      <c r="D3374" s="2"/>
      <c r="F3374" s="1"/>
      <c r="G3374" s="2"/>
      <c r="H3374" s="2"/>
      <c r="J3374" s="3"/>
      <c r="K3374" s="3"/>
      <c r="L3374" s="3"/>
      <c r="N3374" s="3"/>
      <c r="O3374" s="3"/>
      <c r="P3374" s="3"/>
      <c r="R3374" s="3"/>
    </row>
    <row r="3375" spans="2:18" x14ac:dyDescent="0.2">
      <c r="B3375" s="1"/>
      <c r="C3375" s="2"/>
      <c r="D3375" s="2"/>
      <c r="F3375" s="1"/>
      <c r="G3375" s="2"/>
      <c r="H3375" s="2"/>
      <c r="J3375" s="3"/>
      <c r="K3375" s="3"/>
      <c r="L3375" s="3"/>
      <c r="N3375" s="3"/>
      <c r="O3375" s="3"/>
      <c r="P3375" s="3"/>
      <c r="R3375" s="3"/>
    </row>
    <row r="3376" spans="2:18" x14ac:dyDescent="0.2">
      <c r="B3376" s="1"/>
      <c r="C3376" s="2"/>
      <c r="D3376" s="2"/>
      <c r="F3376" s="1"/>
      <c r="G3376" s="2"/>
      <c r="H3376" s="2"/>
      <c r="J3376" s="3"/>
      <c r="K3376" s="3"/>
      <c r="L3376" s="3"/>
      <c r="N3376" s="3"/>
      <c r="O3376" s="3"/>
      <c r="P3376" s="3"/>
      <c r="R3376" s="3"/>
    </row>
    <row r="3377" spans="2:18" x14ac:dyDescent="0.2">
      <c r="B3377" s="1"/>
      <c r="C3377" s="2"/>
      <c r="D3377" s="2"/>
      <c r="F3377" s="1"/>
      <c r="G3377" s="2"/>
      <c r="H3377" s="2"/>
      <c r="J3377" s="3"/>
      <c r="K3377" s="3"/>
      <c r="L3377" s="3"/>
      <c r="N3377" s="3"/>
      <c r="O3377" s="3"/>
      <c r="P3377" s="3"/>
      <c r="R3377" s="3"/>
    </row>
    <row r="3378" spans="2:18" x14ac:dyDescent="0.2">
      <c r="B3378" s="1"/>
      <c r="C3378" s="2"/>
      <c r="D3378" s="2"/>
      <c r="F3378" s="1"/>
      <c r="G3378" s="2"/>
      <c r="H3378" s="2"/>
      <c r="J3378" s="3"/>
      <c r="K3378" s="3"/>
      <c r="L3378" s="3"/>
      <c r="N3378" s="3"/>
      <c r="O3378" s="3"/>
      <c r="P3378" s="3"/>
      <c r="R3378" s="3"/>
    </row>
    <row r="3379" spans="2:18" x14ac:dyDescent="0.2">
      <c r="B3379" s="1"/>
      <c r="C3379" s="2"/>
      <c r="D3379" s="2"/>
      <c r="F3379" s="1"/>
      <c r="G3379" s="2"/>
      <c r="H3379" s="2"/>
      <c r="J3379" s="3"/>
      <c r="K3379" s="3"/>
      <c r="L3379" s="3"/>
      <c r="N3379" s="3"/>
      <c r="O3379" s="3"/>
      <c r="P3379" s="3"/>
      <c r="R3379" s="3"/>
    </row>
    <row r="3380" spans="2:18" x14ac:dyDescent="0.2">
      <c r="B3380" s="1"/>
      <c r="C3380" s="2"/>
      <c r="D3380" s="2"/>
      <c r="F3380" s="1"/>
      <c r="G3380" s="2"/>
      <c r="H3380" s="2"/>
      <c r="J3380" s="3"/>
      <c r="K3380" s="3"/>
      <c r="L3380" s="3"/>
      <c r="N3380" s="3"/>
      <c r="O3380" s="3"/>
      <c r="P3380" s="3"/>
      <c r="R3380" s="3"/>
    </row>
    <row r="3381" spans="2:18" x14ac:dyDescent="0.2">
      <c r="B3381" s="1"/>
      <c r="C3381" s="2"/>
      <c r="D3381" s="2"/>
      <c r="F3381" s="1"/>
      <c r="G3381" s="2"/>
      <c r="H3381" s="2"/>
      <c r="J3381" s="3"/>
      <c r="K3381" s="3"/>
      <c r="L3381" s="3"/>
      <c r="N3381" s="3"/>
      <c r="O3381" s="3"/>
      <c r="P3381" s="3"/>
      <c r="R3381" s="3"/>
    </row>
    <row r="3382" spans="2:18" x14ac:dyDescent="0.2">
      <c r="B3382" s="1"/>
      <c r="C3382" s="2"/>
      <c r="D3382" s="2"/>
      <c r="F3382" s="1"/>
      <c r="G3382" s="2"/>
      <c r="H3382" s="2"/>
      <c r="J3382" s="3"/>
      <c r="K3382" s="3"/>
      <c r="L3382" s="3"/>
      <c r="N3382" s="3"/>
      <c r="O3382" s="3"/>
      <c r="P3382" s="3"/>
      <c r="R3382" s="3"/>
    </row>
    <row r="3383" spans="2:18" x14ac:dyDescent="0.2">
      <c r="B3383" s="1"/>
      <c r="C3383" s="2"/>
      <c r="D3383" s="2"/>
      <c r="F3383" s="1"/>
      <c r="G3383" s="2"/>
      <c r="H3383" s="2"/>
      <c r="J3383" s="3"/>
      <c r="K3383" s="3"/>
      <c r="L3383" s="3"/>
      <c r="N3383" s="3"/>
      <c r="O3383" s="3"/>
      <c r="P3383" s="3"/>
      <c r="R3383" s="3"/>
    </row>
    <row r="3384" spans="2:18" x14ac:dyDescent="0.2">
      <c r="B3384" s="1"/>
      <c r="C3384" s="2"/>
      <c r="D3384" s="2"/>
      <c r="F3384" s="1"/>
      <c r="G3384" s="2"/>
      <c r="H3384" s="2"/>
      <c r="J3384" s="3"/>
      <c r="K3384" s="3"/>
      <c r="L3384" s="3"/>
      <c r="N3384" s="3"/>
      <c r="O3384" s="3"/>
      <c r="P3384" s="3"/>
      <c r="R3384" s="3"/>
    </row>
    <row r="3385" spans="2:18" x14ac:dyDescent="0.2">
      <c r="B3385" s="1"/>
      <c r="C3385" s="2"/>
      <c r="D3385" s="2"/>
      <c r="F3385" s="1"/>
      <c r="G3385" s="2"/>
      <c r="H3385" s="2"/>
      <c r="J3385" s="3"/>
      <c r="K3385" s="3"/>
      <c r="L3385" s="3"/>
      <c r="N3385" s="3"/>
      <c r="O3385" s="3"/>
      <c r="P3385" s="3"/>
      <c r="R3385" s="3"/>
    </row>
    <row r="3386" spans="2:18" x14ac:dyDescent="0.2">
      <c r="B3386" s="1"/>
      <c r="C3386" s="2"/>
      <c r="D3386" s="2"/>
      <c r="F3386" s="1"/>
      <c r="G3386" s="2"/>
      <c r="H3386" s="2"/>
      <c r="J3386" s="3"/>
      <c r="K3386" s="3"/>
      <c r="L3386" s="3"/>
      <c r="N3386" s="3"/>
      <c r="O3386" s="3"/>
      <c r="P3386" s="3"/>
      <c r="R3386" s="3"/>
    </row>
    <row r="3387" spans="2:18" x14ac:dyDescent="0.2">
      <c r="B3387" s="1"/>
      <c r="C3387" s="2"/>
      <c r="D3387" s="2"/>
      <c r="F3387" s="1"/>
      <c r="G3387" s="2"/>
      <c r="H3387" s="2"/>
      <c r="J3387" s="3"/>
      <c r="K3387" s="3"/>
      <c r="L3387" s="3"/>
      <c r="N3387" s="3"/>
      <c r="O3387" s="3"/>
      <c r="P3387" s="3"/>
      <c r="R3387" s="3"/>
    </row>
    <row r="3388" spans="2:18" x14ac:dyDescent="0.2">
      <c r="B3388" s="1"/>
      <c r="C3388" s="2"/>
      <c r="D3388" s="2"/>
      <c r="F3388" s="1"/>
      <c r="G3388" s="2"/>
      <c r="H3388" s="2"/>
      <c r="J3388" s="3"/>
      <c r="K3388" s="3"/>
      <c r="L3388" s="3"/>
      <c r="N3388" s="3"/>
      <c r="O3388" s="3"/>
      <c r="P3388" s="3"/>
      <c r="R3388" s="3"/>
    </row>
    <row r="3389" spans="2:18" x14ac:dyDescent="0.2">
      <c r="B3389" s="1"/>
      <c r="C3389" s="2"/>
      <c r="D3389" s="2"/>
      <c r="F3389" s="1"/>
      <c r="G3389" s="2"/>
      <c r="H3389" s="2"/>
      <c r="J3389" s="3"/>
      <c r="K3389" s="3"/>
      <c r="L3389" s="3"/>
      <c r="N3389" s="3"/>
      <c r="O3389" s="3"/>
      <c r="P3389" s="3"/>
      <c r="R3389" s="3"/>
    </row>
    <row r="3390" spans="2:18" x14ac:dyDescent="0.2">
      <c r="B3390" s="1"/>
      <c r="C3390" s="2"/>
      <c r="D3390" s="2"/>
      <c r="F3390" s="1"/>
      <c r="G3390" s="2"/>
      <c r="H3390" s="2"/>
      <c r="J3390" s="3"/>
      <c r="K3390" s="3"/>
      <c r="L3390" s="3"/>
      <c r="N3390" s="3"/>
      <c r="O3390" s="3"/>
      <c r="P3390" s="3"/>
      <c r="R3390" s="3"/>
    </row>
    <row r="3391" spans="2:18" x14ac:dyDescent="0.2">
      <c r="B3391" s="1"/>
      <c r="C3391" s="2"/>
      <c r="D3391" s="2"/>
      <c r="F3391" s="1"/>
      <c r="G3391" s="2"/>
      <c r="H3391" s="2"/>
      <c r="J3391" s="3"/>
      <c r="K3391" s="3"/>
      <c r="L3391" s="3"/>
      <c r="N3391" s="3"/>
      <c r="O3391" s="3"/>
      <c r="P3391" s="3"/>
      <c r="R3391" s="3"/>
    </row>
    <row r="3392" spans="2:18" x14ac:dyDescent="0.2">
      <c r="B3392" s="1"/>
      <c r="C3392" s="2"/>
      <c r="D3392" s="2"/>
      <c r="F3392" s="1"/>
      <c r="G3392" s="2"/>
      <c r="H3392" s="2"/>
      <c r="J3392" s="3"/>
      <c r="K3392" s="3"/>
      <c r="L3392" s="3"/>
      <c r="N3392" s="3"/>
      <c r="O3392" s="3"/>
      <c r="P3392" s="3"/>
      <c r="R3392" s="3"/>
    </row>
    <row r="3393" spans="2:18" x14ac:dyDescent="0.2">
      <c r="B3393" s="1"/>
      <c r="C3393" s="2"/>
      <c r="D3393" s="2"/>
      <c r="F3393" s="1"/>
      <c r="G3393" s="2"/>
      <c r="H3393" s="2"/>
      <c r="J3393" s="3"/>
      <c r="K3393" s="3"/>
      <c r="L3393" s="3"/>
      <c r="N3393" s="3"/>
      <c r="O3393" s="3"/>
      <c r="P3393" s="3"/>
      <c r="R3393" s="3"/>
    </row>
    <row r="3394" spans="2:18" x14ac:dyDescent="0.2">
      <c r="B3394" s="1"/>
      <c r="C3394" s="2"/>
      <c r="D3394" s="2"/>
      <c r="F3394" s="1"/>
      <c r="G3394" s="2"/>
      <c r="H3394" s="2"/>
      <c r="J3394" s="3"/>
      <c r="K3394" s="3"/>
      <c r="L3394" s="3"/>
      <c r="N3394" s="3"/>
      <c r="O3394" s="3"/>
      <c r="P3394" s="3"/>
      <c r="R3394" s="3"/>
    </row>
    <row r="3395" spans="2:18" x14ac:dyDescent="0.2">
      <c r="B3395" s="1"/>
      <c r="C3395" s="2"/>
      <c r="D3395" s="2"/>
      <c r="F3395" s="1"/>
      <c r="G3395" s="2"/>
      <c r="H3395" s="2"/>
      <c r="J3395" s="3"/>
      <c r="K3395" s="3"/>
      <c r="L3395" s="3"/>
      <c r="N3395" s="3"/>
      <c r="O3395" s="3"/>
      <c r="P3395" s="3"/>
      <c r="R3395" s="3"/>
    </row>
    <row r="3396" spans="2:18" x14ac:dyDescent="0.2">
      <c r="B3396" s="1"/>
      <c r="C3396" s="2"/>
      <c r="D3396" s="2"/>
      <c r="F3396" s="1"/>
      <c r="G3396" s="2"/>
      <c r="H3396" s="2"/>
      <c r="J3396" s="3"/>
      <c r="K3396" s="3"/>
      <c r="L3396" s="3"/>
      <c r="N3396" s="3"/>
      <c r="O3396" s="3"/>
      <c r="P3396" s="3"/>
      <c r="R3396" s="3"/>
    </row>
    <row r="3397" spans="2:18" x14ac:dyDescent="0.2">
      <c r="B3397" s="1"/>
      <c r="C3397" s="2"/>
      <c r="D3397" s="2"/>
      <c r="F3397" s="1"/>
      <c r="G3397" s="2"/>
      <c r="H3397" s="2"/>
      <c r="J3397" s="3"/>
      <c r="K3397" s="3"/>
      <c r="L3397" s="3"/>
      <c r="N3397" s="3"/>
      <c r="O3397" s="3"/>
      <c r="P3397" s="3"/>
      <c r="R3397" s="3"/>
    </row>
    <row r="3398" spans="2:18" x14ac:dyDescent="0.2">
      <c r="B3398" s="1"/>
      <c r="C3398" s="2"/>
      <c r="D3398" s="2"/>
      <c r="F3398" s="1"/>
      <c r="G3398" s="2"/>
      <c r="H3398" s="2"/>
      <c r="J3398" s="3"/>
      <c r="K3398" s="3"/>
      <c r="L3398" s="3"/>
      <c r="N3398" s="3"/>
      <c r="O3398" s="3"/>
      <c r="P3398" s="3"/>
      <c r="R3398" s="3"/>
    </row>
    <row r="3399" spans="2:18" x14ac:dyDescent="0.2">
      <c r="B3399" s="1"/>
      <c r="C3399" s="2"/>
      <c r="D3399" s="2"/>
      <c r="F3399" s="1"/>
      <c r="G3399" s="2"/>
      <c r="H3399" s="2"/>
      <c r="J3399" s="3"/>
      <c r="K3399" s="3"/>
      <c r="L3399" s="3"/>
      <c r="N3399" s="3"/>
      <c r="O3399" s="3"/>
      <c r="P3399" s="3"/>
      <c r="R3399" s="3"/>
    </row>
    <row r="3400" spans="2:18" x14ac:dyDescent="0.2">
      <c r="B3400" s="1"/>
      <c r="C3400" s="2"/>
      <c r="D3400" s="2"/>
      <c r="F3400" s="1"/>
      <c r="G3400" s="2"/>
      <c r="H3400" s="2"/>
      <c r="J3400" s="3"/>
      <c r="K3400" s="3"/>
      <c r="L3400" s="3"/>
      <c r="N3400" s="3"/>
      <c r="O3400" s="3"/>
      <c r="P3400" s="3"/>
      <c r="R3400" s="3"/>
    </row>
    <row r="3401" spans="2:18" x14ac:dyDescent="0.2">
      <c r="B3401" s="1"/>
      <c r="C3401" s="2"/>
      <c r="D3401" s="2"/>
      <c r="F3401" s="1"/>
      <c r="G3401" s="2"/>
      <c r="H3401" s="2"/>
      <c r="J3401" s="3"/>
      <c r="K3401" s="3"/>
      <c r="L3401" s="3"/>
      <c r="N3401" s="3"/>
      <c r="O3401" s="3"/>
      <c r="P3401" s="3"/>
      <c r="R3401" s="3"/>
    </row>
    <row r="3402" spans="2:18" x14ac:dyDescent="0.2">
      <c r="B3402" s="1"/>
      <c r="C3402" s="2"/>
      <c r="D3402" s="2"/>
      <c r="F3402" s="1"/>
      <c r="G3402" s="2"/>
      <c r="H3402" s="2"/>
      <c r="J3402" s="3"/>
      <c r="K3402" s="3"/>
      <c r="L3402" s="3"/>
      <c r="N3402" s="3"/>
      <c r="O3402" s="3"/>
      <c r="P3402" s="3"/>
      <c r="R3402" s="3"/>
    </row>
    <row r="3403" spans="2:18" x14ac:dyDescent="0.2">
      <c r="B3403" s="1"/>
      <c r="C3403" s="2"/>
      <c r="D3403" s="2"/>
      <c r="F3403" s="1"/>
      <c r="G3403" s="2"/>
      <c r="H3403" s="2"/>
      <c r="J3403" s="3"/>
      <c r="K3403" s="3"/>
      <c r="L3403" s="3"/>
      <c r="N3403" s="3"/>
      <c r="O3403" s="3"/>
      <c r="P3403" s="3"/>
      <c r="R3403" s="3"/>
    </row>
    <row r="3404" spans="2:18" x14ac:dyDescent="0.2">
      <c r="B3404" s="1"/>
      <c r="C3404" s="2"/>
      <c r="D3404" s="2"/>
      <c r="F3404" s="1"/>
      <c r="G3404" s="2"/>
      <c r="H3404" s="2"/>
      <c r="J3404" s="3"/>
      <c r="K3404" s="3"/>
      <c r="L3404" s="3"/>
      <c r="N3404" s="3"/>
      <c r="O3404" s="3"/>
      <c r="P3404" s="3"/>
      <c r="R3404" s="3"/>
    </row>
    <row r="3405" spans="2:18" x14ac:dyDescent="0.2">
      <c r="B3405" s="1"/>
      <c r="C3405" s="2"/>
      <c r="D3405" s="2"/>
      <c r="F3405" s="1"/>
      <c r="G3405" s="2"/>
      <c r="H3405" s="2"/>
      <c r="J3405" s="3"/>
      <c r="K3405" s="3"/>
      <c r="L3405" s="3"/>
      <c r="N3405" s="3"/>
      <c r="O3405" s="3"/>
      <c r="P3405" s="3"/>
      <c r="R3405" s="3"/>
    </row>
    <row r="3406" spans="2:18" x14ac:dyDescent="0.2">
      <c r="B3406" s="1"/>
      <c r="C3406" s="2"/>
      <c r="D3406" s="2"/>
      <c r="F3406" s="1"/>
      <c r="G3406" s="2"/>
      <c r="H3406" s="2"/>
      <c r="J3406" s="3"/>
      <c r="K3406" s="3"/>
      <c r="L3406" s="3"/>
      <c r="N3406" s="3"/>
      <c r="O3406" s="3"/>
      <c r="P3406" s="3"/>
      <c r="R3406" s="3"/>
    </row>
    <row r="3407" spans="2:18" x14ac:dyDescent="0.2">
      <c r="B3407" s="1"/>
      <c r="C3407" s="2"/>
      <c r="D3407" s="2"/>
      <c r="F3407" s="1"/>
      <c r="G3407" s="2"/>
      <c r="H3407" s="2"/>
      <c r="J3407" s="3"/>
      <c r="K3407" s="3"/>
      <c r="L3407" s="3"/>
      <c r="N3407" s="3"/>
      <c r="O3407" s="3"/>
      <c r="P3407" s="3"/>
      <c r="R3407" s="3"/>
    </row>
    <row r="3408" spans="2:18" x14ac:dyDescent="0.2">
      <c r="B3408" s="1"/>
      <c r="C3408" s="2"/>
      <c r="D3408" s="2"/>
      <c r="F3408" s="1"/>
      <c r="G3408" s="2"/>
      <c r="H3408" s="2"/>
      <c r="J3408" s="3"/>
      <c r="K3408" s="3"/>
      <c r="L3408" s="3"/>
      <c r="N3408" s="3"/>
      <c r="O3408" s="3"/>
      <c r="P3408" s="3"/>
      <c r="R3408" s="3"/>
    </row>
    <row r="3409" spans="2:18" x14ac:dyDescent="0.2">
      <c r="B3409" s="1"/>
      <c r="C3409" s="2"/>
      <c r="D3409" s="2"/>
      <c r="F3409" s="1"/>
      <c r="G3409" s="2"/>
      <c r="H3409" s="2"/>
      <c r="J3409" s="3"/>
      <c r="K3409" s="3"/>
      <c r="L3409" s="3"/>
      <c r="N3409" s="3"/>
      <c r="O3409" s="3"/>
      <c r="P3409" s="3"/>
      <c r="R3409" s="3"/>
    </row>
    <row r="3410" spans="2:18" x14ac:dyDescent="0.2">
      <c r="B3410" s="1"/>
      <c r="C3410" s="2"/>
      <c r="D3410" s="2"/>
      <c r="F3410" s="1"/>
      <c r="G3410" s="2"/>
      <c r="H3410" s="2"/>
      <c r="J3410" s="3"/>
      <c r="K3410" s="3"/>
      <c r="L3410" s="3"/>
      <c r="N3410" s="3"/>
      <c r="O3410" s="3"/>
      <c r="P3410" s="3"/>
      <c r="R3410" s="3"/>
    </row>
    <row r="3411" spans="2:18" x14ac:dyDescent="0.2">
      <c r="B3411" s="1"/>
      <c r="C3411" s="2"/>
      <c r="D3411" s="2"/>
      <c r="F3411" s="1"/>
      <c r="G3411" s="2"/>
      <c r="H3411" s="2"/>
      <c r="J3411" s="3"/>
      <c r="K3411" s="3"/>
      <c r="L3411" s="3"/>
      <c r="N3411" s="3"/>
      <c r="O3411" s="3"/>
      <c r="P3411" s="3"/>
      <c r="R3411" s="3"/>
    </row>
    <row r="3412" spans="2:18" x14ac:dyDescent="0.2">
      <c r="B3412" s="1"/>
      <c r="C3412" s="2"/>
      <c r="D3412" s="2"/>
      <c r="F3412" s="1"/>
      <c r="G3412" s="2"/>
      <c r="H3412" s="2"/>
      <c r="J3412" s="3"/>
      <c r="K3412" s="3"/>
      <c r="L3412" s="3"/>
      <c r="N3412" s="3"/>
      <c r="O3412" s="3"/>
      <c r="P3412" s="3"/>
      <c r="R3412" s="3"/>
    </row>
    <row r="3413" spans="2:18" x14ac:dyDescent="0.2">
      <c r="B3413" s="1"/>
      <c r="C3413" s="2"/>
      <c r="D3413" s="2"/>
      <c r="F3413" s="1"/>
      <c r="G3413" s="2"/>
      <c r="H3413" s="2"/>
      <c r="J3413" s="3"/>
      <c r="K3413" s="3"/>
      <c r="L3413" s="3"/>
      <c r="N3413" s="3"/>
      <c r="O3413" s="3"/>
      <c r="P3413" s="3"/>
      <c r="R3413" s="3"/>
    </row>
    <row r="3414" spans="2:18" x14ac:dyDescent="0.2">
      <c r="B3414" s="1"/>
      <c r="C3414" s="2"/>
      <c r="D3414" s="2"/>
      <c r="F3414" s="1"/>
      <c r="G3414" s="2"/>
      <c r="H3414" s="2"/>
      <c r="J3414" s="3"/>
      <c r="K3414" s="3"/>
      <c r="L3414" s="3"/>
      <c r="N3414" s="3"/>
      <c r="O3414" s="3"/>
      <c r="P3414" s="3"/>
      <c r="R3414" s="3"/>
    </row>
    <row r="3415" spans="2:18" x14ac:dyDescent="0.2">
      <c r="B3415" s="1"/>
      <c r="C3415" s="2"/>
      <c r="D3415" s="2"/>
      <c r="F3415" s="1"/>
      <c r="G3415" s="2"/>
      <c r="H3415" s="2"/>
      <c r="J3415" s="3"/>
      <c r="K3415" s="3"/>
      <c r="L3415" s="3"/>
      <c r="N3415" s="3"/>
      <c r="O3415" s="3"/>
      <c r="P3415" s="3"/>
      <c r="R3415" s="3"/>
    </row>
    <row r="3416" spans="2:18" x14ac:dyDescent="0.2">
      <c r="B3416" s="1"/>
      <c r="C3416" s="2"/>
      <c r="D3416" s="2"/>
      <c r="F3416" s="1"/>
      <c r="G3416" s="2"/>
      <c r="H3416" s="2"/>
      <c r="J3416" s="3"/>
      <c r="K3416" s="3"/>
      <c r="L3416" s="3"/>
      <c r="N3416" s="3"/>
      <c r="O3416" s="3"/>
      <c r="P3416" s="3"/>
      <c r="R3416" s="3"/>
    </row>
    <row r="3417" spans="2:18" x14ac:dyDescent="0.2">
      <c r="B3417" s="1"/>
      <c r="C3417" s="2"/>
      <c r="D3417" s="2"/>
      <c r="F3417" s="1"/>
      <c r="G3417" s="2"/>
      <c r="H3417" s="2"/>
      <c r="J3417" s="3"/>
      <c r="K3417" s="3"/>
      <c r="L3417" s="3"/>
      <c r="N3417" s="3"/>
      <c r="O3417" s="3"/>
      <c r="P3417" s="3"/>
      <c r="R3417" s="3"/>
    </row>
    <row r="3418" spans="2:18" x14ac:dyDescent="0.2">
      <c r="B3418" s="1"/>
      <c r="C3418" s="2"/>
      <c r="D3418" s="2"/>
      <c r="F3418" s="1"/>
      <c r="G3418" s="2"/>
      <c r="H3418" s="2"/>
      <c r="J3418" s="3"/>
      <c r="K3418" s="3"/>
      <c r="L3418" s="3"/>
      <c r="N3418" s="3"/>
      <c r="O3418" s="3"/>
      <c r="P3418" s="3"/>
      <c r="R3418" s="3"/>
    </row>
    <row r="3419" spans="2:18" x14ac:dyDescent="0.2">
      <c r="B3419" s="1"/>
      <c r="C3419" s="2"/>
      <c r="D3419" s="2"/>
      <c r="F3419" s="1"/>
      <c r="G3419" s="2"/>
      <c r="H3419" s="2"/>
      <c r="J3419" s="3"/>
      <c r="K3419" s="3"/>
      <c r="L3419" s="3"/>
      <c r="N3419" s="3"/>
      <c r="O3419" s="3"/>
      <c r="P3419" s="3"/>
      <c r="R3419" s="3"/>
    </row>
    <row r="3420" spans="2:18" x14ac:dyDescent="0.2">
      <c r="B3420" s="1"/>
      <c r="C3420" s="2"/>
      <c r="D3420" s="2"/>
      <c r="F3420" s="1"/>
      <c r="G3420" s="2"/>
      <c r="H3420" s="2"/>
      <c r="J3420" s="3"/>
      <c r="K3420" s="3"/>
      <c r="L3420" s="3"/>
      <c r="N3420" s="3"/>
      <c r="O3420" s="3"/>
      <c r="P3420" s="3"/>
      <c r="R3420" s="3"/>
    </row>
    <row r="3421" spans="2:18" x14ac:dyDescent="0.2">
      <c r="B3421" s="1"/>
      <c r="C3421" s="2"/>
      <c r="D3421" s="2"/>
      <c r="F3421" s="1"/>
      <c r="G3421" s="2"/>
      <c r="H3421" s="2"/>
      <c r="J3421" s="3"/>
      <c r="K3421" s="3"/>
      <c r="L3421" s="3"/>
      <c r="N3421" s="3"/>
      <c r="O3421" s="3"/>
      <c r="P3421" s="3"/>
      <c r="R3421" s="3"/>
    </row>
    <row r="3422" spans="2:18" x14ac:dyDescent="0.2">
      <c r="B3422" s="1"/>
      <c r="C3422" s="2"/>
      <c r="D3422" s="2"/>
      <c r="F3422" s="1"/>
      <c r="G3422" s="2"/>
      <c r="H3422" s="2"/>
      <c r="J3422" s="3"/>
      <c r="K3422" s="3"/>
      <c r="L3422" s="3"/>
      <c r="N3422" s="3"/>
      <c r="O3422" s="3"/>
      <c r="P3422" s="3"/>
      <c r="R3422" s="3"/>
    </row>
    <row r="3423" spans="2:18" x14ac:dyDescent="0.2">
      <c r="B3423" s="1"/>
      <c r="C3423" s="2"/>
      <c r="D3423" s="2"/>
      <c r="F3423" s="1"/>
      <c r="G3423" s="2"/>
      <c r="H3423" s="2"/>
      <c r="J3423" s="3"/>
      <c r="K3423" s="3"/>
      <c r="L3423" s="3"/>
      <c r="N3423" s="3"/>
      <c r="O3423" s="3"/>
      <c r="P3423" s="3"/>
      <c r="R3423" s="3"/>
    </row>
    <row r="3424" spans="2:18" x14ac:dyDescent="0.2">
      <c r="B3424" s="1"/>
      <c r="C3424" s="2"/>
      <c r="D3424" s="2"/>
      <c r="F3424" s="1"/>
      <c r="G3424" s="2"/>
      <c r="H3424" s="2"/>
      <c r="J3424" s="3"/>
      <c r="K3424" s="3"/>
      <c r="L3424" s="3"/>
      <c r="N3424" s="3"/>
      <c r="O3424" s="3"/>
      <c r="P3424" s="3"/>
      <c r="R3424" s="3"/>
    </row>
    <row r="3425" spans="2:18" x14ac:dyDescent="0.2">
      <c r="B3425" s="1"/>
      <c r="C3425" s="2"/>
      <c r="D3425" s="2"/>
      <c r="F3425" s="1"/>
      <c r="G3425" s="2"/>
      <c r="H3425" s="2"/>
      <c r="J3425" s="3"/>
      <c r="K3425" s="3"/>
      <c r="L3425" s="3"/>
      <c r="N3425" s="3"/>
      <c r="O3425" s="3"/>
      <c r="P3425" s="3"/>
      <c r="R3425" s="3"/>
    </row>
    <row r="3426" spans="2:18" x14ac:dyDescent="0.2">
      <c r="B3426" s="1"/>
      <c r="C3426" s="2"/>
      <c r="D3426" s="2"/>
      <c r="F3426" s="1"/>
      <c r="G3426" s="2"/>
      <c r="H3426" s="2"/>
      <c r="J3426" s="3"/>
      <c r="K3426" s="3"/>
      <c r="L3426" s="3"/>
      <c r="N3426" s="3"/>
      <c r="O3426" s="3"/>
      <c r="P3426" s="3"/>
      <c r="R3426" s="3"/>
    </row>
    <row r="3427" spans="2:18" x14ac:dyDescent="0.2">
      <c r="B3427" s="1"/>
      <c r="C3427" s="2"/>
      <c r="D3427" s="2"/>
      <c r="F3427" s="1"/>
      <c r="G3427" s="2"/>
      <c r="H3427" s="2"/>
      <c r="J3427" s="3"/>
      <c r="K3427" s="3"/>
      <c r="L3427" s="3"/>
      <c r="N3427" s="3"/>
      <c r="O3427" s="3"/>
      <c r="P3427" s="3"/>
      <c r="R3427" s="3"/>
    </row>
    <row r="3428" spans="2:18" x14ac:dyDescent="0.2">
      <c r="B3428" s="1"/>
      <c r="C3428" s="2"/>
      <c r="D3428" s="2"/>
      <c r="F3428" s="1"/>
      <c r="G3428" s="2"/>
      <c r="H3428" s="2"/>
      <c r="J3428" s="3"/>
      <c r="K3428" s="3"/>
      <c r="L3428" s="3"/>
      <c r="N3428" s="3"/>
      <c r="O3428" s="3"/>
      <c r="P3428" s="3"/>
      <c r="R3428" s="3"/>
    </row>
    <row r="3429" spans="2:18" x14ac:dyDescent="0.2">
      <c r="B3429" s="1"/>
      <c r="C3429" s="2"/>
      <c r="D3429" s="2"/>
      <c r="F3429" s="1"/>
      <c r="G3429" s="2"/>
      <c r="H3429" s="2"/>
      <c r="J3429" s="3"/>
      <c r="K3429" s="3"/>
      <c r="L3429" s="3"/>
      <c r="N3429" s="3"/>
      <c r="O3429" s="3"/>
      <c r="P3429" s="3"/>
      <c r="R3429" s="3"/>
    </row>
    <row r="3430" spans="2:18" x14ac:dyDescent="0.2">
      <c r="B3430" s="1"/>
      <c r="C3430" s="2"/>
      <c r="D3430" s="2"/>
      <c r="F3430" s="1"/>
      <c r="G3430" s="2"/>
      <c r="H3430" s="2"/>
      <c r="J3430" s="3"/>
      <c r="K3430" s="3"/>
      <c r="L3430" s="3"/>
      <c r="N3430" s="3"/>
      <c r="O3430" s="3"/>
      <c r="P3430" s="3"/>
      <c r="R3430" s="3"/>
    </row>
    <row r="3431" spans="2:18" x14ac:dyDescent="0.2">
      <c r="B3431" s="1"/>
      <c r="C3431" s="2"/>
      <c r="D3431" s="2"/>
      <c r="F3431" s="1"/>
      <c r="G3431" s="2"/>
      <c r="H3431" s="2"/>
      <c r="J3431" s="3"/>
      <c r="K3431" s="3"/>
      <c r="L3431" s="3"/>
      <c r="N3431" s="3"/>
      <c r="O3431" s="3"/>
      <c r="P3431" s="3"/>
      <c r="R3431" s="3"/>
    </row>
    <row r="3432" spans="2:18" x14ac:dyDescent="0.2">
      <c r="B3432" s="1"/>
      <c r="C3432" s="2"/>
      <c r="D3432" s="2"/>
      <c r="F3432" s="1"/>
      <c r="G3432" s="2"/>
      <c r="H3432" s="2"/>
      <c r="J3432" s="3"/>
      <c r="K3432" s="3"/>
      <c r="L3432" s="3"/>
      <c r="N3432" s="3"/>
      <c r="O3432" s="3"/>
      <c r="P3432" s="3"/>
      <c r="R3432" s="3"/>
    </row>
    <row r="3433" spans="2:18" x14ac:dyDescent="0.2">
      <c r="B3433" s="1"/>
      <c r="C3433" s="2"/>
      <c r="D3433" s="2"/>
      <c r="F3433" s="1"/>
      <c r="G3433" s="2"/>
      <c r="H3433" s="2"/>
      <c r="J3433" s="3"/>
      <c r="K3433" s="3"/>
      <c r="L3433" s="3"/>
      <c r="N3433" s="3"/>
      <c r="O3433" s="3"/>
      <c r="P3433" s="3"/>
      <c r="R3433" s="3"/>
    </row>
    <row r="3434" spans="2:18" x14ac:dyDescent="0.2">
      <c r="B3434" s="1"/>
      <c r="C3434" s="2"/>
      <c r="D3434" s="2"/>
      <c r="F3434" s="1"/>
      <c r="G3434" s="2"/>
      <c r="H3434" s="2"/>
      <c r="J3434" s="3"/>
      <c r="K3434" s="3"/>
      <c r="L3434" s="3"/>
      <c r="N3434" s="3"/>
      <c r="O3434" s="3"/>
      <c r="P3434" s="3"/>
      <c r="R3434" s="3"/>
    </row>
    <row r="3435" spans="2:18" x14ac:dyDescent="0.2">
      <c r="B3435" s="1"/>
      <c r="C3435" s="2"/>
      <c r="D3435" s="2"/>
      <c r="F3435" s="1"/>
      <c r="G3435" s="2"/>
      <c r="H3435" s="2"/>
      <c r="J3435" s="3"/>
      <c r="K3435" s="3"/>
      <c r="L3435" s="3"/>
      <c r="N3435" s="3"/>
      <c r="O3435" s="3"/>
      <c r="P3435" s="3"/>
      <c r="R3435" s="3"/>
    </row>
    <row r="3436" spans="2:18" x14ac:dyDescent="0.2">
      <c r="B3436" s="1"/>
      <c r="C3436" s="2"/>
      <c r="D3436" s="2"/>
      <c r="F3436" s="1"/>
      <c r="G3436" s="2"/>
      <c r="H3436" s="2"/>
      <c r="J3436" s="3"/>
      <c r="K3436" s="3"/>
      <c r="L3436" s="3"/>
      <c r="N3436" s="3"/>
      <c r="O3436" s="3"/>
      <c r="P3436" s="3"/>
      <c r="R3436" s="3"/>
    </row>
    <row r="3437" spans="2:18" x14ac:dyDescent="0.2">
      <c r="B3437" s="1"/>
      <c r="C3437" s="2"/>
      <c r="D3437" s="2"/>
      <c r="F3437" s="1"/>
      <c r="G3437" s="2"/>
      <c r="H3437" s="2"/>
      <c r="J3437" s="3"/>
      <c r="K3437" s="3"/>
      <c r="L3437" s="3"/>
      <c r="N3437" s="3"/>
      <c r="O3437" s="3"/>
      <c r="P3437" s="3"/>
      <c r="R3437" s="3"/>
    </row>
    <row r="3438" spans="2:18" x14ac:dyDescent="0.2">
      <c r="B3438" s="1"/>
      <c r="C3438" s="2"/>
      <c r="D3438" s="2"/>
      <c r="F3438" s="1"/>
      <c r="G3438" s="2"/>
      <c r="H3438" s="2"/>
      <c r="J3438" s="3"/>
      <c r="K3438" s="3"/>
      <c r="L3438" s="3"/>
      <c r="N3438" s="3"/>
      <c r="O3438" s="3"/>
      <c r="P3438" s="3"/>
      <c r="R3438" s="3"/>
    </row>
    <row r="3439" spans="2:18" x14ac:dyDescent="0.2">
      <c r="B3439" s="1"/>
      <c r="C3439" s="2"/>
      <c r="D3439" s="2"/>
      <c r="F3439" s="1"/>
      <c r="G3439" s="2"/>
      <c r="H3439" s="2"/>
      <c r="J3439" s="3"/>
      <c r="K3439" s="3"/>
      <c r="L3439" s="3"/>
      <c r="N3439" s="3"/>
      <c r="O3439" s="3"/>
      <c r="P3439" s="3"/>
      <c r="R3439" s="3"/>
    </row>
    <row r="3440" spans="2:18" x14ac:dyDescent="0.2">
      <c r="B3440" s="1"/>
      <c r="C3440" s="2"/>
      <c r="D3440" s="2"/>
      <c r="F3440" s="1"/>
      <c r="G3440" s="2"/>
      <c r="H3440" s="2"/>
      <c r="J3440" s="3"/>
      <c r="K3440" s="3"/>
      <c r="L3440" s="3"/>
      <c r="N3440" s="3"/>
      <c r="O3440" s="3"/>
      <c r="P3440" s="3"/>
      <c r="R3440" s="3"/>
    </row>
    <row r="3441" spans="2:18" x14ac:dyDescent="0.2">
      <c r="B3441" s="1"/>
      <c r="C3441" s="2"/>
      <c r="D3441" s="2"/>
      <c r="F3441" s="1"/>
      <c r="G3441" s="2"/>
      <c r="H3441" s="2"/>
      <c r="J3441" s="3"/>
      <c r="K3441" s="3"/>
      <c r="L3441" s="3"/>
      <c r="N3441" s="3"/>
      <c r="O3441" s="3"/>
      <c r="P3441" s="3"/>
      <c r="R3441" s="3"/>
    </row>
    <row r="3442" spans="2:18" x14ac:dyDescent="0.2">
      <c r="B3442" s="1"/>
      <c r="C3442" s="2"/>
      <c r="D3442" s="2"/>
      <c r="F3442" s="1"/>
      <c r="G3442" s="2"/>
      <c r="H3442" s="2"/>
      <c r="J3442" s="3"/>
      <c r="K3442" s="3"/>
      <c r="L3442" s="3"/>
      <c r="N3442" s="3"/>
      <c r="O3442" s="3"/>
      <c r="P3442" s="3"/>
      <c r="R3442" s="3"/>
    </row>
    <row r="3443" spans="2:18" x14ac:dyDescent="0.2">
      <c r="B3443" s="1"/>
      <c r="C3443" s="2"/>
      <c r="D3443" s="2"/>
      <c r="F3443" s="1"/>
      <c r="G3443" s="2"/>
      <c r="H3443" s="2"/>
      <c r="J3443" s="3"/>
      <c r="K3443" s="3"/>
      <c r="L3443" s="3"/>
      <c r="N3443" s="3"/>
      <c r="O3443" s="3"/>
      <c r="P3443" s="3"/>
      <c r="R3443" s="3"/>
    </row>
    <row r="3444" spans="2:18" x14ac:dyDescent="0.2">
      <c r="B3444" s="1"/>
      <c r="C3444" s="2"/>
      <c r="D3444" s="2"/>
      <c r="F3444" s="1"/>
      <c r="G3444" s="2"/>
      <c r="H3444" s="2"/>
      <c r="J3444" s="3"/>
      <c r="K3444" s="3"/>
      <c r="L3444" s="3"/>
      <c r="N3444" s="3"/>
      <c r="O3444" s="3"/>
      <c r="P3444" s="3"/>
      <c r="R3444" s="3"/>
    </row>
    <row r="3445" spans="2:18" x14ac:dyDescent="0.2">
      <c r="B3445" s="1"/>
      <c r="C3445" s="2"/>
      <c r="D3445" s="2"/>
      <c r="F3445" s="1"/>
      <c r="G3445" s="2"/>
      <c r="H3445" s="2"/>
      <c r="J3445" s="3"/>
      <c r="K3445" s="3"/>
      <c r="L3445" s="3"/>
      <c r="N3445" s="3"/>
      <c r="O3445" s="3"/>
      <c r="P3445" s="3"/>
      <c r="R3445" s="3"/>
    </row>
    <row r="3446" spans="2:18" x14ac:dyDescent="0.2">
      <c r="B3446" s="1"/>
      <c r="C3446" s="2"/>
      <c r="D3446" s="2"/>
      <c r="F3446" s="1"/>
      <c r="G3446" s="2"/>
      <c r="H3446" s="2"/>
      <c r="J3446" s="3"/>
      <c r="K3446" s="3"/>
      <c r="L3446" s="3"/>
      <c r="N3446" s="3"/>
      <c r="O3446" s="3"/>
      <c r="P3446" s="3"/>
      <c r="R3446" s="3"/>
    </row>
    <row r="3447" spans="2:18" x14ac:dyDescent="0.2">
      <c r="B3447" s="1"/>
      <c r="C3447" s="2"/>
      <c r="D3447" s="2"/>
      <c r="F3447" s="1"/>
      <c r="G3447" s="2"/>
      <c r="H3447" s="2"/>
      <c r="J3447" s="3"/>
      <c r="K3447" s="3"/>
      <c r="L3447" s="3"/>
      <c r="N3447" s="3"/>
      <c r="O3447" s="3"/>
      <c r="P3447" s="3"/>
      <c r="R3447" s="3"/>
    </row>
    <row r="3448" spans="2:18" x14ac:dyDescent="0.2">
      <c r="B3448" s="1"/>
      <c r="C3448" s="2"/>
      <c r="D3448" s="2"/>
      <c r="F3448" s="1"/>
      <c r="G3448" s="2"/>
      <c r="H3448" s="2"/>
      <c r="J3448" s="3"/>
      <c r="K3448" s="3"/>
      <c r="L3448" s="3"/>
      <c r="N3448" s="3"/>
      <c r="O3448" s="3"/>
      <c r="P3448" s="3"/>
      <c r="R3448" s="3"/>
    </row>
    <row r="3449" spans="2:18" x14ac:dyDescent="0.2">
      <c r="B3449" s="1"/>
      <c r="C3449" s="2"/>
      <c r="D3449" s="2"/>
      <c r="F3449" s="1"/>
      <c r="G3449" s="2"/>
      <c r="H3449" s="2"/>
      <c r="J3449" s="3"/>
      <c r="K3449" s="3"/>
      <c r="L3449" s="3"/>
      <c r="N3449" s="3"/>
      <c r="O3449" s="3"/>
      <c r="P3449" s="3"/>
      <c r="R3449" s="3"/>
    </row>
    <row r="3450" spans="2:18" x14ac:dyDescent="0.2">
      <c r="B3450" s="1"/>
      <c r="C3450" s="2"/>
      <c r="D3450" s="2"/>
      <c r="F3450" s="1"/>
      <c r="G3450" s="2"/>
      <c r="H3450" s="2"/>
      <c r="J3450" s="3"/>
      <c r="K3450" s="3"/>
      <c r="L3450" s="3"/>
      <c r="N3450" s="3"/>
      <c r="O3450" s="3"/>
      <c r="P3450" s="3"/>
      <c r="R3450" s="3"/>
    </row>
    <row r="3451" spans="2:18" x14ac:dyDescent="0.2">
      <c r="B3451" s="1"/>
      <c r="C3451" s="2"/>
      <c r="D3451" s="2"/>
      <c r="F3451" s="1"/>
      <c r="G3451" s="2"/>
      <c r="H3451" s="2"/>
      <c r="J3451" s="3"/>
      <c r="K3451" s="3"/>
      <c r="L3451" s="3"/>
      <c r="N3451" s="3"/>
      <c r="O3451" s="3"/>
      <c r="P3451" s="3"/>
      <c r="R3451" s="3"/>
    </row>
    <row r="3452" spans="2:18" x14ac:dyDescent="0.2">
      <c r="B3452" s="1"/>
      <c r="C3452" s="2"/>
      <c r="D3452" s="2"/>
      <c r="F3452" s="1"/>
      <c r="G3452" s="2"/>
      <c r="H3452" s="2"/>
      <c r="J3452" s="3"/>
      <c r="K3452" s="3"/>
      <c r="L3452" s="3"/>
      <c r="N3452" s="3"/>
      <c r="O3452" s="3"/>
      <c r="P3452" s="3"/>
      <c r="R3452" s="3"/>
    </row>
    <row r="3453" spans="2:18" x14ac:dyDescent="0.2">
      <c r="B3453" s="1"/>
      <c r="C3453" s="2"/>
      <c r="D3453" s="2"/>
      <c r="F3453" s="1"/>
      <c r="G3453" s="2"/>
      <c r="H3453" s="2"/>
      <c r="J3453" s="3"/>
      <c r="K3453" s="3"/>
      <c r="L3453" s="3"/>
      <c r="N3453" s="3"/>
      <c r="O3453" s="3"/>
      <c r="P3453" s="3"/>
      <c r="R3453" s="3"/>
    </row>
    <row r="3454" spans="2:18" x14ac:dyDescent="0.2">
      <c r="B3454" s="1"/>
      <c r="C3454" s="2"/>
      <c r="D3454" s="2"/>
      <c r="F3454" s="1"/>
      <c r="G3454" s="2"/>
      <c r="H3454" s="2"/>
      <c r="J3454" s="3"/>
      <c r="K3454" s="3"/>
      <c r="L3454" s="3"/>
      <c r="N3454" s="3"/>
      <c r="O3454" s="3"/>
      <c r="P3454" s="3"/>
      <c r="R3454" s="3"/>
    </row>
    <row r="3455" spans="2:18" x14ac:dyDescent="0.2">
      <c r="B3455" s="1"/>
      <c r="C3455" s="2"/>
      <c r="D3455" s="2"/>
      <c r="F3455" s="1"/>
      <c r="G3455" s="2"/>
      <c r="H3455" s="2"/>
      <c r="J3455" s="3"/>
      <c r="K3455" s="3"/>
      <c r="L3455" s="3"/>
      <c r="N3455" s="3"/>
      <c r="O3455" s="3"/>
      <c r="P3455" s="3"/>
      <c r="R3455" s="3"/>
    </row>
    <row r="3456" spans="2:18" x14ac:dyDescent="0.2">
      <c r="B3456" s="1"/>
      <c r="C3456" s="2"/>
      <c r="D3456" s="2"/>
      <c r="F3456" s="1"/>
      <c r="G3456" s="2"/>
      <c r="H3456" s="2"/>
      <c r="J3456" s="3"/>
      <c r="K3456" s="3"/>
      <c r="L3456" s="3"/>
      <c r="N3456" s="3"/>
      <c r="O3456" s="3"/>
      <c r="P3456" s="3"/>
      <c r="R3456" s="3"/>
    </row>
    <row r="3457" spans="2:18" x14ac:dyDescent="0.2">
      <c r="B3457" s="1"/>
      <c r="C3457" s="2"/>
      <c r="D3457" s="2"/>
      <c r="F3457" s="1"/>
      <c r="G3457" s="2"/>
      <c r="H3457" s="2"/>
      <c r="J3457" s="3"/>
      <c r="K3457" s="3"/>
      <c r="L3457" s="3"/>
      <c r="N3457" s="3"/>
      <c r="O3457" s="3"/>
      <c r="P3457" s="3"/>
      <c r="R3457" s="3"/>
    </row>
    <row r="3458" spans="2:18" x14ac:dyDescent="0.2">
      <c r="B3458" s="1"/>
      <c r="C3458" s="2"/>
      <c r="D3458" s="2"/>
      <c r="F3458" s="1"/>
      <c r="G3458" s="2"/>
      <c r="H3458" s="2"/>
      <c r="J3458" s="3"/>
      <c r="K3458" s="3"/>
      <c r="L3458" s="3"/>
      <c r="N3458" s="3"/>
      <c r="O3458" s="3"/>
      <c r="P3458" s="3"/>
      <c r="R3458" s="3"/>
    </row>
    <row r="3459" spans="2:18" x14ac:dyDescent="0.2">
      <c r="B3459" s="1"/>
      <c r="C3459" s="2"/>
      <c r="D3459" s="2"/>
      <c r="F3459" s="1"/>
      <c r="G3459" s="2"/>
      <c r="H3459" s="2"/>
      <c r="J3459" s="3"/>
      <c r="K3459" s="3"/>
      <c r="L3459" s="3"/>
      <c r="N3459" s="3"/>
      <c r="O3459" s="3"/>
      <c r="P3459" s="3"/>
      <c r="R3459" s="3"/>
    </row>
    <row r="3460" spans="2:18" x14ac:dyDescent="0.2">
      <c r="B3460" s="1"/>
      <c r="C3460" s="2"/>
      <c r="D3460" s="2"/>
      <c r="F3460" s="1"/>
      <c r="G3460" s="2"/>
      <c r="H3460" s="2"/>
      <c r="J3460" s="3"/>
      <c r="K3460" s="3"/>
      <c r="L3460" s="3"/>
      <c r="N3460" s="3"/>
      <c r="O3460" s="3"/>
      <c r="P3460" s="3"/>
      <c r="R3460" s="3"/>
    </row>
    <row r="3461" spans="2:18" x14ac:dyDescent="0.2">
      <c r="B3461" s="1"/>
      <c r="C3461" s="2"/>
      <c r="D3461" s="2"/>
      <c r="F3461" s="1"/>
      <c r="G3461" s="2"/>
      <c r="H3461" s="2"/>
      <c r="J3461" s="3"/>
      <c r="K3461" s="3"/>
      <c r="L3461" s="3"/>
      <c r="N3461" s="3"/>
      <c r="O3461" s="3"/>
      <c r="P3461" s="3"/>
      <c r="R3461" s="3"/>
    </row>
    <row r="3462" spans="2:18" x14ac:dyDescent="0.2">
      <c r="B3462" s="1"/>
      <c r="C3462" s="2"/>
      <c r="D3462" s="2"/>
      <c r="F3462" s="1"/>
      <c r="G3462" s="2"/>
      <c r="H3462" s="2"/>
      <c r="J3462" s="3"/>
      <c r="K3462" s="3"/>
      <c r="L3462" s="3"/>
      <c r="N3462" s="3"/>
      <c r="O3462" s="3"/>
      <c r="P3462" s="3"/>
      <c r="R3462" s="3"/>
    </row>
    <row r="3463" spans="2:18" x14ac:dyDescent="0.2">
      <c r="B3463" s="1"/>
      <c r="C3463" s="2"/>
      <c r="D3463" s="2"/>
      <c r="F3463" s="1"/>
      <c r="G3463" s="2"/>
      <c r="H3463" s="2"/>
      <c r="J3463" s="3"/>
      <c r="K3463" s="3"/>
      <c r="L3463" s="3"/>
      <c r="N3463" s="3"/>
      <c r="O3463" s="3"/>
      <c r="P3463" s="3"/>
      <c r="R3463" s="3"/>
    </row>
    <row r="3464" spans="2:18" x14ac:dyDescent="0.2">
      <c r="B3464" s="1"/>
      <c r="C3464" s="2"/>
      <c r="D3464" s="2"/>
      <c r="F3464" s="1"/>
      <c r="G3464" s="2"/>
      <c r="H3464" s="2"/>
      <c r="J3464" s="3"/>
      <c r="K3464" s="3"/>
      <c r="L3464" s="3"/>
      <c r="N3464" s="3"/>
      <c r="O3464" s="3"/>
      <c r="P3464" s="3"/>
      <c r="R3464" s="3"/>
    </row>
    <row r="3465" spans="2:18" x14ac:dyDescent="0.2">
      <c r="B3465" s="1"/>
      <c r="C3465" s="2"/>
      <c r="D3465" s="2"/>
      <c r="F3465" s="1"/>
      <c r="G3465" s="2"/>
      <c r="H3465" s="2"/>
      <c r="J3465" s="3"/>
      <c r="K3465" s="3"/>
      <c r="L3465" s="3"/>
      <c r="N3465" s="3"/>
      <c r="O3465" s="3"/>
      <c r="P3465" s="3"/>
      <c r="R3465" s="3"/>
    </row>
    <row r="3466" spans="2:18" x14ac:dyDescent="0.2">
      <c r="B3466" s="1"/>
      <c r="C3466" s="2"/>
      <c r="D3466" s="2"/>
      <c r="F3466" s="1"/>
      <c r="G3466" s="2"/>
      <c r="H3466" s="2"/>
      <c r="J3466" s="3"/>
      <c r="K3466" s="3"/>
      <c r="L3466" s="3"/>
      <c r="N3466" s="3"/>
      <c r="O3466" s="3"/>
      <c r="P3466" s="3"/>
      <c r="R3466" s="3"/>
    </row>
    <row r="3467" spans="2:18" x14ac:dyDescent="0.2">
      <c r="B3467" s="1"/>
      <c r="C3467" s="2"/>
      <c r="D3467" s="2"/>
      <c r="F3467" s="1"/>
      <c r="G3467" s="2"/>
      <c r="H3467" s="2"/>
      <c r="J3467" s="3"/>
      <c r="K3467" s="3"/>
      <c r="L3467" s="3"/>
      <c r="N3467" s="3"/>
      <c r="O3467" s="3"/>
      <c r="P3467" s="3"/>
      <c r="R3467" s="3"/>
    </row>
    <row r="3468" spans="2:18" x14ac:dyDescent="0.2">
      <c r="B3468" s="1"/>
      <c r="C3468" s="2"/>
      <c r="D3468" s="2"/>
      <c r="F3468" s="1"/>
      <c r="G3468" s="2"/>
      <c r="H3468" s="2"/>
      <c r="J3468" s="3"/>
      <c r="K3468" s="3"/>
      <c r="L3468" s="3"/>
      <c r="N3468" s="3"/>
      <c r="O3468" s="3"/>
      <c r="P3468" s="3"/>
      <c r="R3468" s="3"/>
    </row>
    <row r="3469" spans="2:18" x14ac:dyDescent="0.2">
      <c r="B3469" s="1"/>
      <c r="C3469" s="2"/>
      <c r="D3469" s="2"/>
      <c r="F3469" s="1"/>
      <c r="G3469" s="2"/>
      <c r="H3469" s="2"/>
      <c r="J3469" s="3"/>
      <c r="K3469" s="3"/>
      <c r="L3469" s="3"/>
      <c r="N3469" s="3"/>
      <c r="O3469" s="3"/>
      <c r="P3469" s="3"/>
      <c r="R3469" s="3"/>
    </row>
    <row r="3470" spans="2:18" x14ac:dyDescent="0.2">
      <c r="B3470" s="1"/>
      <c r="C3470" s="2"/>
      <c r="D3470" s="2"/>
      <c r="F3470" s="1"/>
      <c r="G3470" s="2"/>
      <c r="H3470" s="2"/>
      <c r="J3470" s="3"/>
      <c r="K3470" s="3"/>
      <c r="L3470" s="3"/>
      <c r="N3470" s="3"/>
      <c r="O3470" s="3"/>
      <c r="P3470" s="3"/>
      <c r="R3470" s="3"/>
    </row>
    <row r="3471" spans="2:18" x14ac:dyDescent="0.2">
      <c r="B3471" s="1"/>
      <c r="C3471" s="2"/>
      <c r="D3471" s="2"/>
      <c r="F3471" s="1"/>
      <c r="G3471" s="2"/>
      <c r="H3471" s="2"/>
      <c r="J3471" s="3"/>
      <c r="K3471" s="3"/>
      <c r="L3471" s="3"/>
      <c r="N3471" s="3"/>
      <c r="O3471" s="3"/>
      <c r="P3471" s="3"/>
      <c r="R3471" s="3"/>
    </row>
    <row r="3472" spans="2:18" x14ac:dyDescent="0.2">
      <c r="B3472" s="1"/>
      <c r="C3472" s="2"/>
      <c r="D3472" s="2"/>
      <c r="F3472" s="1"/>
      <c r="G3472" s="2"/>
      <c r="H3472" s="2"/>
      <c r="J3472" s="3"/>
      <c r="K3472" s="3"/>
      <c r="L3472" s="3"/>
      <c r="N3472" s="3"/>
      <c r="O3472" s="3"/>
      <c r="P3472" s="3"/>
      <c r="R3472" s="3"/>
    </row>
    <row r="3473" spans="2:18" x14ac:dyDescent="0.2">
      <c r="B3473" s="1"/>
      <c r="C3473" s="2"/>
      <c r="D3473" s="2"/>
      <c r="F3473" s="1"/>
      <c r="G3473" s="2"/>
      <c r="H3473" s="2"/>
      <c r="J3473" s="3"/>
      <c r="K3473" s="3"/>
      <c r="L3473" s="3"/>
      <c r="N3473" s="3"/>
      <c r="O3473" s="3"/>
      <c r="P3473" s="3"/>
      <c r="R3473" s="3"/>
    </row>
    <row r="3474" spans="2:18" x14ac:dyDescent="0.2">
      <c r="B3474" s="1"/>
      <c r="C3474" s="2"/>
      <c r="D3474" s="2"/>
      <c r="F3474" s="1"/>
      <c r="G3474" s="2"/>
      <c r="H3474" s="2"/>
      <c r="J3474" s="3"/>
      <c r="K3474" s="3"/>
      <c r="L3474" s="3"/>
      <c r="N3474" s="3"/>
      <c r="O3474" s="3"/>
      <c r="P3474" s="3"/>
      <c r="R3474" s="3"/>
    </row>
    <row r="3475" spans="2:18" x14ac:dyDescent="0.2">
      <c r="B3475" s="1"/>
      <c r="C3475" s="2"/>
      <c r="D3475" s="2"/>
      <c r="F3475" s="1"/>
      <c r="G3475" s="2"/>
      <c r="H3475" s="2"/>
      <c r="J3475" s="3"/>
      <c r="K3475" s="3"/>
      <c r="L3475" s="3"/>
      <c r="N3475" s="3"/>
      <c r="O3475" s="3"/>
      <c r="P3475" s="3"/>
      <c r="R3475" s="3"/>
    </row>
    <row r="3476" spans="2:18" x14ac:dyDescent="0.2">
      <c r="B3476" s="1"/>
      <c r="C3476" s="2"/>
      <c r="D3476" s="2"/>
      <c r="F3476" s="1"/>
      <c r="G3476" s="2"/>
      <c r="H3476" s="2"/>
      <c r="J3476" s="3"/>
      <c r="K3476" s="3"/>
      <c r="L3476" s="3"/>
      <c r="N3476" s="3"/>
      <c r="O3476" s="3"/>
      <c r="P3476" s="3"/>
      <c r="R3476" s="3"/>
    </row>
    <row r="3477" spans="2:18" x14ac:dyDescent="0.2">
      <c r="B3477" s="1"/>
      <c r="C3477" s="2"/>
      <c r="D3477" s="2"/>
      <c r="F3477" s="1"/>
      <c r="G3477" s="2"/>
      <c r="H3477" s="2"/>
      <c r="J3477" s="3"/>
      <c r="K3477" s="3"/>
      <c r="L3477" s="3"/>
      <c r="N3477" s="3"/>
      <c r="O3477" s="3"/>
      <c r="P3477" s="3"/>
      <c r="R3477" s="3"/>
    </row>
    <row r="3478" spans="2:18" x14ac:dyDescent="0.2">
      <c r="B3478" s="1"/>
      <c r="C3478" s="2"/>
      <c r="D3478" s="2"/>
      <c r="F3478" s="1"/>
      <c r="G3478" s="2"/>
      <c r="H3478" s="2"/>
      <c r="J3478" s="3"/>
      <c r="K3478" s="3"/>
      <c r="L3478" s="3"/>
      <c r="N3478" s="3"/>
      <c r="O3478" s="3"/>
      <c r="P3478" s="3"/>
      <c r="R3478" s="3"/>
    </row>
    <row r="3479" spans="2:18" x14ac:dyDescent="0.2">
      <c r="B3479" s="1"/>
      <c r="C3479" s="2"/>
      <c r="D3479" s="2"/>
      <c r="F3479" s="1"/>
      <c r="G3479" s="2"/>
      <c r="H3479" s="2"/>
      <c r="J3479" s="3"/>
      <c r="K3479" s="3"/>
      <c r="L3479" s="3"/>
      <c r="N3479" s="3"/>
      <c r="O3479" s="3"/>
      <c r="P3479" s="3"/>
      <c r="R3479" s="3"/>
    </row>
    <row r="3480" spans="2:18" x14ac:dyDescent="0.2">
      <c r="B3480" s="1"/>
      <c r="C3480" s="2"/>
      <c r="D3480" s="2"/>
      <c r="F3480" s="1"/>
      <c r="G3480" s="2"/>
      <c r="H3480" s="2"/>
      <c r="J3480" s="3"/>
      <c r="K3480" s="3"/>
      <c r="L3480" s="3"/>
      <c r="N3480" s="3"/>
      <c r="O3480" s="3"/>
      <c r="P3480" s="3"/>
      <c r="R3480" s="3"/>
    </row>
    <row r="3481" spans="2:18" x14ac:dyDescent="0.2">
      <c r="B3481" s="1"/>
      <c r="C3481" s="2"/>
      <c r="D3481" s="2"/>
      <c r="F3481" s="1"/>
      <c r="G3481" s="2"/>
      <c r="H3481" s="2"/>
      <c r="J3481" s="3"/>
      <c r="K3481" s="3"/>
      <c r="L3481" s="3"/>
      <c r="N3481" s="3"/>
      <c r="O3481" s="3"/>
      <c r="P3481" s="3"/>
      <c r="R3481" s="3"/>
    </row>
    <row r="3482" spans="2:18" x14ac:dyDescent="0.2">
      <c r="B3482" s="1"/>
      <c r="C3482" s="2"/>
      <c r="D3482" s="2"/>
      <c r="F3482" s="1"/>
      <c r="G3482" s="2"/>
      <c r="H3482" s="2"/>
      <c r="J3482" s="3"/>
      <c r="K3482" s="3"/>
      <c r="L3482" s="3"/>
      <c r="N3482" s="3"/>
      <c r="O3482" s="3"/>
      <c r="P3482" s="3"/>
      <c r="R3482" s="3"/>
    </row>
    <row r="3483" spans="2:18" x14ac:dyDescent="0.2">
      <c r="B3483" s="1"/>
      <c r="C3483" s="2"/>
      <c r="D3483" s="2"/>
      <c r="F3483" s="1"/>
      <c r="G3483" s="2"/>
      <c r="H3483" s="2"/>
      <c r="J3483" s="3"/>
      <c r="K3483" s="3"/>
      <c r="L3483" s="3"/>
      <c r="N3483" s="3"/>
      <c r="O3483" s="3"/>
      <c r="P3483" s="3"/>
      <c r="R3483" s="3"/>
    </row>
    <row r="3484" spans="2:18" x14ac:dyDescent="0.2">
      <c r="B3484" s="1"/>
      <c r="C3484" s="2"/>
      <c r="D3484" s="2"/>
      <c r="F3484" s="1"/>
      <c r="G3484" s="2"/>
      <c r="H3484" s="2"/>
      <c r="J3484" s="3"/>
      <c r="K3484" s="3"/>
      <c r="L3484" s="3"/>
      <c r="N3484" s="3"/>
      <c r="O3484" s="3"/>
      <c r="P3484" s="3"/>
      <c r="R3484" s="3"/>
    </row>
    <row r="3485" spans="2:18" x14ac:dyDescent="0.2">
      <c r="B3485" s="1"/>
      <c r="C3485" s="2"/>
      <c r="D3485" s="2"/>
      <c r="F3485" s="1"/>
      <c r="G3485" s="2"/>
      <c r="H3485" s="2"/>
      <c r="J3485" s="3"/>
      <c r="K3485" s="3"/>
      <c r="L3485" s="3"/>
      <c r="N3485" s="3"/>
      <c r="O3485" s="3"/>
      <c r="P3485" s="3"/>
      <c r="R3485" s="3"/>
    </row>
    <row r="3486" spans="2:18" x14ac:dyDescent="0.2">
      <c r="B3486" s="1"/>
      <c r="C3486" s="2"/>
      <c r="D3486" s="2"/>
      <c r="F3486" s="1"/>
      <c r="G3486" s="2"/>
      <c r="H3486" s="2"/>
      <c r="J3486" s="3"/>
      <c r="K3486" s="3"/>
      <c r="L3486" s="3"/>
      <c r="N3486" s="3"/>
      <c r="O3486" s="3"/>
      <c r="P3486" s="3"/>
      <c r="R3486" s="3"/>
    </row>
    <row r="3487" spans="2:18" x14ac:dyDescent="0.2">
      <c r="B3487" s="1"/>
      <c r="C3487" s="2"/>
      <c r="D3487" s="2"/>
      <c r="F3487" s="1"/>
      <c r="G3487" s="2"/>
      <c r="H3487" s="2"/>
      <c r="J3487" s="3"/>
      <c r="K3487" s="3"/>
      <c r="L3487" s="3"/>
      <c r="N3487" s="3"/>
      <c r="O3487" s="3"/>
      <c r="P3487" s="3"/>
      <c r="R3487" s="3"/>
    </row>
    <row r="3488" spans="2:18" x14ac:dyDescent="0.2">
      <c r="B3488" s="1"/>
      <c r="C3488" s="2"/>
      <c r="D3488" s="2"/>
      <c r="F3488" s="1"/>
      <c r="G3488" s="2"/>
      <c r="H3488" s="2"/>
      <c r="J3488" s="3"/>
      <c r="K3488" s="3"/>
      <c r="L3488" s="3"/>
      <c r="N3488" s="3"/>
      <c r="O3488" s="3"/>
      <c r="P3488" s="3"/>
      <c r="R3488" s="3"/>
    </row>
    <row r="3489" spans="2:18" x14ac:dyDescent="0.2">
      <c r="B3489" s="1"/>
      <c r="C3489" s="2"/>
      <c r="D3489" s="2"/>
      <c r="F3489" s="1"/>
      <c r="G3489" s="2"/>
      <c r="H3489" s="2"/>
      <c r="J3489" s="3"/>
      <c r="K3489" s="3"/>
      <c r="L3489" s="3"/>
      <c r="N3489" s="3"/>
      <c r="O3489" s="3"/>
      <c r="P3489" s="3"/>
      <c r="R3489" s="3"/>
    </row>
    <row r="3490" spans="2:18" x14ac:dyDescent="0.2">
      <c r="B3490" s="1"/>
      <c r="C3490" s="2"/>
      <c r="D3490" s="2"/>
      <c r="F3490" s="1"/>
      <c r="G3490" s="2"/>
      <c r="H3490" s="2"/>
      <c r="J3490" s="3"/>
      <c r="K3490" s="3"/>
      <c r="L3490" s="3"/>
      <c r="N3490" s="3"/>
      <c r="O3490" s="3"/>
      <c r="P3490" s="3"/>
      <c r="R3490" s="3"/>
    </row>
    <row r="3491" spans="2:18" x14ac:dyDescent="0.2">
      <c r="B3491" s="1"/>
      <c r="C3491" s="2"/>
      <c r="D3491" s="2"/>
      <c r="F3491" s="1"/>
      <c r="G3491" s="2"/>
      <c r="H3491" s="2"/>
      <c r="J3491" s="3"/>
      <c r="K3491" s="3"/>
      <c r="L3491" s="3"/>
      <c r="N3491" s="3"/>
      <c r="O3491" s="3"/>
      <c r="P3491" s="3"/>
      <c r="R3491" s="3"/>
    </row>
    <row r="3492" spans="2:18" x14ac:dyDescent="0.2">
      <c r="B3492" s="1"/>
      <c r="C3492" s="2"/>
      <c r="D3492" s="2"/>
      <c r="F3492" s="1"/>
      <c r="G3492" s="2"/>
      <c r="H3492" s="2"/>
      <c r="J3492" s="3"/>
      <c r="K3492" s="3"/>
      <c r="L3492" s="3"/>
      <c r="N3492" s="3"/>
      <c r="O3492" s="3"/>
      <c r="P3492" s="3"/>
      <c r="R3492" s="3"/>
    </row>
    <row r="3493" spans="2:18" x14ac:dyDescent="0.2">
      <c r="B3493" s="1"/>
      <c r="C3493" s="2"/>
      <c r="D3493" s="2"/>
      <c r="F3493" s="1"/>
      <c r="G3493" s="2"/>
      <c r="H3493" s="2"/>
      <c r="J3493" s="3"/>
      <c r="K3493" s="3"/>
      <c r="L3493" s="3"/>
      <c r="N3493" s="3"/>
      <c r="O3493" s="3"/>
      <c r="P3493" s="3"/>
      <c r="R3493" s="3"/>
    </row>
    <row r="3494" spans="2:18" x14ac:dyDescent="0.2">
      <c r="B3494" s="1"/>
      <c r="C3494" s="2"/>
      <c r="D3494" s="2"/>
      <c r="F3494" s="1"/>
      <c r="G3494" s="2"/>
      <c r="H3494" s="2"/>
      <c r="J3494" s="3"/>
      <c r="K3494" s="3"/>
      <c r="L3494" s="3"/>
      <c r="N3494" s="3"/>
      <c r="O3494" s="3"/>
      <c r="P3494" s="3"/>
      <c r="R3494" s="3"/>
    </row>
    <row r="3495" spans="2:18" x14ac:dyDescent="0.2">
      <c r="B3495" s="1"/>
      <c r="C3495" s="2"/>
      <c r="D3495" s="2"/>
      <c r="F3495" s="1"/>
      <c r="G3495" s="2"/>
      <c r="H3495" s="2"/>
      <c r="J3495" s="3"/>
      <c r="K3495" s="3"/>
      <c r="L3495" s="3"/>
      <c r="N3495" s="3"/>
      <c r="O3495" s="3"/>
      <c r="P3495" s="3"/>
      <c r="R3495" s="3"/>
    </row>
    <row r="3496" spans="2:18" x14ac:dyDescent="0.2">
      <c r="B3496" s="1"/>
      <c r="C3496" s="2"/>
      <c r="D3496" s="2"/>
      <c r="F3496" s="1"/>
      <c r="G3496" s="2"/>
      <c r="H3496" s="2"/>
      <c r="J3496" s="3"/>
      <c r="K3496" s="3"/>
      <c r="L3496" s="3"/>
      <c r="N3496" s="3"/>
      <c r="O3496" s="3"/>
      <c r="P3496" s="3"/>
      <c r="R3496" s="3"/>
    </row>
    <row r="3497" spans="2:18" x14ac:dyDescent="0.2">
      <c r="B3497" s="1"/>
      <c r="C3497" s="2"/>
      <c r="D3497" s="2"/>
      <c r="F3497" s="1"/>
      <c r="G3497" s="2"/>
      <c r="H3497" s="2"/>
      <c r="J3497" s="3"/>
      <c r="K3497" s="3"/>
      <c r="L3497" s="3"/>
      <c r="N3497" s="3"/>
      <c r="O3497" s="3"/>
      <c r="P3497" s="3"/>
      <c r="R3497" s="3"/>
    </row>
    <row r="3498" spans="2:18" x14ac:dyDescent="0.2">
      <c r="B3498" s="1"/>
      <c r="C3498" s="2"/>
      <c r="D3498" s="2"/>
      <c r="F3498" s="1"/>
      <c r="G3498" s="2"/>
      <c r="H3498" s="2"/>
      <c r="J3498" s="3"/>
      <c r="K3498" s="3"/>
      <c r="L3498" s="3"/>
      <c r="N3498" s="3"/>
      <c r="O3498" s="3"/>
      <c r="P3498" s="3"/>
      <c r="R3498" s="3"/>
    </row>
    <row r="3499" spans="2:18" x14ac:dyDescent="0.2">
      <c r="B3499" s="1"/>
      <c r="C3499" s="2"/>
      <c r="D3499" s="2"/>
      <c r="F3499" s="1"/>
      <c r="G3499" s="2"/>
      <c r="H3499" s="2"/>
      <c r="J3499" s="3"/>
      <c r="K3499" s="3"/>
      <c r="L3499" s="3"/>
      <c r="N3499" s="3"/>
      <c r="O3499" s="3"/>
      <c r="P3499" s="3"/>
      <c r="R3499" s="3"/>
    </row>
    <row r="3500" spans="2:18" x14ac:dyDescent="0.2">
      <c r="B3500" s="1"/>
      <c r="C3500" s="2"/>
      <c r="D3500" s="2"/>
      <c r="F3500" s="1"/>
      <c r="G3500" s="2"/>
      <c r="H3500" s="2"/>
      <c r="J3500" s="3"/>
      <c r="K3500" s="3"/>
      <c r="L3500" s="3"/>
      <c r="N3500" s="3"/>
      <c r="O3500" s="3"/>
      <c r="P3500" s="3"/>
      <c r="R3500" s="3"/>
    </row>
    <row r="3501" spans="2:18" x14ac:dyDescent="0.2">
      <c r="B3501" s="1"/>
      <c r="C3501" s="2"/>
      <c r="D3501" s="2"/>
      <c r="F3501" s="1"/>
      <c r="G3501" s="2"/>
      <c r="H3501" s="2"/>
      <c r="J3501" s="3"/>
      <c r="K3501" s="3"/>
      <c r="L3501" s="3"/>
      <c r="N3501" s="3"/>
      <c r="O3501" s="3"/>
      <c r="P3501" s="3"/>
      <c r="R3501" s="3"/>
    </row>
    <row r="3502" spans="2:18" x14ac:dyDescent="0.2">
      <c r="B3502" s="1"/>
      <c r="C3502" s="2"/>
      <c r="D3502" s="2"/>
      <c r="F3502" s="1"/>
      <c r="G3502" s="2"/>
      <c r="H3502" s="2"/>
      <c r="J3502" s="3"/>
      <c r="K3502" s="3"/>
      <c r="L3502" s="3"/>
      <c r="N3502" s="3"/>
      <c r="O3502" s="3"/>
      <c r="P3502" s="3"/>
      <c r="R3502" s="3"/>
    </row>
    <row r="3503" spans="2:18" x14ac:dyDescent="0.2">
      <c r="B3503" s="1"/>
      <c r="C3503" s="2"/>
      <c r="D3503" s="2"/>
      <c r="F3503" s="1"/>
      <c r="G3503" s="2"/>
      <c r="H3503" s="2"/>
      <c r="J3503" s="3"/>
      <c r="K3503" s="3"/>
      <c r="L3503" s="3"/>
      <c r="N3503" s="3"/>
      <c r="O3503" s="3"/>
      <c r="P3503" s="3"/>
      <c r="R3503" s="3"/>
    </row>
    <row r="3504" spans="2:18" x14ac:dyDescent="0.2">
      <c r="B3504" s="1"/>
      <c r="C3504" s="2"/>
      <c r="D3504" s="2"/>
      <c r="F3504" s="1"/>
      <c r="G3504" s="2"/>
      <c r="H3504" s="2"/>
      <c r="J3504" s="3"/>
      <c r="K3504" s="3"/>
      <c r="L3504" s="3"/>
      <c r="N3504" s="3"/>
      <c r="O3504" s="3"/>
      <c r="P3504" s="3"/>
      <c r="R3504" s="3"/>
    </row>
    <row r="3505" spans="2:18" x14ac:dyDescent="0.2">
      <c r="B3505" s="1"/>
      <c r="C3505" s="2"/>
      <c r="D3505" s="2"/>
      <c r="F3505" s="1"/>
      <c r="G3505" s="2"/>
      <c r="H3505" s="2"/>
      <c r="J3505" s="3"/>
      <c r="K3505" s="3"/>
      <c r="L3505" s="3"/>
      <c r="N3505" s="3"/>
      <c r="O3505" s="3"/>
      <c r="P3505" s="3"/>
      <c r="R3505" s="3"/>
    </row>
    <row r="3506" spans="2:18" x14ac:dyDescent="0.2">
      <c r="B3506" s="1"/>
      <c r="C3506" s="2"/>
      <c r="D3506" s="2"/>
      <c r="F3506" s="1"/>
      <c r="G3506" s="2"/>
      <c r="H3506" s="2"/>
      <c r="J3506" s="3"/>
      <c r="K3506" s="3"/>
      <c r="L3506" s="3"/>
      <c r="N3506" s="3"/>
      <c r="O3506" s="3"/>
      <c r="P3506" s="3"/>
      <c r="R3506" s="3"/>
    </row>
    <row r="3507" spans="2:18" x14ac:dyDescent="0.2">
      <c r="B3507" s="1"/>
      <c r="C3507" s="2"/>
      <c r="D3507" s="2"/>
      <c r="F3507" s="1"/>
      <c r="G3507" s="2"/>
      <c r="H3507" s="2"/>
      <c r="J3507" s="3"/>
      <c r="K3507" s="3"/>
      <c r="L3507" s="3"/>
      <c r="N3507" s="3"/>
      <c r="O3507" s="3"/>
      <c r="P3507" s="3"/>
      <c r="R3507" s="3"/>
    </row>
    <row r="3508" spans="2:18" x14ac:dyDescent="0.2">
      <c r="B3508" s="1"/>
      <c r="C3508" s="2"/>
      <c r="D3508" s="2"/>
      <c r="F3508" s="1"/>
      <c r="G3508" s="2"/>
      <c r="H3508" s="2"/>
      <c r="J3508" s="3"/>
      <c r="K3508" s="3"/>
      <c r="L3508" s="3"/>
      <c r="N3508" s="3"/>
      <c r="O3508" s="3"/>
      <c r="P3508" s="3"/>
      <c r="R3508" s="3"/>
    </row>
    <row r="3509" spans="2:18" x14ac:dyDescent="0.2">
      <c r="B3509" s="1"/>
      <c r="C3509" s="2"/>
      <c r="D3509" s="2"/>
      <c r="F3509" s="1"/>
      <c r="G3509" s="2"/>
      <c r="H3509" s="2"/>
      <c r="J3509" s="3"/>
      <c r="K3509" s="3"/>
      <c r="L3509" s="3"/>
      <c r="N3509" s="3"/>
      <c r="O3509" s="3"/>
      <c r="P3509" s="3"/>
      <c r="R3509" s="3"/>
    </row>
    <row r="3510" spans="2:18" x14ac:dyDescent="0.2">
      <c r="B3510" s="1"/>
      <c r="C3510" s="2"/>
      <c r="D3510" s="2"/>
      <c r="F3510" s="1"/>
      <c r="G3510" s="2"/>
      <c r="H3510" s="2"/>
      <c r="J3510" s="3"/>
      <c r="K3510" s="3"/>
      <c r="L3510" s="3"/>
      <c r="N3510" s="3"/>
      <c r="O3510" s="3"/>
      <c r="P3510" s="3"/>
      <c r="R3510" s="3"/>
    </row>
    <row r="3511" spans="2:18" x14ac:dyDescent="0.2">
      <c r="B3511" s="1"/>
      <c r="C3511" s="2"/>
      <c r="D3511" s="2"/>
      <c r="F3511" s="1"/>
      <c r="G3511" s="2"/>
      <c r="H3511" s="2"/>
      <c r="J3511" s="3"/>
      <c r="K3511" s="3"/>
      <c r="L3511" s="3"/>
      <c r="N3511" s="3"/>
      <c r="O3511" s="3"/>
      <c r="P3511" s="3"/>
      <c r="R3511" s="3"/>
    </row>
    <row r="3512" spans="2:18" x14ac:dyDescent="0.2">
      <c r="B3512" s="1"/>
      <c r="C3512" s="2"/>
      <c r="D3512" s="2"/>
      <c r="F3512" s="1"/>
      <c r="G3512" s="2"/>
      <c r="H3512" s="2"/>
      <c r="J3512" s="3"/>
      <c r="K3512" s="3"/>
      <c r="L3512" s="3"/>
      <c r="N3512" s="3"/>
      <c r="O3512" s="3"/>
      <c r="P3512" s="3"/>
      <c r="R3512" s="3"/>
    </row>
    <row r="3513" spans="2:18" x14ac:dyDescent="0.2">
      <c r="B3513" s="1"/>
      <c r="C3513" s="2"/>
      <c r="D3513" s="2"/>
      <c r="F3513" s="1"/>
      <c r="G3513" s="2"/>
      <c r="H3513" s="2"/>
      <c r="J3513" s="3"/>
      <c r="K3513" s="3"/>
      <c r="L3513" s="3"/>
      <c r="N3513" s="3"/>
      <c r="O3513" s="3"/>
      <c r="P3513" s="3"/>
      <c r="R3513" s="3"/>
    </row>
    <row r="3514" spans="2:18" x14ac:dyDescent="0.2">
      <c r="B3514" s="1"/>
      <c r="C3514" s="2"/>
      <c r="D3514" s="2"/>
      <c r="F3514" s="1"/>
      <c r="G3514" s="2"/>
      <c r="H3514" s="2"/>
      <c r="J3514" s="3"/>
      <c r="K3514" s="3"/>
      <c r="L3514" s="3"/>
      <c r="N3514" s="3"/>
      <c r="O3514" s="3"/>
      <c r="P3514" s="3"/>
      <c r="R3514" s="3"/>
    </row>
    <row r="3515" spans="2:18" x14ac:dyDescent="0.2">
      <c r="B3515" s="1"/>
      <c r="C3515" s="2"/>
      <c r="D3515" s="2"/>
      <c r="F3515" s="1"/>
      <c r="G3515" s="2"/>
      <c r="H3515" s="2"/>
      <c r="J3515" s="3"/>
      <c r="K3515" s="3"/>
      <c r="L3515" s="3"/>
      <c r="N3515" s="3"/>
      <c r="O3515" s="3"/>
      <c r="P3515" s="3"/>
      <c r="R3515" s="3"/>
    </row>
    <row r="3516" spans="2:18" x14ac:dyDescent="0.2">
      <c r="B3516" s="1"/>
      <c r="C3516" s="2"/>
      <c r="D3516" s="2"/>
      <c r="F3516" s="1"/>
      <c r="G3516" s="2"/>
      <c r="H3516" s="2"/>
      <c r="J3516" s="3"/>
      <c r="K3516" s="3"/>
      <c r="L3516" s="3"/>
      <c r="N3516" s="3"/>
      <c r="O3516" s="3"/>
      <c r="P3516" s="3"/>
      <c r="R3516" s="3"/>
    </row>
    <row r="3517" spans="2:18" x14ac:dyDescent="0.2">
      <c r="B3517" s="1"/>
      <c r="C3517" s="2"/>
      <c r="D3517" s="2"/>
      <c r="F3517" s="1"/>
      <c r="G3517" s="2"/>
      <c r="H3517" s="2"/>
      <c r="J3517" s="3"/>
      <c r="K3517" s="3"/>
      <c r="L3517" s="3"/>
      <c r="N3517" s="3"/>
      <c r="O3517" s="3"/>
      <c r="P3517" s="3"/>
      <c r="R3517" s="3"/>
    </row>
    <row r="3518" spans="2:18" x14ac:dyDescent="0.2">
      <c r="B3518" s="1"/>
      <c r="C3518" s="2"/>
      <c r="D3518" s="2"/>
      <c r="F3518" s="1"/>
      <c r="G3518" s="2"/>
      <c r="H3518" s="2"/>
      <c r="J3518" s="3"/>
      <c r="K3518" s="3"/>
      <c r="L3518" s="3"/>
      <c r="N3518" s="3"/>
      <c r="O3518" s="3"/>
      <c r="P3518" s="3"/>
      <c r="R3518" s="3"/>
    </row>
    <row r="3519" spans="2:18" x14ac:dyDescent="0.2">
      <c r="B3519" s="1"/>
      <c r="C3519" s="2"/>
      <c r="D3519" s="2"/>
      <c r="F3519" s="1"/>
      <c r="G3519" s="2"/>
      <c r="H3519" s="2"/>
      <c r="J3519" s="3"/>
      <c r="K3519" s="3"/>
      <c r="L3519" s="3"/>
      <c r="N3519" s="3"/>
      <c r="O3519" s="3"/>
      <c r="P3519" s="3"/>
      <c r="R3519" s="3"/>
    </row>
    <row r="3520" spans="2:18" x14ac:dyDescent="0.2">
      <c r="B3520" s="1"/>
      <c r="C3520" s="2"/>
      <c r="D3520" s="2"/>
      <c r="F3520" s="1"/>
      <c r="G3520" s="2"/>
      <c r="H3520" s="2"/>
      <c r="J3520" s="3"/>
      <c r="K3520" s="3"/>
      <c r="L3520" s="3"/>
      <c r="N3520" s="3"/>
      <c r="O3520" s="3"/>
      <c r="P3520" s="3"/>
      <c r="R3520" s="3"/>
    </row>
    <row r="3521" spans="2:18" x14ac:dyDescent="0.2">
      <c r="B3521" s="1"/>
      <c r="C3521" s="2"/>
      <c r="D3521" s="2"/>
      <c r="F3521" s="1"/>
      <c r="G3521" s="2"/>
      <c r="H3521" s="2"/>
      <c r="J3521" s="3"/>
      <c r="K3521" s="3"/>
      <c r="L3521" s="3"/>
      <c r="N3521" s="3"/>
      <c r="O3521" s="3"/>
      <c r="P3521" s="3"/>
      <c r="R3521" s="3"/>
    </row>
    <row r="3522" spans="2:18" x14ac:dyDescent="0.2">
      <c r="B3522" s="1"/>
      <c r="C3522" s="2"/>
      <c r="D3522" s="2"/>
      <c r="F3522" s="1"/>
      <c r="G3522" s="2"/>
      <c r="H3522" s="2"/>
      <c r="J3522" s="3"/>
      <c r="K3522" s="3"/>
      <c r="L3522" s="3"/>
      <c r="N3522" s="3"/>
      <c r="O3522" s="3"/>
      <c r="P3522" s="3"/>
      <c r="R3522" s="3"/>
    </row>
    <row r="3523" spans="2:18" x14ac:dyDescent="0.2">
      <c r="B3523" s="1"/>
      <c r="C3523" s="2"/>
      <c r="D3523" s="2"/>
      <c r="F3523" s="1"/>
      <c r="G3523" s="2"/>
      <c r="H3523" s="2"/>
      <c r="J3523" s="3"/>
      <c r="K3523" s="3"/>
      <c r="L3523" s="3"/>
      <c r="N3523" s="3"/>
      <c r="O3523" s="3"/>
      <c r="P3523" s="3"/>
      <c r="R3523" s="3"/>
    </row>
    <row r="3524" spans="2:18" x14ac:dyDescent="0.2">
      <c r="B3524" s="1"/>
      <c r="C3524" s="2"/>
      <c r="D3524" s="2"/>
      <c r="F3524" s="1"/>
      <c r="G3524" s="2"/>
      <c r="H3524" s="2"/>
      <c r="J3524" s="3"/>
      <c r="K3524" s="3"/>
      <c r="L3524" s="3"/>
      <c r="N3524" s="3"/>
      <c r="O3524" s="3"/>
      <c r="P3524" s="3"/>
      <c r="R3524" s="3"/>
    </row>
    <row r="3525" spans="2:18" x14ac:dyDescent="0.2">
      <c r="B3525" s="1"/>
      <c r="C3525" s="2"/>
      <c r="D3525" s="2"/>
      <c r="F3525" s="1"/>
      <c r="G3525" s="2"/>
      <c r="H3525" s="2"/>
      <c r="J3525" s="3"/>
      <c r="K3525" s="3"/>
      <c r="L3525" s="3"/>
      <c r="N3525" s="3"/>
      <c r="O3525" s="3"/>
      <c r="P3525" s="3"/>
      <c r="R3525" s="3"/>
    </row>
    <row r="3526" spans="2:18" x14ac:dyDescent="0.2">
      <c r="B3526" s="1"/>
      <c r="C3526" s="2"/>
      <c r="D3526" s="2"/>
      <c r="F3526" s="1"/>
      <c r="G3526" s="2"/>
      <c r="H3526" s="2"/>
      <c r="J3526" s="3"/>
      <c r="K3526" s="3"/>
      <c r="L3526" s="3"/>
      <c r="N3526" s="3"/>
      <c r="O3526" s="3"/>
      <c r="P3526" s="3"/>
      <c r="R3526" s="3"/>
    </row>
    <row r="3527" spans="2:18" x14ac:dyDescent="0.2">
      <c r="B3527" s="1"/>
      <c r="C3527" s="2"/>
      <c r="D3527" s="2"/>
      <c r="F3527" s="1"/>
      <c r="G3527" s="2"/>
      <c r="H3527" s="2"/>
      <c r="J3527" s="3"/>
      <c r="K3527" s="3"/>
      <c r="L3527" s="3"/>
      <c r="N3527" s="3"/>
      <c r="O3527" s="3"/>
      <c r="P3527" s="3"/>
      <c r="R3527" s="3"/>
    </row>
    <row r="3528" spans="2:18" x14ac:dyDescent="0.2">
      <c r="B3528" s="1"/>
      <c r="C3528" s="2"/>
      <c r="D3528" s="2"/>
      <c r="F3528" s="1"/>
      <c r="G3528" s="2"/>
      <c r="H3528" s="2"/>
      <c r="J3528" s="3"/>
      <c r="K3528" s="3"/>
      <c r="L3528" s="3"/>
      <c r="N3528" s="3"/>
      <c r="O3528" s="3"/>
      <c r="P3528" s="3"/>
      <c r="R3528" s="3"/>
    </row>
    <row r="3529" spans="2:18" x14ac:dyDescent="0.2">
      <c r="B3529" s="1"/>
      <c r="C3529" s="2"/>
      <c r="D3529" s="2"/>
      <c r="F3529" s="1"/>
      <c r="G3529" s="2"/>
      <c r="H3529" s="2"/>
      <c r="J3529" s="3"/>
      <c r="K3529" s="3"/>
      <c r="L3529" s="3"/>
      <c r="N3529" s="3"/>
      <c r="O3529" s="3"/>
      <c r="P3529" s="3"/>
      <c r="R3529" s="3"/>
    </row>
    <row r="3530" spans="2:18" x14ac:dyDescent="0.2">
      <c r="B3530" s="1"/>
      <c r="C3530" s="2"/>
      <c r="D3530" s="2"/>
      <c r="F3530" s="1"/>
      <c r="G3530" s="2"/>
      <c r="H3530" s="2"/>
      <c r="J3530" s="3"/>
      <c r="K3530" s="3"/>
      <c r="L3530" s="3"/>
      <c r="N3530" s="3"/>
      <c r="O3530" s="3"/>
      <c r="P3530" s="3"/>
      <c r="R3530" s="3"/>
    </row>
    <row r="3531" spans="2:18" x14ac:dyDescent="0.2">
      <c r="B3531" s="1"/>
      <c r="C3531" s="2"/>
      <c r="D3531" s="2"/>
      <c r="F3531" s="1"/>
      <c r="G3531" s="2"/>
      <c r="H3531" s="2"/>
      <c r="J3531" s="3"/>
      <c r="K3531" s="3"/>
      <c r="L3531" s="3"/>
      <c r="N3531" s="3"/>
      <c r="O3531" s="3"/>
      <c r="P3531" s="3"/>
      <c r="R3531" s="3"/>
    </row>
    <row r="3532" spans="2:18" x14ac:dyDescent="0.2">
      <c r="B3532" s="1"/>
      <c r="C3532" s="2"/>
      <c r="D3532" s="2"/>
      <c r="F3532" s="1"/>
      <c r="G3532" s="2"/>
      <c r="H3532" s="2"/>
      <c r="J3532" s="3"/>
      <c r="K3532" s="3"/>
      <c r="L3532" s="3"/>
      <c r="N3532" s="3"/>
      <c r="O3532" s="3"/>
      <c r="P3532" s="3"/>
      <c r="R3532" s="3"/>
    </row>
    <row r="3533" spans="2:18" x14ac:dyDescent="0.2">
      <c r="B3533" s="1"/>
      <c r="C3533" s="2"/>
      <c r="D3533" s="2"/>
      <c r="F3533" s="1"/>
      <c r="G3533" s="2"/>
      <c r="H3533" s="2"/>
      <c r="J3533" s="3"/>
      <c r="K3533" s="3"/>
      <c r="L3533" s="3"/>
      <c r="N3533" s="3"/>
      <c r="O3533" s="3"/>
      <c r="P3533" s="3"/>
      <c r="R3533" s="3"/>
    </row>
    <row r="3534" spans="2:18" x14ac:dyDescent="0.2">
      <c r="B3534" s="1"/>
      <c r="C3534" s="2"/>
      <c r="D3534" s="2"/>
      <c r="F3534" s="1"/>
      <c r="G3534" s="2"/>
      <c r="H3534" s="2"/>
      <c r="J3534" s="3"/>
      <c r="K3534" s="3"/>
      <c r="L3534" s="3"/>
      <c r="N3534" s="3"/>
      <c r="O3534" s="3"/>
      <c r="P3534" s="3"/>
      <c r="R3534" s="3"/>
    </row>
    <row r="3535" spans="2:18" x14ac:dyDescent="0.2">
      <c r="B3535" s="1"/>
      <c r="C3535" s="2"/>
      <c r="D3535" s="2"/>
      <c r="F3535" s="1"/>
      <c r="G3535" s="2"/>
      <c r="H3535" s="2"/>
      <c r="J3535" s="3"/>
      <c r="K3535" s="3"/>
      <c r="L3535" s="3"/>
      <c r="N3535" s="3"/>
      <c r="O3535" s="3"/>
      <c r="P3535" s="3"/>
      <c r="R3535" s="3"/>
    </row>
    <row r="3536" spans="2:18" x14ac:dyDescent="0.2">
      <c r="B3536" s="1"/>
      <c r="C3536" s="2"/>
      <c r="D3536" s="2"/>
      <c r="F3536" s="1"/>
      <c r="G3536" s="2"/>
      <c r="H3536" s="2"/>
      <c r="J3536" s="3"/>
      <c r="K3536" s="3"/>
      <c r="L3536" s="3"/>
      <c r="N3536" s="3"/>
      <c r="O3536" s="3"/>
      <c r="P3536" s="3"/>
      <c r="R3536" s="3"/>
    </row>
    <row r="3537" spans="2:18" x14ac:dyDescent="0.2">
      <c r="B3537" s="1"/>
      <c r="C3537" s="2"/>
      <c r="D3537" s="2"/>
      <c r="F3537" s="1"/>
      <c r="G3537" s="2"/>
      <c r="H3537" s="2"/>
      <c r="J3537" s="3"/>
      <c r="K3537" s="3"/>
      <c r="L3537" s="3"/>
      <c r="N3537" s="3"/>
      <c r="O3537" s="3"/>
      <c r="P3537" s="3"/>
      <c r="R3537" s="3"/>
    </row>
    <row r="3538" spans="2:18" x14ac:dyDescent="0.2">
      <c r="B3538" s="1"/>
      <c r="C3538" s="2"/>
      <c r="D3538" s="2"/>
      <c r="F3538" s="1"/>
      <c r="G3538" s="2"/>
      <c r="H3538" s="2"/>
      <c r="J3538" s="3"/>
      <c r="K3538" s="3"/>
      <c r="L3538" s="3"/>
      <c r="N3538" s="3"/>
      <c r="O3538" s="3"/>
      <c r="P3538" s="3"/>
      <c r="R3538" s="3"/>
    </row>
    <row r="3539" spans="2:18" x14ac:dyDescent="0.2">
      <c r="B3539" s="1"/>
      <c r="C3539" s="2"/>
      <c r="D3539" s="2"/>
      <c r="F3539" s="1"/>
      <c r="G3539" s="2"/>
      <c r="H3539" s="2"/>
      <c r="J3539" s="3"/>
      <c r="K3539" s="3"/>
      <c r="L3539" s="3"/>
      <c r="N3539" s="3"/>
      <c r="O3539" s="3"/>
      <c r="P3539" s="3"/>
      <c r="R3539" s="3"/>
    </row>
    <row r="3540" spans="2:18" x14ac:dyDescent="0.2">
      <c r="B3540" s="1"/>
      <c r="C3540" s="2"/>
      <c r="D3540" s="2"/>
      <c r="F3540" s="1"/>
      <c r="G3540" s="2"/>
      <c r="H3540" s="2"/>
      <c r="J3540" s="3"/>
      <c r="K3540" s="3"/>
      <c r="L3540" s="3"/>
      <c r="N3540" s="3"/>
      <c r="O3540" s="3"/>
      <c r="P3540" s="3"/>
      <c r="R3540" s="3"/>
    </row>
    <row r="3541" spans="2:18" x14ac:dyDescent="0.2">
      <c r="B3541" s="1"/>
      <c r="C3541" s="2"/>
      <c r="D3541" s="2"/>
      <c r="F3541" s="1"/>
      <c r="G3541" s="2"/>
      <c r="H3541" s="2"/>
      <c r="J3541" s="3"/>
      <c r="K3541" s="3"/>
      <c r="L3541" s="3"/>
      <c r="N3541" s="3"/>
      <c r="O3541" s="3"/>
      <c r="P3541" s="3"/>
      <c r="R3541" s="3"/>
    </row>
    <row r="3542" spans="2:18" x14ac:dyDescent="0.2">
      <c r="B3542" s="1"/>
      <c r="C3542" s="2"/>
      <c r="D3542" s="2"/>
      <c r="F3542" s="1"/>
      <c r="G3542" s="2"/>
      <c r="H3542" s="2"/>
      <c r="J3542" s="3"/>
      <c r="K3542" s="3"/>
      <c r="L3542" s="3"/>
      <c r="N3542" s="3"/>
      <c r="O3542" s="3"/>
      <c r="P3542" s="3"/>
      <c r="R3542" s="3"/>
    </row>
    <row r="3543" spans="2:18" x14ac:dyDescent="0.2">
      <c r="B3543" s="1"/>
      <c r="C3543" s="2"/>
      <c r="D3543" s="2"/>
      <c r="F3543" s="1"/>
      <c r="G3543" s="2"/>
      <c r="H3543" s="2"/>
      <c r="J3543" s="3"/>
      <c r="K3543" s="3"/>
      <c r="L3543" s="3"/>
      <c r="N3543" s="3"/>
      <c r="O3543" s="3"/>
      <c r="P3543" s="3"/>
      <c r="R3543" s="3"/>
    </row>
    <row r="3544" spans="2:18" x14ac:dyDescent="0.2">
      <c r="B3544" s="1"/>
      <c r="C3544" s="2"/>
      <c r="D3544" s="2"/>
      <c r="F3544" s="1"/>
      <c r="G3544" s="2"/>
      <c r="H3544" s="2"/>
      <c r="J3544" s="3"/>
      <c r="K3544" s="3"/>
      <c r="L3544" s="3"/>
      <c r="N3544" s="3"/>
      <c r="O3544" s="3"/>
      <c r="P3544" s="3"/>
      <c r="R3544" s="3"/>
    </row>
    <row r="3545" spans="2:18" x14ac:dyDescent="0.2">
      <c r="B3545" s="1"/>
      <c r="C3545" s="2"/>
      <c r="D3545" s="2"/>
      <c r="F3545" s="1"/>
      <c r="G3545" s="2"/>
      <c r="H3545" s="2"/>
      <c r="J3545" s="3"/>
      <c r="K3545" s="3"/>
      <c r="L3545" s="3"/>
      <c r="N3545" s="3"/>
      <c r="O3545" s="3"/>
      <c r="P3545" s="3"/>
      <c r="R3545" s="3"/>
    </row>
    <row r="3546" spans="2:18" x14ac:dyDescent="0.2">
      <c r="B3546" s="1"/>
      <c r="C3546" s="2"/>
      <c r="D3546" s="2"/>
      <c r="F3546" s="1"/>
      <c r="G3546" s="2"/>
      <c r="H3546" s="2"/>
      <c r="J3546" s="3"/>
      <c r="K3546" s="3"/>
      <c r="L3546" s="3"/>
      <c r="N3546" s="3"/>
      <c r="O3546" s="3"/>
      <c r="P3546" s="3"/>
      <c r="R3546" s="3"/>
    </row>
    <row r="3547" spans="2:18" x14ac:dyDescent="0.2">
      <c r="B3547" s="1"/>
      <c r="C3547" s="2"/>
      <c r="D3547" s="2"/>
      <c r="F3547" s="1"/>
      <c r="G3547" s="2"/>
      <c r="H3547" s="2"/>
      <c r="J3547" s="3"/>
      <c r="K3547" s="3"/>
      <c r="L3547" s="3"/>
      <c r="N3547" s="3"/>
      <c r="O3547" s="3"/>
      <c r="P3547" s="3"/>
      <c r="R3547" s="3"/>
    </row>
    <row r="3548" spans="2:18" x14ac:dyDescent="0.2">
      <c r="B3548" s="1"/>
      <c r="C3548" s="2"/>
      <c r="D3548" s="2"/>
      <c r="F3548" s="1"/>
      <c r="G3548" s="2"/>
      <c r="H3548" s="2"/>
      <c r="J3548" s="3"/>
      <c r="K3548" s="3"/>
      <c r="L3548" s="3"/>
      <c r="N3548" s="3"/>
      <c r="O3548" s="3"/>
      <c r="P3548" s="3"/>
      <c r="R3548" s="3"/>
    </row>
    <row r="3549" spans="2:18" x14ac:dyDescent="0.2">
      <c r="B3549" s="1"/>
      <c r="C3549" s="2"/>
      <c r="D3549" s="2"/>
      <c r="F3549" s="1"/>
      <c r="G3549" s="2"/>
      <c r="H3549" s="2"/>
      <c r="J3549" s="3"/>
      <c r="K3549" s="3"/>
      <c r="L3549" s="3"/>
      <c r="N3549" s="3"/>
      <c r="O3549" s="3"/>
      <c r="P3549" s="3"/>
      <c r="R3549" s="3"/>
    </row>
    <row r="3550" spans="2:18" x14ac:dyDescent="0.2">
      <c r="B3550" s="1"/>
      <c r="C3550" s="2"/>
      <c r="D3550" s="2"/>
      <c r="F3550" s="1"/>
      <c r="G3550" s="2"/>
      <c r="H3550" s="2"/>
      <c r="J3550" s="3"/>
      <c r="K3550" s="3"/>
      <c r="L3550" s="3"/>
      <c r="N3550" s="3"/>
      <c r="O3550" s="3"/>
      <c r="P3550" s="3"/>
      <c r="R3550" s="3"/>
    </row>
    <row r="3551" spans="2:18" x14ac:dyDescent="0.2">
      <c r="B3551" s="1"/>
      <c r="C3551" s="2"/>
      <c r="D3551" s="2"/>
      <c r="F3551" s="1"/>
      <c r="G3551" s="2"/>
      <c r="H3551" s="2"/>
      <c r="J3551" s="3"/>
      <c r="K3551" s="3"/>
      <c r="L3551" s="3"/>
      <c r="N3551" s="3"/>
      <c r="O3551" s="3"/>
      <c r="P3551" s="3"/>
      <c r="R3551" s="3"/>
    </row>
    <row r="3552" spans="2:18" x14ac:dyDescent="0.2">
      <c r="B3552" s="1"/>
      <c r="C3552" s="2"/>
      <c r="D3552" s="2"/>
      <c r="F3552" s="1"/>
      <c r="G3552" s="2"/>
      <c r="H3552" s="2"/>
      <c r="J3552" s="3"/>
      <c r="K3552" s="3"/>
      <c r="L3552" s="3"/>
      <c r="N3552" s="3"/>
      <c r="O3552" s="3"/>
      <c r="P3552" s="3"/>
      <c r="R3552" s="3"/>
    </row>
    <row r="3553" spans="2:18" x14ac:dyDescent="0.2">
      <c r="B3553" s="1"/>
      <c r="C3553" s="2"/>
      <c r="D3553" s="2"/>
      <c r="F3553" s="1"/>
      <c r="G3553" s="2"/>
      <c r="H3553" s="2"/>
      <c r="J3553" s="3"/>
      <c r="K3553" s="3"/>
      <c r="L3553" s="3"/>
      <c r="N3553" s="3"/>
      <c r="O3553" s="3"/>
      <c r="P3553" s="3"/>
      <c r="R3553" s="3"/>
    </row>
    <row r="3554" spans="2:18" x14ac:dyDescent="0.2">
      <c r="B3554" s="1"/>
      <c r="C3554" s="2"/>
      <c r="D3554" s="2"/>
      <c r="F3554" s="1"/>
      <c r="G3554" s="2"/>
      <c r="H3554" s="2"/>
      <c r="J3554" s="3"/>
      <c r="K3554" s="3"/>
      <c r="L3554" s="3"/>
      <c r="N3554" s="3"/>
      <c r="O3554" s="3"/>
      <c r="P3554" s="3"/>
      <c r="R3554" s="3"/>
    </row>
    <row r="3555" spans="2:18" x14ac:dyDescent="0.2">
      <c r="B3555" s="1"/>
      <c r="C3555" s="2"/>
      <c r="D3555" s="2"/>
      <c r="F3555" s="1"/>
      <c r="G3555" s="2"/>
      <c r="H3555" s="2"/>
      <c r="J3555" s="3"/>
      <c r="K3555" s="3"/>
      <c r="L3555" s="3"/>
      <c r="N3555" s="3"/>
      <c r="O3555" s="3"/>
      <c r="P3555" s="3"/>
      <c r="R3555" s="3"/>
    </row>
    <row r="3556" spans="2:18" x14ac:dyDescent="0.2">
      <c r="B3556" s="1"/>
      <c r="C3556" s="2"/>
      <c r="D3556" s="2"/>
      <c r="F3556" s="1"/>
      <c r="G3556" s="2"/>
      <c r="H3556" s="2"/>
      <c r="J3556" s="3"/>
      <c r="K3556" s="3"/>
      <c r="L3556" s="3"/>
      <c r="N3556" s="3"/>
      <c r="O3556" s="3"/>
      <c r="P3556" s="3"/>
      <c r="R3556" s="3"/>
    </row>
    <row r="3557" spans="2:18" x14ac:dyDescent="0.2">
      <c r="B3557" s="1"/>
      <c r="C3557" s="2"/>
      <c r="D3557" s="2"/>
      <c r="F3557" s="1"/>
      <c r="G3557" s="2"/>
      <c r="H3557" s="2"/>
      <c r="J3557" s="3"/>
      <c r="K3557" s="3"/>
      <c r="L3557" s="3"/>
      <c r="N3557" s="3"/>
      <c r="O3557" s="3"/>
      <c r="P3557" s="3"/>
      <c r="R3557" s="3"/>
    </row>
    <row r="3558" spans="2:18" x14ac:dyDescent="0.2">
      <c r="B3558" s="1"/>
      <c r="C3558" s="2"/>
      <c r="D3558" s="2"/>
      <c r="F3558" s="1"/>
      <c r="G3558" s="2"/>
      <c r="H3558" s="2"/>
      <c r="J3558" s="3"/>
      <c r="K3558" s="3"/>
      <c r="L3558" s="3"/>
      <c r="N3558" s="3"/>
      <c r="O3558" s="3"/>
      <c r="P3558" s="3"/>
      <c r="R3558" s="3"/>
    </row>
    <row r="3559" spans="2:18" x14ac:dyDescent="0.2">
      <c r="B3559" s="1"/>
      <c r="C3559" s="2"/>
      <c r="D3559" s="2"/>
      <c r="F3559" s="1"/>
      <c r="G3559" s="2"/>
      <c r="H3559" s="2"/>
      <c r="J3559" s="3"/>
      <c r="K3559" s="3"/>
      <c r="L3559" s="3"/>
      <c r="N3559" s="3"/>
      <c r="O3559" s="3"/>
      <c r="P3559" s="3"/>
      <c r="R3559" s="3"/>
    </row>
    <row r="3560" spans="2:18" x14ac:dyDescent="0.2">
      <c r="B3560" s="1"/>
      <c r="C3560" s="2"/>
      <c r="D3560" s="2"/>
      <c r="F3560" s="1"/>
      <c r="G3560" s="2"/>
      <c r="H3560" s="2"/>
      <c r="J3560" s="3"/>
      <c r="K3560" s="3"/>
      <c r="L3560" s="3"/>
      <c r="N3560" s="3"/>
      <c r="O3560" s="3"/>
      <c r="P3560" s="3"/>
      <c r="R3560" s="3"/>
    </row>
    <row r="3561" spans="2:18" x14ac:dyDescent="0.2">
      <c r="B3561" s="1"/>
      <c r="C3561" s="2"/>
      <c r="D3561" s="2"/>
      <c r="F3561" s="1"/>
      <c r="G3561" s="2"/>
      <c r="H3561" s="2"/>
      <c r="J3561" s="3"/>
      <c r="K3561" s="3"/>
      <c r="L3561" s="3"/>
      <c r="N3561" s="3"/>
      <c r="O3561" s="3"/>
      <c r="P3561" s="3"/>
      <c r="R3561" s="3"/>
    </row>
    <row r="3562" spans="2:18" x14ac:dyDescent="0.2">
      <c r="B3562" s="1"/>
      <c r="C3562" s="2"/>
      <c r="D3562" s="2"/>
      <c r="F3562" s="1"/>
      <c r="G3562" s="2"/>
      <c r="H3562" s="2"/>
      <c r="J3562" s="3"/>
      <c r="K3562" s="3"/>
      <c r="L3562" s="3"/>
      <c r="N3562" s="3"/>
      <c r="O3562" s="3"/>
      <c r="P3562" s="3"/>
      <c r="R3562" s="3"/>
    </row>
    <row r="3563" spans="2:18" x14ac:dyDescent="0.2">
      <c r="B3563" s="1"/>
      <c r="C3563" s="2"/>
      <c r="D3563" s="2"/>
      <c r="F3563" s="1"/>
      <c r="G3563" s="2"/>
      <c r="H3563" s="2"/>
      <c r="J3563" s="3"/>
      <c r="K3563" s="3"/>
      <c r="L3563" s="3"/>
      <c r="N3563" s="3"/>
      <c r="O3563" s="3"/>
      <c r="P3563" s="3"/>
      <c r="R3563" s="3"/>
    </row>
    <row r="3564" spans="2:18" x14ac:dyDescent="0.2">
      <c r="B3564" s="1"/>
      <c r="C3564" s="2"/>
      <c r="D3564" s="2"/>
      <c r="F3564" s="1"/>
      <c r="G3564" s="2"/>
      <c r="H3564" s="2"/>
      <c r="J3564" s="3"/>
      <c r="K3564" s="3"/>
      <c r="L3564" s="3"/>
      <c r="N3564" s="3"/>
      <c r="O3564" s="3"/>
      <c r="P3564" s="3"/>
      <c r="R3564" s="3"/>
    </row>
    <row r="3565" spans="2:18" x14ac:dyDescent="0.2">
      <c r="B3565" s="1"/>
      <c r="C3565" s="2"/>
      <c r="D3565" s="2"/>
      <c r="F3565" s="1"/>
      <c r="G3565" s="2"/>
      <c r="H3565" s="2"/>
      <c r="J3565" s="3"/>
      <c r="K3565" s="3"/>
      <c r="L3565" s="3"/>
      <c r="N3565" s="3"/>
      <c r="O3565" s="3"/>
      <c r="P3565" s="3"/>
      <c r="R3565" s="3"/>
    </row>
    <row r="3566" spans="2:18" x14ac:dyDescent="0.2">
      <c r="B3566" s="1"/>
      <c r="C3566" s="2"/>
      <c r="D3566" s="2"/>
      <c r="F3566" s="1"/>
      <c r="G3566" s="2"/>
      <c r="H3566" s="2"/>
      <c r="J3566" s="3"/>
      <c r="K3566" s="3"/>
      <c r="L3566" s="3"/>
      <c r="N3566" s="3"/>
      <c r="O3566" s="3"/>
      <c r="P3566" s="3"/>
      <c r="R3566" s="3"/>
    </row>
    <row r="3567" spans="2:18" x14ac:dyDescent="0.2">
      <c r="B3567" s="1"/>
      <c r="C3567" s="2"/>
      <c r="D3567" s="2"/>
      <c r="F3567" s="1"/>
      <c r="G3567" s="2"/>
      <c r="H3567" s="2"/>
      <c r="J3567" s="3"/>
      <c r="K3567" s="3"/>
      <c r="L3567" s="3"/>
      <c r="N3567" s="3"/>
      <c r="O3567" s="3"/>
      <c r="P3567" s="3"/>
      <c r="R3567" s="3"/>
    </row>
    <row r="3568" spans="2:18" x14ac:dyDescent="0.2">
      <c r="B3568" s="1"/>
      <c r="C3568" s="2"/>
      <c r="D3568" s="2"/>
      <c r="F3568" s="1"/>
      <c r="G3568" s="2"/>
      <c r="H3568" s="2"/>
      <c r="J3568" s="3"/>
      <c r="K3568" s="3"/>
      <c r="L3568" s="3"/>
      <c r="N3568" s="3"/>
      <c r="O3568" s="3"/>
      <c r="P3568" s="3"/>
      <c r="R3568" s="3"/>
    </row>
    <row r="3569" spans="2:18" x14ac:dyDescent="0.2">
      <c r="B3569" s="1"/>
      <c r="C3569" s="2"/>
      <c r="D3569" s="2"/>
      <c r="F3569" s="1"/>
      <c r="G3569" s="2"/>
      <c r="H3569" s="2"/>
      <c r="J3569" s="3"/>
      <c r="K3569" s="3"/>
      <c r="L3569" s="3"/>
      <c r="N3569" s="3"/>
      <c r="O3569" s="3"/>
      <c r="P3569" s="3"/>
      <c r="R3569" s="3"/>
    </row>
    <row r="3570" spans="2:18" x14ac:dyDescent="0.2">
      <c r="B3570" s="1"/>
      <c r="C3570" s="2"/>
      <c r="D3570" s="2"/>
      <c r="F3570" s="1"/>
      <c r="G3570" s="2"/>
      <c r="H3570" s="2"/>
      <c r="J3570" s="3"/>
      <c r="K3570" s="3"/>
      <c r="L3570" s="3"/>
      <c r="N3570" s="3"/>
      <c r="O3570" s="3"/>
      <c r="P3570" s="3"/>
      <c r="R3570" s="3"/>
    </row>
    <row r="3571" spans="2:18" x14ac:dyDescent="0.2">
      <c r="B3571" s="1"/>
      <c r="C3571" s="2"/>
      <c r="D3571" s="2"/>
      <c r="F3571" s="1"/>
      <c r="G3571" s="2"/>
      <c r="H3571" s="2"/>
      <c r="J3571" s="3"/>
      <c r="K3571" s="3"/>
      <c r="L3571" s="3"/>
      <c r="N3571" s="3"/>
      <c r="O3571" s="3"/>
      <c r="P3571" s="3"/>
      <c r="R3571" s="3"/>
    </row>
    <row r="3572" spans="2:18" x14ac:dyDescent="0.2">
      <c r="B3572" s="1"/>
      <c r="C3572" s="2"/>
      <c r="D3572" s="2"/>
      <c r="F3572" s="1"/>
      <c r="G3572" s="2"/>
      <c r="H3572" s="2"/>
      <c r="J3572" s="3"/>
      <c r="K3572" s="3"/>
      <c r="L3572" s="3"/>
      <c r="N3572" s="3"/>
      <c r="O3572" s="3"/>
      <c r="P3572" s="3"/>
      <c r="R3572" s="3"/>
    </row>
    <row r="3573" spans="2:18" x14ac:dyDescent="0.2">
      <c r="B3573" s="1"/>
      <c r="C3573" s="2"/>
      <c r="D3573" s="2"/>
      <c r="F3573" s="1"/>
      <c r="G3573" s="2"/>
      <c r="H3573" s="2"/>
      <c r="J3573" s="3"/>
      <c r="K3573" s="3"/>
      <c r="L3573" s="3"/>
      <c r="N3573" s="3"/>
      <c r="O3573" s="3"/>
      <c r="P3573" s="3"/>
      <c r="R3573" s="3"/>
    </row>
    <row r="3574" spans="2:18" x14ac:dyDescent="0.2">
      <c r="B3574" s="1"/>
      <c r="C3574" s="2"/>
      <c r="D3574" s="2"/>
      <c r="F3574" s="1"/>
      <c r="G3574" s="2"/>
      <c r="H3574" s="2"/>
      <c r="J3574" s="3"/>
      <c r="K3574" s="3"/>
      <c r="L3574" s="3"/>
      <c r="N3574" s="3"/>
      <c r="O3574" s="3"/>
      <c r="P3574" s="3"/>
      <c r="R3574" s="3"/>
    </row>
    <row r="3575" spans="2:18" x14ac:dyDescent="0.2">
      <c r="B3575" s="1"/>
      <c r="C3575" s="2"/>
      <c r="D3575" s="2"/>
      <c r="F3575" s="1"/>
      <c r="G3575" s="2"/>
      <c r="H3575" s="2"/>
      <c r="J3575" s="3"/>
      <c r="K3575" s="3"/>
      <c r="L3575" s="3"/>
      <c r="N3575" s="3"/>
      <c r="O3575" s="3"/>
      <c r="P3575" s="3"/>
      <c r="R3575" s="3"/>
    </row>
    <row r="3576" spans="2:18" x14ac:dyDescent="0.2">
      <c r="B3576" s="1"/>
      <c r="C3576" s="2"/>
      <c r="D3576" s="2"/>
      <c r="F3576" s="1"/>
      <c r="G3576" s="2"/>
      <c r="H3576" s="2"/>
      <c r="J3576" s="3"/>
      <c r="K3576" s="3"/>
      <c r="L3576" s="3"/>
      <c r="N3576" s="3"/>
      <c r="O3576" s="3"/>
      <c r="P3576" s="3"/>
      <c r="R3576" s="3"/>
    </row>
    <row r="3577" spans="2:18" x14ac:dyDescent="0.2">
      <c r="B3577" s="1"/>
      <c r="C3577" s="2"/>
      <c r="D3577" s="2"/>
      <c r="F3577" s="1"/>
      <c r="G3577" s="2"/>
      <c r="H3577" s="2"/>
      <c r="J3577" s="3"/>
      <c r="K3577" s="3"/>
      <c r="L3577" s="3"/>
      <c r="N3577" s="3"/>
      <c r="O3577" s="3"/>
      <c r="P3577" s="3"/>
      <c r="R3577" s="3"/>
    </row>
    <row r="3578" spans="2:18" x14ac:dyDescent="0.2">
      <c r="B3578" s="1"/>
      <c r="C3578" s="2"/>
      <c r="D3578" s="2"/>
      <c r="F3578" s="1"/>
      <c r="G3578" s="2"/>
      <c r="H3578" s="2"/>
      <c r="J3578" s="3"/>
      <c r="K3578" s="3"/>
      <c r="L3578" s="3"/>
      <c r="N3578" s="3"/>
      <c r="O3578" s="3"/>
      <c r="P3578" s="3"/>
      <c r="R3578" s="3"/>
    </row>
    <row r="3579" spans="2:18" x14ac:dyDescent="0.2">
      <c r="B3579" s="1"/>
      <c r="C3579" s="2"/>
      <c r="D3579" s="2"/>
      <c r="F3579" s="1"/>
      <c r="G3579" s="2"/>
      <c r="H3579" s="2"/>
      <c r="J3579" s="3"/>
      <c r="K3579" s="3"/>
      <c r="L3579" s="3"/>
      <c r="N3579" s="3"/>
      <c r="O3579" s="3"/>
      <c r="P3579" s="3"/>
      <c r="R3579" s="3"/>
    </row>
    <row r="3580" spans="2:18" x14ac:dyDescent="0.2">
      <c r="B3580" s="1"/>
      <c r="C3580" s="2"/>
      <c r="D3580" s="2"/>
      <c r="F3580" s="1"/>
      <c r="G3580" s="2"/>
      <c r="H3580" s="2"/>
      <c r="J3580" s="3"/>
      <c r="K3580" s="3"/>
      <c r="L3580" s="3"/>
      <c r="N3580" s="3"/>
      <c r="O3580" s="3"/>
      <c r="P3580" s="3"/>
      <c r="R3580" s="3"/>
    </row>
    <row r="3581" spans="2:18" x14ac:dyDescent="0.2">
      <c r="B3581" s="1"/>
      <c r="C3581" s="2"/>
      <c r="D3581" s="2"/>
      <c r="F3581" s="1"/>
      <c r="G3581" s="2"/>
      <c r="H3581" s="2"/>
      <c r="J3581" s="3"/>
      <c r="K3581" s="3"/>
      <c r="L3581" s="3"/>
      <c r="N3581" s="3"/>
      <c r="O3581" s="3"/>
      <c r="P3581" s="3"/>
      <c r="R3581" s="3"/>
    </row>
    <row r="3582" spans="2:18" x14ac:dyDescent="0.2">
      <c r="B3582" s="1"/>
      <c r="C3582" s="2"/>
      <c r="D3582" s="2"/>
      <c r="F3582" s="1"/>
      <c r="G3582" s="2"/>
      <c r="H3582" s="2"/>
      <c r="J3582" s="3"/>
      <c r="K3582" s="3"/>
      <c r="L3582" s="3"/>
      <c r="N3582" s="3"/>
      <c r="O3582" s="3"/>
      <c r="P3582" s="3"/>
      <c r="R3582" s="3"/>
    </row>
    <row r="3583" spans="2:18" x14ac:dyDescent="0.2">
      <c r="B3583" s="1"/>
      <c r="C3583" s="2"/>
      <c r="D3583" s="2"/>
      <c r="F3583" s="1"/>
      <c r="G3583" s="2"/>
      <c r="H3583" s="2"/>
      <c r="J3583" s="3"/>
      <c r="K3583" s="3"/>
      <c r="L3583" s="3"/>
      <c r="N3583" s="3"/>
      <c r="O3583" s="3"/>
      <c r="P3583" s="3"/>
      <c r="R3583" s="3"/>
    </row>
    <row r="3584" spans="2:18" x14ac:dyDescent="0.2">
      <c r="B3584" s="1"/>
      <c r="C3584" s="2"/>
      <c r="D3584" s="2"/>
      <c r="F3584" s="1"/>
      <c r="G3584" s="2"/>
      <c r="H3584" s="2"/>
      <c r="J3584" s="3"/>
      <c r="K3584" s="3"/>
      <c r="L3584" s="3"/>
      <c r="N3584" s="3"/>
      <c r="O3584" s="3"/>
      <c r="P3584" s="3"/>
      <c r="R3584" s="3"/>
    </row>
    <row r="3585" spans="2:18" x14ac:dyDescent="0.2">
      <c r="B3585" s="1"/>
      <c r="C3585" s="2"/>
      <c r="D3585" s="2"/>
      <c r="F3585" s="1"/>
      <c r="G3585" s="2"/>
      <c r="H3585" s="2"/>
      <c r="J3585" s="3"/>
      <c r="K3585" s="3"/>
      <c r="L3585" s="3"/>
      <c r="N3585" s="3"/>
      <c r="O3585" s="3"/>
      <c r="P3585" s="3"/>
      <c r="R3585" s="3"/>
    </row>
    <row r="3586" spans="2:18" x14ac:dyDescent="0.2">
      <c r="B3586" s="1"/>
      <c r="C3586" s="2"/>
      <c r="D3586" s="2"/>
      <c r="F3586" s="1"/>
      <c r="G3586" s="2"/>
      <c r="H3586" s="2"/>
      <c r="J3586" s="3"/>
      <c r="K3586" s="3"/>
      <c r="L3586" s="3"/>
      <c r="N3586" s="3"/>
      <c r="O3586" s="3"/>
      <c r="P3586" s="3"/>
      <c r="R3586" s="3"/>
    </row>
    <row r="3587" spans="2:18" x14ac:dyDescent="0.2">
      <c r="B3587" s="1"/>
      <c r="C3587" s="2"/>
      <c r="D3587" s="2"/>
      <c r="F3587" s="1"/>
      <c r="G3587" s="2"/>
      <c r="H3587" s="2"/>
      <c r="J3587" s="3"/>
      <c r="K3587" s="3"/>
      <c r="L3587" s="3"/>
      <c r="N3587" s="3"/>
      <c r="O3587" s="3"/>
      <c r="P3587" s="3"/>
      <c r="R3587" s="3"/>
    </row>
    <row r="3588" spans="2:18" x14ac:dyDescent="0.2">
      <c r="B3588" s="1"/>
      <c r="C3588" s="2"/>
      <c r="D3588" s="2"/>
      <c r="F3588" s="1"/>
      <c r="G3588" s="2"/>
      <c r="H3588" s="2"/>
      <c r="J3588" s="3"/>
      <c r="K3588" s="3"/>
      <c r="L3588" s="3"/>
      <c r="N3588" s="3"/>
      <c r="O3588" s="3"/>
      <c r="P3588" s="3"/>
      <c r="R3588" s="3"/>
    </row>
    <row r="3589" spans="2:18" x14ac:dyDescent="0.2">
      <c r="B3589" s="1"/>
      <c r="C3589" s="2"/>
      <c r="D3589" s="2"/>
      <c r="F3589" s="1"/>
      <c r="G3589" s="2"/>
      <c r="H3589" s="2"/>
      <c r="J3589" s="3"/>
      <c r="K3589" s="3"/>
      <c r="L3589" s="3"/>
      <c r="N3589" s="3"/>
      <c r="O3589" s="3"/>
      <c r="P3589" s="3"/>
      <c r="R3589" s="3"/>
    </row>
    <row r="3590" spans="2:18" x14ac:dyDescent="0.2">
      <c r="B3590" s="1"/>
      <c r="C3590" s="2"/>
      <c r="D3590" s="2"/>
      <c r="F3590" s="1"/>
      <c r="G3590" s="2"/>
      <c r="H3590" s="2"/>
      <c r="J3590" s="3"/>
      <c r="K3590" s="3"/>
      <c r="L3590" s="3"/>
      <c r="N3590" s="3"/>
      <c r="O3590" s="3"/>
      <c r="P3590" s="3"/>
      <c r="R3590" s="3"/>
    </row>
    <row r="3591" spans="2:18" x14ac:dyDescent="0.2">
      <c r="B3591" s="1"/>
      <c r="C3591" s="2"/>
      <c r="D3591" s="2"/>
      <c r="F3591" s="1"/>
      <c r="G3591" s="2"/>
      <c r="H3591" s="2"/>
      <c r="J3591" s="3"/>
      <c r="K3591" s="3"/>
      <c r="L3591" s="3"/>
      <c r="N3591" s="3"/>
      <c r="O3591" s="3"/>
      <c r="P3591" s="3"/>
      <c r="R3591" s="3"/>
    </row>
    <row r="3592" spans="2:18" x14ac:dyDescent="0.2">
      <c r="B3592" s="1"/>
      <c r="C3592" s="2"/>
      <c r="D3592" s="2"/>
      <c r="F3592" s="1"/>
      <c r="G3592" s="2"/>
      <c r="H3592" s="2"/>
      <c r="J3592" s="3"/>
      <c r="K3592" s="3"/>
      <c r="L3592" s="3"/>
      <c r="N3592" s="3"/>
      <c r="O3592" s="3"/>
      <c r="P3592" s="3"/>
      <c r="R3592" s="3"/>
    </row>
    <row r="3593" spans="2:18" x14ac:dyDescent="0.2">
      <c r="B3593" s="1"/>
      <c r="C3593" s="2"/>
      <c r="D3593" s="2"/>
      <c r="F3593" s="1"/>
      <c r="G3593" s="2"/>
      <c r="H3593" s="2"/>
      <c r="J3593" s="3"/>
      <c r="K3593" s="3"/>
      <c r="L3593" s="3"/>
      <c r="N3593" s="3"/>
      <c r="O3593" s="3"/>
      <c r="P3593" s="3"/>
      <c r="R3593" s="3"/>
    </row>
    <row r="3594" spans="2:18" x14ac:dyDescent="0.2">
      <c r="B3594" s="1"/>
      <c r="C3594" s="2"/>
      <c r="D3594" s="2"/>
      <c r="F3594" s="1"/>
      <c r="G3594" s="2"/>
      <c r="H3594" s="2"/>
      <c r="J3594" s="3"/>
      <c r="K3594" s="3"/>
      <c r="L3594" s="3"/>
      <c r="N3594" s="3"/>
      <c r="O3594" s="3"/>
      <c r="P3594" s="3"/>
      <c r="R3594" s="3"/>
    </row>
    <row r="3595" spans="2:18" x14ac:dyDescent="0.2">
      <c r="B3595" s="1"/>
      <c r="C3595" s="2"/>
      <c r="D3595" s="2"/>
      <c r="F3595" s="1"/>
      <c r="G3595" s="2"/>
      <c r="H3595" s="2"/>
      <c r="J3595" s="3"/>
      <c r="K3595" s="3"/>
      <c r="L3595" s="3"/>
      <c r="N3595" s="3"/>
      <c r="O3595" s="3"/>
      <c r="P3595" s="3"/>
      <c r="R3595" s="3"/>
    </row>
    <row r="3596" spans="2:18" x14ac:dyDescent="0.2">
      <c r="B3596" s="1"/>
      <c r="C3596" s="2"/>
      <c r="D3596" s="2"/>
      <c r="F3596" s="1"/>
      <c r="G3596" s="2"/>
      <c r="H3596" s="2"/>
      <c r="J3596" s="3"/>
      <c r="K3596" s="3"/>
      <c r="L3596" s="3"/>
      <c r="N3596" s="3"/>
      <c r="O3596" s="3"/>
      <c r="P3596" s="3"/>
      <c r="R3596" s="3"/>
    </row>
    <row r="3597" spans="2:18" x14ac:dyDescent="0.2">
      <c r="B3597" s="1"/>
      <c r="C3597" s="2"/>
      <c r="D3597" s="2"/>
      <c r="F3597" s="1"/>
      <c r="G3597" s="2"/>
      <c r="H3597" s="2"/>
      <c r="J3597" s="3"/>
      <c r="K3597" s="3"/>
      <c r="L3597" s="3"/>
      <c r="N3597" s="3"/>
      <c r="O3597" s="3"/>
      <c r="P3597" s="3"/>
      <c r="R3597" s="3"/>
    </row>
    <row r="3598" spans="2:18" x14ac:dyDescent="0.2">
      <c r="B3598" s="1"/>
      <c r="C3598" s="2"/>
      <c r="D3598" s="2"/>
      <c r="F3598" s="1"/>
      <c r="G3598" s="2"/>
      <c r="H3598" s="2"/>
      <c r="J3598" s="3"/>
      <c r="K3598" s="3"/>
      <c r="L3598" s="3"/>
      <c r="N3598" s="3"/>
      <c r="O3598" s="3"/>
      <c r="P3598" s="3"/>
      <c r="R3598" s="3"/>
    </row>
    <row r="3599" spans="2:18" x14ac:dyDescent="0.2">
      <c r="B3599" s="1"/>
      <c r="C3599" s="2"/>
      <c r="D3599" s="2"/>
      <c r="F3599" s="1"/>
      <c r="G3599" s="2"/>
      <c r="H3599" s="2"/>
      <c r="J3599" s="3"/>
      <c r="K3599" s="3"/>
      <c r="L3599" s="3"/>
      <c r="N3599" s="3"/>
      <c r="O3599" s="3"/>
      <c r="P3599" s="3"/>
      <c r="R3599" s="3"/>
    </row>
    <row r="3600" spans="2:18" x14ac:dyDescent="0.2">
      <c r="B3600" s="1"/>
      <c r="C3600" s="2"/>
      <c r="D3600" s="2"/>
      <c r="F3600" s="1"/>
      <c r="G3600" s="2"/>
      <c r="H3600" s="2"/>
      <c r="J3600" s="3"/>
      <c r="K3600" s="3"/>
      <c r="L3600" s="3"/>
      <c r="N3600" s="3"/>
      <c r="O3600" s="3"/>
      <c r="P3600" s="3"/>
      <c r="R3600" s="3"/>
    </row>
    <row r="3601" spans="2:18" x14ac:dyDescent="0.2">
      <c r="B3601" s="1"/>
      <c r="C3601" s="2"/>
      <c r="D3601" s="2"/>
      <c r="F3601" s="1"/>
      <c r="G3601" s="2"/>
      <c r="H3601" s="2"/>
      <c r="J3601" s="3"/>
      <c r="K3601" s="3"/>
      <c r="L3601" s="3"/>
      <c r="N3601" s="3"/>
      <c r="O3601" s="3"/>
      <c r="P3601" s="3"/>
      <c r="R3601" s="3"/>
    </row>
    <row r="3602" spans="2:18" x14ac:dyDescent="0.2">
      <c r="B3602" s="1"/>
      <c r="C3602" s="2"/>
      <c r="D3602" s="2"/>
      <c r="F3602" s="1"/>
      <c r="G3602" s="2"/>
      <c r="H3602" s="2"/>
      <c r="J3602" s="3"/>
      <c r="K3602" s="3"/>
      <c r="L3602" s="3"/>
      <c r="N3602" s="3"/>
      <c r="O3602" s="3"/>
      <c r="P3602" s="3"/>
      <c r="R3602" s="3"/>
    </row>
    <row r="3603" spans="2:18" x14ac:dyDescent="0.2">
      <c r="B3603" s="1"/>
      <c r="C3603" s="2"/>
      <c r="D3603" s="2"/>
      <c r="F3603" s="1"/>
      <c r="G3603" s="2"/>
      <c r="H3603" s="2"/>
      <c r="J3603" s="3"/>
      <c r="K3603" s="3"/>
      <c r="L3603" s="3"/>
      <c r="N3603" s="3"/>
      <c r="O3603" s="3"/>
      <c r="P3603" s="3"/>
      <c r="R3603" s="3"/>
    </row>
    <row r="3604" spans="2:18" x14ac:dyDescent="0.2">
      <c r="B3604" s="1"/>
      <c r="C3604" s="2"/>
      <c r="D3604" s="2"/>
      <c r="F3604" s="1"/>
      <c r="G3604" s="2"/>
      <c r="H3604" s="2"/>
      <c r="J3604" s="3"/>
      <c r="K3604" s="3"/>
      <c r="L3604" s="3"/>
      <c r="N3604" s="3"/>
      <c r="O3604" s="3"/>
      <c r="P3604" s="3"/>
      <c r="R3604" s="3"/>
    </row>
    <row r="3605" spans="2:18" x14ac:dyDescent="0.2">
      <c r="B3605" s="1"/>
      <c r="C3605" s="2"/>
      <c r="D3605" s="2"/>
      <c r="F3605" s="1"/>
      <c r="G3605" s="2"/>
      <c r="H3605" s="2"/>
      <c r="J3605" s="3"/>
      <c r="K3605" s="3"/>
      <c r="L3605" s="3"/>
      <c r="N3605" s="3"/>
      <c r="O3605" s="3"/>
      <c r="P3605" s="3"/>
      <c r="R3605" s="3"/>
    </row>
    <row r="3606" spans="2:18" x14ac:dyDescent="0.2">
      <c r="B3606" s="1"/>
      <c r="C3606" s="2"/>
      <c r="D3606" s="2"/>
      <c r="F3606" s="1"/>
      <c r="G3606" s="2"/>
      <c r="H3606" s="2"/>
      <c r="J3606" s="3"/>
      <c r="K3606" s="3"/>
      <c r="L3606" s="3"/>
      <c r="N3606" s="3"/>
      <c r="O3606" s="3"/>
      <c r="P3606" s="3"/>
      <c r="R3606" s="3"/>
    </row>
    <row r="3607" spans="2:18" x14ac:dyDescent="0.2">
      <c r="B3607" s="1"/>
      <c r="C3607" s="2"/>
      <c r="D3607" s="2"/>
      <c r="F3607" s="1"/>
      <c r="G3607" s="2"/>
      <c r="H3607" s="2"/>
      <c r="J3607" s="3"/>
      <c r="K3607" s="3"/>
      <c r="L3607" s="3"/>
      <c r="N3607" s="3"/>
      <c r="O3607" s="3"/>
      <c r="P3607" s="3"/>
      <c r="R3607" s="3"/>
    </row>
    <row r="3608" spans="2:18" x14ac:dyDescent="0.2">
      <c r="B3608" s="1"/>
      <c r="C3608" s="2"/>
      <c r="D3608" s="2"/>
      <c r="F3608" s="1"/>
      <c r="G3608" s="2"/>
      <c r="H3608" s="2"/>
      <c r="J3608" s="3"/>
      <c r="K3608" s="3"/>
      <c r="L3608" s="3"/>
      <c r="N3608" s="3"/>
      <c r="O3608" s="3"/>
      <c r="P3608" s="3"/>
      <c r="R3608" s="3"/>
    </row>
    <row r="3609" spans="2:18" x14ac:dyDescent="0.2">
      <c r="B3609" s="1"/>
      <c r="C3609" s="2"/>
      <c r="D3609" s="2"/>
      <c r="F3609" s="1"/>
      <c r="G3609" s="2"/>
      <c r="H3609" s="2"/>
      <c r="J3609" s="3"/>
      <c r="K3609" s="3"/>
      <c r="L3609" s="3"/>
      <c r="N3609" s="3"/>
      <c r="O3609" s="3"/>
      <c r="P3609" s="3"/>
      <c r="R3609" s="3"/>
    </row>
    <row r="3610" spans="2:18" x14ac:dyDescent="0.2">
      <c r="B3610" s="1"/>
      <c r="C3610" s="2"/>
      <c r="D3610" s="2"/>
      <c r="F3610" s="1"/>
      <c r="G3610" s="2"/>
      <c r="H3610" s="2"/>
      <c r="J3610" s="3"/>
      <c r="K3610" s="3"/>
      <c r="L3610" s="3"/>
      <c r="N3610" s="3"/>
      <c r="O3610" s="3"/>
      <c r="P3610" s="3"/>
      <c r="R3610" s="3"/>
    </row>
    <row r="3611" spans="2:18" x14ac:dyDescent="0.2">
      <c r="B3611" s="1"/>
      <c r="C3611" s="2"/>
      <c r="D3611" s="2"/>
      <c r="F3611" s="1"/>
      <c r="G3611" s="2"/>
      <c r="H3611" s="2"/>
      <c r="J3611" s="3"/>
      <c r="K3611" s="3"/>
      <c r="L3611" s="3"/>
      <c r="N3611" s="3"/>
      <c r="O3611" s="3"/>
      <c r="P3611" s="3"/>
      <c r="R3611" s="3"/>
    </row>
    <row r="3612" spans="2:18" x14ac:dyDescent="0.2">
      <c r="B3612" s="1"/>
      <c r="C3612" s="2"/>
      <c r="D3612" s="2"/>
      <c r="F3612" s="1"/>
      <c r="G3612" s="2"/>
      <c r="H3612" s="2"/>
      <c r="J3612" s="3"/>
      <c r="K3612" s="3"/>
      <c r="L3612" s="3"/>
      <c r="N3612" s="3"/>
      <c r="O3612" s="3"/>
      <c r="P3612" s="3"/>
      <c r="R3612" s="3"/>
    </row>
    <row r="3613" spans="2:18" x14ac:dyDescent="0.2">
      <c r="B3613" s="1"/>
      <c r="C3613" s="2"/>
      <c r="D3613" s="2"/>
      <c r="F3613" s="1"/>
      <c r="G3613" s="2"/>
      <c r="H3613" s="2"/>
      <c r="J3613" s="3"/>
      <c r="K3613" s="3"/>
      <c r="L3613" s="3"/>
      <c r="N3613" s="3"/>
      <c r="O3613" s="3"/>
      <c r="P3613" s="3"/>
      <c r="R3613" s="3"/>
    </row>
    <row r="3614" spans="2:18" x14ac:dyDescent="0.2">
      <c r="B3614" s="1"/>
      <c r="C3614" s="2"/>
      <c r="D3614" s="2"/>
      <c r="F3614" s="1"/>
      <c r="G3614" s="2"/>
      <c r="H3614" s="2"/>
      <c r="J3614" s="3"/>
      <c r="K3614" s="3"/>
      <c r="L3614" s="3"/>
      <c r="N3614" s="3"/>
      <c r="O3614" s="3"/>
      <c r="P3614" s="3"/>
      <c r="R3614" s="3"/>
    </row>
    <row r="3615" spans="2:18" x14ac:dyDescent="0.2">
      <c r="B3615" s="1"/>
      <c r="C3615" s="2"/>
      <c r="D3615" s="2"/>
      <c r="F3615" s="1"/>
      <c r="G3615" s="2"/>
      <c r="H3615" s="2"/>
      <c r="J3615" s="3"/>
      <c r="K3615" s="3"/>
      <c r="L3615" s="3"/>
      <c r="N3615" s="3"/>
      <c r="O3615" s="3"/>
      <c r="P3615" s="3"/>
      <c r="R3615" s="3"/>
    </row>
    <row r="3616" spans="2:18" x14ac:dyDescent="0.2">
      <c r="B3616" s="1"/>
      <c r="C3616" s="2"/>
      <c r="D3616" s="2"/>
      <c r="F3616" s="1"/>
      <c r="G3616" s="2"/>
      <c r="H3616" s="2"/>
      <c r="J3616" s="3"/>
      <c r="K3616" s="3"/>
      <c r="L3616" s="3"/>
      <c r="N3616" s="3"/>
      <c r="O3616" s="3"/>
      <c r="P3616" s="3"/>
      <c r="R3616" s="3"/>
    </row>
    <row r="3617" spans="2:18" x14ac:dyDescent="0.2">
      <c r="B3617" s="1"/>
      <c r="C3617" s="2"/>
      <c r="D3617" s="2"/>
      <c r="F3617" s="1"/>
      <c r="G3617" s="2"/>
      <c r="H3617" s="2"/>
      <c r="J3617" s="3"/>
      <c r="K3617" s="3"/>
      <c r="L3617" s="3"/>
      <c r="N3617" s="3"/>
      <c r="O3617" s="3"/>
      <c r="P3617" s="3"/>
      <c r="R3617" s="3"/>
    </row>
    <row r="3618" spans="2:18" x14ac:dyDescent="0.2">
      <c r="B3618" s="1"/>
      <c r="C3618" s="2"/>
      <c r="D3618" s="2"/>
      <c r="F3618" s="1"/>
      <c r="G3618" s="2"/>
      <c r="H3618" s="2"/>
      <c r="J3618" s="3"/>
      <c r="K3618" s="3"/>
      <c r="L3618" s="3"/>
      <c r="N3618" s="3"/>
      <c r="O3618" s="3"/>
      <c r="P3618" s="3"/>
      <c r="R3618" s="3"/>
    </row>
    <row r="3619" spans="2:18" x14ac:dyDescent="0.2">
      <c r="B3619" s="1"/>
      <c r="C3619" s="2"/>
      <c r="D3619" s="2"/>
      <c r="F3619" s="1"/>
      <c r="G3619" s="2"/>
      <c r="H3619" s="2"/>
      <c r="J3619" s="3"/>
      <c r="K3619" s="3"/>
      <c r="L3619" s="3"/>
      <c r="N3619" s="3"/>
      <c r="O3619" s="3"/>
      <c r="P3619" s="3"/>
      <c r="R3619" s="3"/>
    </row>
    <row r="3620" spans="2:18" x14ac:dyDescent="0.2">
      <c r="B3620" s="1"/>
      <c r="C3620" s="2"/>
      <c r="D3620" s="2"/>
      <c r="F3620" s="1"/>
      <c r="G3620" s="2"/>
      <c r="H3620" s="2"/>
      <c r="J3620" s="3"/>
      <c r="K3620" s="3"/>
      <c r="L3620" s="3"/>
      <c r="N3620" s="3"/>
      <c r="O3620" s="3"/>
      <c r="P3620" s="3"/>
      <c r="R3620" s="3"/>
    </row>
    <row r="3621" spans="2:18" x14ac:dyDescent="0.2">
      <c r="B3621" s="1"/>
      <c r="C3621" s="2"/>
      <c r="D3621" s="2"/>
      <c r="F3621" s="1"/>
      <c r="G3621" s="2"/>
      <c r="H3621" s="2"/>
      <c r="J3621" s="3"/>
      <c r="K3621" s="3"/>
      <c r="L3621" s="3"/>
      <c r="N3621" s="3"/>
      <c r="O3621" s="3"/>
      <c r="P3621" s="3"/>
      <c r="R3621" s="3"/>
    </row>
    <row r="3622" spans="2:18" x14ac:dyDescent="0.2">
      <c r="B3622" s="1"/>
      <c r="C3622" s="2"/>
      <c r="D3622" s="2"/>
      <c r="F3622" s="1"/>
      <c r="G3622" s="2"/>
      <c r="H3622" s="2"/>
      <c r="J3622" s="3"/>
      <c r="K3622" s="3"/>
      <c r="L3622" s="3"/>
      <c r="N3622" s="3"/>
      <c r="O3622" s="3"/>
      <c r="P3622" s="3"/>
      <c r="R3622" s="3"/>
    </row>
    <row r="3623" spans="2:18" x14ac:dyDescent="0.2">
      <c r="B3623" s="1"/>
      <c r="C3623" s="2"/>
      <c r="D3623" s="2"/>
      <c r="F3623" s="1"/>
      <c r="G3623" s="2"/>
      <c r="H3623" s="2"/>
      <c r="J3623" s="3"/>
      <c r="K3623" s="3"/>
      <c r="L3623" s="3"/>
      <c r="N3623" s="3"/>
      <c r="O3623" s="3"/>
      <c r="P3623" s="3"/>
      <c r="R3623" s="3"/>
    </row>
    <row r="3624" spans="2:18" x14ac:dyDescent="0.2">
      <c r="B3624" s="1"/>
      <c r="C3624" s="2"/>
      <c r="D3624" s="2"/>
      <c r="F3624" s="1"/>
      <c r="G3624" s="2"/>
      <c r="H3624" s="2"/>
      <c r="J3624" s="3"/>
      <c r="K3624" s="3"/>
      <c r="L3624" s="3"/>
      <c r="N3624" s="3"/>
      <c r="O3624" s="3"/>
      <c r="P3624" s="3"/>
      <c r="R3624" s="3"/>
    </row>
    <row r="3625" spans="2:18" x14ac:dyDescent="0.2">
      <c r="B3625" s="1"/>
      <c r="C3625" s="2"/>
      <c r="D3625" s="2"/>
      <c r="F3625" s="1"/>
      <c r="G3625" s="2"/>
      <c r="H3625" s="2"/>
      <c r="J3625" s="3"/>
      <c r="K3625" s="3"/>
      <c r="L3625" s="3"/>
      <c r="N3625" s="3"/>
      <c r="O3625" s="3"/>
      <c r="P3625" s="3"/>
      <c r="R3625" s="3"/>
    </row>
    <row r="3626" spans="2:18" x14ac:dyDescent="0.2">
      <c r="B3626" s="1"/>
      <c r="C3626" s="2"/>
      <c r="D3626" s="2"/>
      <c r="F3626" s="1"/>
      <c r="G3626" s="2"/>
      <c r="H3626" s="2"/>
      <c r="J3626" s="3"/>
      <c r="K3626" s="3"/>
      <c r="L3626" s="3"/>
      <c r="N3626" s="3"/>
      <c r="O3626" s="3"/>
      <c r="P3626" s="3"/>
      <c r="R3626" s="3"/>
    </row>
    <row r="3627" spans="2:18" x14ac:dyDescent="0.2">
      <c r="B3627" s="1"/>
      <c r="C3627" s="2"/>
      <c r="D3627" s="2"/>
      <c r="F3627" s="1"/>
      <c r="G3627" s="2"/>
      <c r="H3627" s="2"/>
      <c r="J3627" s="3"/>
      <c r="K3627" s="3"/>
      <c r="L3627" s="3"/>
      <c r="N3627" s="3"/>
      <c r="O3627" s="3"/>
      <c r="P3627" s="3"/>
      <c r="R3627" s="3"/>
    </row>
    <row r="3628" spans="2:18" x14ac:dyDescent="0.2">
      <c r="B3628" s="1"/>
      <c r="C3628" s="2"/>
      <c r="D3628" s="2"/>
      <c r="F3628" s="1"/>
      <c r="G3628" s="2"/>
      <c r="H3628" s="2"/>
      <c r="J3628" s="3"/>
      <c r="K3628" s="3"/>
      <c r="L3628" s="3"/>
      <c r="N3628" s="3"/>
      <c r="O3628" s="3"/>
      <c r="P3628" s="3"/>
      <c r="R3628" s="3"/>
    </row>
    <row r="3629" spans="2:18" x14ac:dyDescent="0.2">
      <c r="B3629" s="1"/>
      <c r="C3629" s="2"/>
      <c r="D3629" s="2"/>
      <c r="F3629" s="1"/>
      <c r="G3629" s="2"/>
      <c r="H3629" s="2"/>
      <c r="J3629" s="3"/>
      <c r="K3629" s="3"/>
      <c r="L3629" s="3"/>
      <c r="N3629" s="3"/>
      <c r="O3629" s="3"/>
      <c r="P3629" s="3"/>
      <c r="R3629" s="3"/>
    </row>
    <row r="3630" spans="2:18" x14ac:dyDescent="0.2">
      <c r="B3630" s="1"/>
      <c r="C3630" s="2"/>
      <c r="D3630" s="2"/>
      <c r="F3630" s="1"/>
      <c r="G3630" s="2"/>
      <c r="H3630" s="2"/>
      <c r="J3630" s="3"/>
      <c r="K3630" s="3"/>
      <c r="L3630" s="3"/>
      <c r="N3630" s="3"/>
      <c r="O3630" s="3"/>
      <c r="P3630" s="3"/>
      <c r="R3630" s="3"/>
    </row>
    <row r="3631" spans="2:18" x14ac:dyDescent="0.2">
      <c r="B3631" s="1"/>
      <c r="C3631" s="2"/>
      <c r="D3631" s="2"/>
      <c r="F3631" s="1"/>
      <c r="G3631" s="2"/>
      <c r="H3631" s="2"/>
      <c r="J3631" s="3"/>
      <c r="K3631" s="3"/>
      <c r="L3631" s="3"/>
      <c r="N3631" s="3"/>
      <c r="O3631" s="3"/>
      <c r="P3631" s="3"/>
      <c r="R3631" s="3"/>
    </row>
    <row r="3632" spans="2:18" x14ac:dyDescent="0.2">
      <c r="B3632" s="1"/>
      <c r="C3632" s="2"/>
      <c r="D3632" s="2"/>
      <c r="F3632" s="1"/>
      <c r="G3632" s="2"/>
      <c r="H3632" s="2"/>
      <c r="J3632" s="3"/>
      <c r="K3632" s="3"/>
      <c r="L3632" s="3"/>
      <c r="N3632" s="3"/>
      <c r="O3632" s="3"/>
      <c r="P3632" s="3"/>
      <c r="R3632" s="3"/>
    </row>
    <row r="3633" spans="2:18" x14ac:dyDescent="0.2">
      <c r="B3633" s="1"/>
      <c r="C3633" s="2"/>
      <c r="D3633" s="2"/>
      <c r="F3633" s="1"/>
      <c r="G3633" s="2"/>
      <c r="H3633" s="2"/>
      <c r="J3633" s="3"/>
      <c r="K3633" s="3"/>
      <c r="L3633" s="3"/>
      <c r="N3633" s="3"/>
      <c r="O3633" s="3"/>
      <c r="P3633" s="3"/>
      <c r="R3633" s="3"/>
    </row>
    <row r="3634" spans="2:18" x14ac:dyDescent="0.2">
      <c r="B3634" s="1"/>
      <c r="C3634" s="2"/>
      <c r="D3634" s="2"/>
      <c r="F3634" s="1"/>
      <c r="G3634" s="2"/>
      <c r="H3634" s="2"/>
      <c r="J3634" s="3"/>
      <c r="K3634" s="3"/>
      <c r="L3634" s="3"/>
      <c r="N3634" s="3"/>
      <c r="O3634" s="3"/>
      <c r="P3634" s="3"/>
      <c r="R3634" s="3"/>
    </row>
    <row r="3635" spans="2:18" x14ac:dyDescent="0.2">
      <c r="B3635" s="1"/>
      <c r="C3635" s="2"/>
      <c r="D3635" s="2"/>
      <c r="F3635" s="1"/>
      <c r="G3635" s="2"/>
      <c r="H3635" s="2"/>
      <c r="J3635" s="3"/>
      <c r="K3635" s="3"/>
      <c r="L3635" s="3"/>
      <c r="N3635" s="3"/>
      <c r="O3635" s="3"/>
      <c r="P3635" s="3"/>
      <c r="R3635" s="3"/>
    </row>
    <row r="3636" spans="2:18" x14ac:dyDescent="0.2">
      <c r="B3636" s="1"/>
      <c r="C3636" s="2"/>
      <c r="D3636" s="2"/>
      <c r="F3636" s="1"/>
      <c r="G3636" s="2"/>
      <c r="H3636" s="2"/>
      <c r="J3636" s="3"/>
      <c r="K3636" s="3"/>
      <c r="L3636" s="3"/>
      <c r="N3636" s="3"/>
      <c r="O3636" s="3"/>
      <c r="P3636" s="3"/>
      <c r="R3636" s="3"/>
    </row>
    <row r="3637" spans="2:18" x14ac:dyDescent="0.2">
      <c r="B3637" s="1"/>
      <c r="C3637" s="2"/>
      <c r="D3637" s="2"/>
      <c r="F3637" s="1"/>
      <c r="G3637" s="2"/>
      <c r="H3637" s="2"/>
      <c r="J3637" s="3"/>
      <c r="K3637" s="3"/>
      <c r="L3637" s="3"/>
      <c r="N3637" s="3"/>
      <c r="O3637" s="3"/>
      <c r="P3637" s="3"/>
      <c r="R3637" s="3"/>
    </row>
    <row r="3638" spans="2:18" x14ac:dyDescent="0.2">
      <c r="B3638" s="1"/>
      <c r="C3638" s="2"/>
      <c r="D3638" s="2"/>
      <c r="F3638" s="1"/>
      <c r="G3638" s="2"/>
      <c r="H3638" s="2"/>
      <c r="J3638" s="3"/>
      <c r="K3638" s="3"/>
      <c r="L3638" s="3"/>
      <c r="N3638" s="3"/>
      <c r="O3638" s="3"/>
      <c r="P3638" s="3"/>
      <c r="R3638" s="3"/>
    </row>
    <row r="3639" spans="2:18" x14ac:dyDescent="0.2">
      <c r="B3639" s="1"/>
      <c r="C3639" s="2"/>
      <c r="D3639" s="2"/>
      <c r="F3639" s="1"/>
      <c r="G3639" s="2"/>
      <c r="H3639" s="2"/>
      <c r="J3639" s="3"/>
      <c r="K3639" s="3"/>
      <c r="L3639" s="3"/>
      <c r="N3639" s="3"/>
      <c r="O3639" s="3"/>
      <c r="P3639" s="3"/>
      <c r="R3639" s="3"/>
    </row>
    <row r="3640" spans="2:18" x14ac:dyDescent="0.2">
      <c r="B3640" s="1"/>
      <c r="C3640" s="2"/>
      <c r="D3640" s="2"/>
      <c r="F3640" s="1"/>
      <c r="G3640" s="2"/>
      <c r="H3640" s="2"/>
      <c r="J3640" s="3"/>
      <c r="K3640" s="3"/>
      <c r="L3640" s="3"/>
      <c r="N3640" s="3"/>
      <c r="O3640" s="3"/>
      <c r="P3640" s="3"/>
      <c r="R3640" s="3"/>
    </row>
    <row r="3641" spans="2:18" x14ac:dyDescent="0.2">
      <c r="B3641" s="1"/>
      <c r="C3641" s="2"/>
      <c r="D3641" s="2"/>
      <c r="F3641" s="1"/>
      <c r="G3641" s="2"/>
      <c r="H3641" s="2"/>
      <c r="J3641" s="3"/>
      <c r="K3641" s="3"/>
      <c r="L3641" s="3"/>
      <c r="N3641" s="3"/>
      <c r="O3641" s="3"/>
      <c r="P3641" s="3"/>
      <c r="R3641" s="3"/>
    </row>
    <row r="3642" spans="2:18" x14ac:dyDescent="0.2">
      <c r="B3642" s="1"/>
      <c r="C3642" s="2"/>
      <c r="D3642" s="2"/>
      <c r="F3642" s="1"/>
      <c r="G3642" s="2"/>
      <c r="H3642" s="2"/>
      <c r="J3642" s="3"/>
      <c r="K3642" s="3"/>
      <c r="L3642" s="3"/>
      <c r="N3642" s="3"/>
      <c r="O3642" s="3"/>
      <c r="P3642" s="3"/>
      <c r="R3642" s="3"/>
    </row>
    <row r="3643" spans="2:18" x14ac:dyDescent="0.2">
      <c r="B3643" s="1"/>
      <c r="C3643" s="2"/>
      <c r="D3643" s="2"/>
      <c r="F3643" s="1"/>
      <c r="G3643" s="2"/>
      <c r="H3643" s="2"/>
      <c r="J3643" s="3"/>
      <c r="K3643" s="3"/>
      <c r="L3643" s="3"/>
      <c r="N3643" s="3"/>
      <c r="O3643" s="3"/>
      <c r="P3643" s="3"/>
      <c r="R3643" s="3"/>
    </row>
    <row r="3644" spans="2:18" x14ac:dyDescent="0.2">
      <c r="B3644" s="1"/>
      <c r="C3644" s="2"/>
      <c r="D3644" s="2"/>
      <c r="F3644" s="1"/>
      <c r="G3644" s="2"/>
      <c r="H3644" s="2"/>
      <c r="J3644" s="3"/>
      <c r="K3644" s="3"/>
      <c r="L3644" s="3"/>
      <c r="N3644" s="3"/>
      <c r="O3644" s="3"/>
      <c r="P3644" s="3"/>
      <c r="R3644" s="3"/>
    </row>
    <row r="3645" spans="2:18" x14ac:dyDescent="0.2">
      <c r="B3645" s="1"/>
      <c r="C3645" s="2"/>
      <c r="D3645" s="2"/>
      <c r="F3645" s="1"/>
      <c r="G3645" s="2"/>
      <c r="H3645" s="2"/>
      <c r="J3645" s="3"/>
      <c r="K3645" s="3"/>
      <c r="L3645" s="3"/>
      <c r="N3645" s="3"/>
      <c r="O3645" s="3"/>
      <c r="P3645" s="3"/>
      <c r="R3645" s="3"/>
    </row>
    <row r="3646" spans="2:18" x14ac:dyDescent="0.2">
      <c r="B3646" s="1"/>
      <c r="C3646" s="2"/>
      <c r="D3646" s="2"/>
      <c r="F3646" s="1"/>
      <c r="G3646" s="2"/>
      <c r="H3646" s="2"/>
      <c r="J3646" s="3"/>
      <c r="K3646" s="3"/>
      <c r="L3646" s="3"/>
      <c r="N3646" s="3"/>
      <c r="O3646" s="3"/>
      <c r="P3646" s="3"/>
      <c r="R3646" s="3"/>
    </row>
    <row r="3647" spans="2:18" x14ac:dyDescent="0.2">
      <c r="B3647" s="1"/>
      <c r="C3647" s="2"/>
      <c r="D3647" s="2"/>
      <c r="F3647" s="1"/>
      <c r="G3647" s="2"/>
      <c r="H3647" s="2"/>
      <c r="J3647" s="3"/>
      <c r="K3647" s="3"/>
      <c r="L3647" s="3"/>
      <c r="N3647" s="3"/>
      <c r="O3647" s="3"/>
      <c r="P3647" s="3"/>
      <c r="R3647" s="3"/>
    </row>
    <row r="3648" spans="2:18" x14ac:dyDescent="0.2">
      <c r="B3648" s="1"/>
      <c r="C3648" s="2"/>
      <c r="D3648" s="2"/>
      <c r="F3648" s="1"/>
      <c r="G3648" s="2"/>
      <c r="H3648" s="2"/>
      <c r="J3648" s="3"/>
      <c r="K3648" s="3"/>
      <c r="L3648" s="3"/>
      <c r="N3648" s="3"/>
      <c r="O3648" s="3"/>
      <c r="P3648" s="3"/>
      <c r="R3648" s="3"/>
    </row>
    <row r="3649" spans="2:18" x14ac:dyDescent="0.2">
      <c r="B3649" s="1"/>
      <c r="C3649" s="2"/>
      <c r="D3649" s="2"/>
      <c r="F3649" s="1"/>
      <c r="G3649" s="2"/>
      <c r="H3649" s="2"/>
      <c r="J3649" s="3"/>
      <c r="K3649" s="3"/>
      <c r="L3649" s="3"/>
      <c r="N3649" s="3"/>
      <c r="O3649" s="3"/>
      <c r="P3649" s="3"/>
      <c r="R3649" s="3"/>
    </row>
    <row r="3650" spans="2:18" x14ac:dyDescent="0.2">
      <c r="B3650" s="1"/>
      <c r="C3650" s="2"/>
      <c r="D3650" s="2"/>
      <c r="F3650" s="1"/>
      <c r="G3650" s="2"/>
      <c r="H3650" s="2"/>
      <c r="J3650" s="3"/>
      <c r="K3650" s="3"/>
      <c r="L3650" s="3"/>
      <c r="N3650" s="3"/>
      <c r="O3650" s="3"/>
      <c r="P3650" s="3"/>
      <c r="R3650" s="3"/>
    </row>
    <row r="3651" spans="2:18" x14ac:dyDescent="0.2">
      <c r="B3651" s="1"/>
      <c r="C3651" s="2"/>
      <c r="D3651" s="2"/>
      <c r="F3651" s="1"/>
      <c r="G3651" s="2"/>
      <c r="H3651" s="2"/>
      <c r="J3651" s="3"/>
      <c r="K3651" s="3"/>
      <c r="L3651" s="3"/>
      <c r="N3651" s="3"/>
      <c r="O3651" s="3"/>
      <c r="P3651" s="3"/>
      <c r="R3651" s="3"/>
    </row>
    <row r="3652" spans="2:18" x14ac:dyDescent="0.2">
      <c r="B3652" s="1"/>
      <c r="C3652" s="2"/>
      <c r="D3652" s="2"/>
      <c r="F3652" s="1"/>
      <c r="G3652" s="2"/>
      <c r="H3652" s="2"/>
      <c r="J3652" s="3"/>
      <c r="K3652" s="3"/>
      <c r="L3652" s="3"/>
      <c r="N3652" s="3"/>
      <c r="O3652" s="3"/>
      <c r="P3652" s="3"/>
      <c r="R3652" s="3"/>
    </row>
    <row r="3653" spans="2:18" x14ac:dyDescent="0.2">
      <c r="B3653" s="1"/>
      <c r="C3653" s="2"/>
      <c r="D3653" s="2"/>
      <c r="F3653" s="1"/>
      <c r="G3653" s="2"/>
      <c r="H3653" s="2"/>
      <c r="J3653" s="3"/>
      <c r="K3653" s="3"/>
      <c r="L3653" s="3"/>
      <c r="N3653" s="3"/>
      <c r="O3653" s="3"/>
      <c r="P3653" s="3"/>
      <c r="R3653" s="3"/>
    </row>
    <row r="3654" spans="2:18" x14ac:dyDescent="0.2">
      <c r="B3654" s="1"/>
      <c r="C3654" s="2"/>
      <c r="D3654" s="2"/>
      <c r="F3654" s="1"/>
      <c r="G3654" s="2"/>
      <c r="H3654" s="2"/>
      <c r="J3654" s="3"/>
      <c r="K3654" s="3"/>
      <c r="L3654" s="3"/>
      <c r="N3654" s="3"/>
      <c r="O3654" s="3"/>
      <c r="P3654" s="3"/>
      <c r="R3654" s="3"/>
    </row>
    <row r="3655" spans="2:18" x14ac:dyDescent="0.2">
      <c r="B3655" s="1"/>
      <c r="C3655" s="2"/>
      <c r="D3655" s="2"/>
      <c r="F3655" s="1"/>
      <c r="G3655" s="2"/>
      <c r="H3655" s="2"/>
      <c r="J3655" s="3"/>
      <c r="K3655" s="3"/>
      <c r="L3655" s="3"/>
      <c r="N3655" s="3"/>
      <c r="O3655" s="3"/>
      <c r="P3655" s="3"/>
      <c r="R3655" s="3"/>
    </row>
    <row r="3656" spans="2:18" x14ac:dyDescent="0.2">
      <c r="B3656" s="1"/>
      <c r="C3656" s="2"/>
      <c r="D3656" s="2"/>
      <c r="F3656" s="1"/>
      <c r="G3656" s="2"/>
      <c r="H3656" s="2"/>
      <c r="J3656" s="3"/>
      <c r="K3656" s="3"/>
      <c r="L3656" s="3"/>
      <c r="N3656" s="3"/>
      <c r="O3656" s="3"/>
      <c r="P3656" s="3"/>
      <c r="R3656" s="3"/>
    </row>
    <row r="3657" spans="2:18" x14ac:dyDescent="0.2">
      <c r="B3657" s="1"/>
      <c r="C3657" s="2"/>
      <c r="D3657" s="2"/>
      <c r="F3657" s="1"/>
      <c r="G3657" s="2"/>
      <c r="H3657" s="2"/>
      <c r="J3657" s="3"/>
      <c r="K3657" s="3"/>
      <c r="L3657" s="3"/>
      <c r="N3657" s="3"/>
      <c r="O3657" s="3"/>
      <c r="P3657" s="3"/>
      <c r="R3657" s="3"/>
    </row>
    <row r="3658" spans="2:18" x14ac:dyDescent="0.2">
      <c r="B3658" s="1"/>
      <c r="C3658" s="2"/>
      <c r="D3658" s="2"/>
      <c r="F3658" s="1"/>
      <c r="G3658" s="2"/>
      <c r="H3658" s="2"/>
      <c r="J3658" s="3"/>
      <c r="K3658" s="3"/>
      <c r="L3658" s="3"/>
      <c r="N3658" s="3"/>
      <c r="O3658" s="3"/>
      <c r="P3658" s="3"/>
      <c r="R3658" s="3"/>
    </row>
    <row r="3659" spans="2:18" x14ac:dyDescent="0.2">
      <c r="B3659" s="1"/>
      <c r="C3659" s="2"/>
      <c r="D3659" s="2"/>
      <c r="F3659" s="1"/>
      <c r="G3659" s="2"/>
      <c r="H3659" s="2"/>
      <c r="J3659" s="3"/>
      <c r="K3659" s="3"/>
      <c r="L3659" s="3"/>
      <c r="N3659" s="3"/>
      <c r="O3659" s="3"/>
      <c r="P3659" s="3"/>
      <c r="R3659" s="3"/>
    </row>
    <row r="3660" spans="2:18" x14ac:dyDescent="0.2">
      <c r="B3660" s="1"/>
      <c r="C3660" s="2"/>
      <c r="D3660" s="2"/>
      <c r="F3660" s="1"/>
      <c r="G3660" s="2"/>
      <c r="H3660" s="2"/>
      <c r="J3660" s="3"/>
      <c r="K3660" s="3"/>
      <c r="L3660" s="3"/>
      <c r="N3660" s="3"/>
      <c r="O3660" s="3"/>
      <c r="P3660" s="3"/>
      <c r="R3660" s="3"/>
    </row>
    <row r="3661" spans="2:18" x14ac:dyDescent="0.2">
      <c r="B3661" s="1"/>
      <c r="C3661" s="2"/>
      <c r="D3661" s="2"/>
      <c r="F3661" s="1"/>
      <c r="G3661" s="2"/>
      <c r="H3661" s="2"/>
      <c r="J3661" s="3"/>
      <c r="K3661" s="3"/>
      <c r="L3661" s="3"/>
      <c r="N3661" s="3"/>
      <c r="O3661" s="3"/>
      <c r="P3661" s="3"/>
      <c r="R3661" s="3"/>
    </row>
    <row r="3662" spans="2:18" x14ac:dyDescent="0.2">
      <c r="B3662" s="1"/>
      <c r="C3662" s="2"/>
      <c r="D3662" s="2"/>
      <c r="F3662" s="1"/>
      <c r="G3662" s="2"/>
      <c r="H3662" s="2"/>
      <c r="J3662" s="3"/>
      <c r="K3662" s="3"/>
      <c r="L3662" s="3"/>
      <c r="N3662" s="3"/>
      <c r="O3662" s="3"/>
      <c r="P3662" s="3"/>
      <c r="R3662" s="3"/>
    </row>
    <row r="3663" spans="2:18" x14ac:dyDescent="0.2">
      <c r="B3663" s="1"/>
      <c r="C3663" s="2"/>
      <c r="D3663" s="2"/>
      <c r="F3663" s="1"/>
      <c r="G3663" s="2"/>
      <c r="H3663" s="2"/>
      <c r="J3663" s="3"/>
      <c r="K3663" s="3"/>
      <c r="L3663" s="3"/>
      <c r="N3663" s="3"/>
      <c r="O3663" s="3"/>
      <c r="P3663" s="3"/>
      <c r="R3663" s="3"/>
    </row>
    <row r="3664" spans="2:18" x14ac:dyDescent="0.2">
      <c r="B3664" s="1"/>
      <c r="C3664" s="2"/>
      <c r="D3664" s="2"/>
      <c r="F3664" s="1"/>
      <c r="G3664" s="2"/>
      <c r="H3664" s="2"/>
      <c r="J3664" s="3"/>
      <c r="K3664" s="3"/>
      <c r="L3664" s="3"/>
      <c r="N3664" s="3"/>
      <c r="O3664" s="3"/>
      <c r="P3664" s="3"/>
      <c r="R3664" s="3"/>
    </row>
    <row r="3665" spans="2:18" x14ac:dyDescent="0.2">
      <c r="B3665" s="1"/>
      <c r="C3665" s="2"/>
      <c r="D3665" s="2"/>
      <c r="F3665" s="1"/>
      <c r="G3665" s="2"/>
      <c r="H3665" s="2"/>
      <c r="J3665" s="3"/>
      <c r="K3665" s="3"/>
      <c r="L3665" s="3"/>
      <c r="N3665" s="3"/>
      <c r="O3665" s="3"/>
      <c r="P3665" s="3"/>
      <c r="R3665" s="3"/>
    </row>
    <row r="3666" spans="2:18" x14ac:dyDescent="0.2">
      <c r="B3666" s="1"/>
      <c r="C3666" s="2"/>
      <c r="D3666" s="2"/>
      <c r="F3666" s="1"/>
      <c r="G3666" s="2"/>
      <c r="H3666" s="2"/>
      <c r="J3666" s="3"/>
      <c r="K3666" s="3"/>
      <c r="L3666" s="3"/>
      <c r="N3666" s="3"/>
      <c r="O3666" s="3"/>
      <c r="P3666" s="3"/>
      <c r="R3666" s="3"/>
    </row>
    <row r="3667" spans="2:18" x14ac:dyDescent="0.2">
      <c r="B3667" s="1"/>
      <c r="C3667" s="2"/>
      <c r="D3667" s="2"/>
      <c r="F3667" s="1"/>
      <c r="G3667" s="2"/>
      <c r="H3667" s="2"/>
      <c r="J3667" s="3"/>
      <c r="K3667" s="3"/>
      <c r="L3667" s="3"/>
      <c r="N3667" s="3"/>
      <c r="O3667" s="3"/>
      <c r="P3667" s="3"/>
      <c r="R3667" s="3"/>
    </row>
    <row r="3668" spans="2:18" x14ac:dyDescent="0.2">
      <c r="B3668" s="1"/>
      <c r="C3668" s="2"/>
      <c r="D3668" s="2"/>
      <c r="F3668" s="1"/>
      <c r="G3668" s="2"/>
      <c r="H3668" s="2"/>
      <c r="J3668" s="3"/>
      <c r="K3668" s="3"/>
      <c r="L3668" s="3"/>
      <c r="N3668" s="3"/>
      <c r="O3668" s="3"/>
      <c r="P3668" s="3"/>
      <c r="R3668" s="3"/>
    </row>
    <row r="3669" spans="2:18" x14ac:dyDescent="0.2">
      <c r="B3669" s="1"/>
      <c r="C3669" s="2"/>
      <c r="D3669" s="2"/>
      <c r="F3669" s="1"/>
      <c r="G3669" s="2"/>
      <c r="H3669" s="2"/>
      <c r="J3669" s="3"/>
      <c r="K3669" s="3"/>
      <c r="L3669" s="3"/>
      <c r="N3669" s="3"/>
      <c r="O3669" s="3"/>
      <c r="P3669" s="3"/>
      <c r="R3669" s="3"/>
    </row>
    <row r="3670" spans="2:18" x14ac:dyDescent="0.2">
      <c r="B3670" s="1"/>
      <c r="C3670" s="2"/>
      <c r="D3670" s="2"/>
      <c r="F3670" s="1"/>
      <c r="G3670" s="2"/>
      <c r="H3670" s="2"/>
      <c r="J3670" s="3"/>
      <c r="K3670" s="3"/>
      <c r="L3670" s="3"/>
      <c r="N3670" s="3"/>
      <c r="O3670" s="3"/>
      <c r="P3670" s="3"/>
      <c r="R3670" s="3"/>
    </row>
    <row r="3671" spans="2:18" x14ac:dyDescent="0.2">
      <c r="B3671" s="1"/>
      <c r="C3671" s="2"/>
      <c r="D3671" s="2"/>
      <c r="F3671" s="1"/>
      <c r="G3671" s="2"/>
      <c r="H3671" s="2"/>
      <c r="J3671" s="3"/>
      <c r="K3671" s="3"/>
      <c r="L3671" s="3"/>
      <c r="N3671" s="3"/>
      <c r="O3671" s="3"/>
      <c r="P3671" s="3"/>
      <c r="R3671" s="3"/>
    </row>
    <row r="3672" spans="2:18" x14ac:dyDescent="0.2">
      <c r="B3672" s="1"/>
      <c r="C3672" s="2"/>
      <c r="D3672" s="2"/>
      <c r="F3672" s="1"/>
      <c r="G3672" s="2"/>
      <c r="H3672" s="2"/>
      <c r="J3672" s="3"/>
      <c r="K3672" s="3"/>
      <c r="L3672" s="3"/>
      <c r="N3672" s="3"/>
      <c r="O3672" s="3"/>
      <c r="P3672" s="3"/>
      <c r="R3672" s="3"/>
    </row>
    <row r="3673" spans="2:18" x14ac:dyDescent="0.2">
      <c r="B3673" s="1"/>
      <c r="C3673" s="2"/>
      <c r="D3673" s="2"/>
      <c r="F3673" s="1"/>
      <c r="G3673" s="2"/>
      <c r="H3673" s="2"/>
      <c r="J3673" s="3"/>
      <c r="K3673" s="3"/>
      <c r="L3673" s="3"/>
      <c r="N3673" s="3"/>
      <c r="O3673" s="3"/>
      <c r="P3673" s="3"/>
      <c r="R3673" s="3"/>
    </row>
    <row r="3674" spans="2:18" x14ac:dyDescent="0.2">
      <c r="B3674" s="1"/>
      <c r="C3674" s="2"/>
      <c r="D3674" s="2"/>
      <c r="F3674" s="1"/>
      <c r="G3674" s="2"/>
      <c r="H3674" s="2"/>
      <c r="J3674" s="3"/>
      <c r="K3674" s="3"/>
      <c r="L3674" s="3"/>
      <c r="N3674" s="3"/>
      <c r="O3674" s="3"/>
      <c r="P3674" s="3"/>
      <c r="R3674" s="3"/>
    </row>
    <row r="3675" spans="2:18" x14ac:dyDescent="0.2">
      <c r="B3675" s="1"/>
      <c r="C3675" s="2"/>
      <c r="D3675" s="2"/>
      <c r="F3675" s="1"/>
      <c r="G3675" s="2"/>
      <c r="H3675" s="2"/>
      <c r="J3675" s="3"/>
      <c r="K3675" s="3"/>
      <c r="L3675" s="3"/>
      <c r="N3675" s="3"/>
      <c r="O3675" s="3"/>
      <c r="P3675" s="3"/>
      <c r="R3675" s="3"/>
    </row>
    <row r="3676" spans="2:18" x14ac:dyDescent="0.2">
      <c r="B3676" s="1"/>
      <c r="C3676" s="2"/>
      <c r="D3676" s="2"/>
      <c r="F3676" s="1"/>
      <c r="G3676" s="2"/>
      <c r="H3676" s="2"/>
      <c r="J3676" s="3"/>
      <c r="K3676" s="3"/>
      <c r="L3676" s="3"/>
      <c r="N3676" s="3"/>
      <c r="O3676" s="3"/>
      <c r="P3676" s="3"/>
      <c r="R3676" s="3"/>
    </row>
    <row r="3677" spans="2:18" x14ac:dyDescent="0.2">
      <c r="B3677" s="1"/>
      <c r="C3677" s="2"/>
      <c r="D3677" s="2"/>
      <c r="F3677" s="1"/>
      <c r="G3677" s="2"/>
      <c r="H3677" s="2"/>
      <c r="J3677" s="3"/>
      <c r="K3677" s="3"/>
      <c r="L3677" s="3"/>
      <c r="N3677" s="3"/>
      <c r="O3677" s="3"/>
      <c r="P3677" s="3"/>
      <c r="R3677" s="3"/>
    </row>
    <row r="3678" spans="2:18" x14ac:dyDescent="0.2">
      <c r="B3678" s="1"/>
      <c r="C3678" s="2"/>
      <c r="D3678" s="2"/>
      <c r="F3678" s="1"/>
      <c r="G3678" s="2"/>
      <c r="H3678" s="2"/>
      <c r="J3678" s="3"/>
      <c r="K3678" s="3"/>
      <c r="L3678" s="3"/>
      <c r="N3678" s="3"/>
      <c r="O3678" s="3"/>
      <c r="P3678" s="3"/>
      <c r="R3678" s="3"/>
    </row>
    <row r="3679" spans="2:18" x14ac:dyDescent="0.2">
      <c r="B3679" s="1"/>
      <c r="C3679" s="2"/>
      <c r="D3679" s="2"/>
      <c r="F3679" s="1"/>
      <c r="G3679" s="2"/>
      <c r="H3679" s="2"/>
      <c r="J3679" s="3"/>
      <c r="K3679" s="3"/>
      <c r="L3679" s="3"/>
      <c r="N3679" s="3"/>
      <c r="O3679" s="3"/>
      <c r="P3679" s="3"/>
      <c r="R3679" s="3"/>
    </row>
    <row r="3680" spans="2:18" x14ac:dyDescent="0.2">
      <c r="B3680" s="1"/>
      <c r="C3680" s="2"/>
      <c r="D3680" s="2"/>
      <c r="F3680" s="1"/>
      <c r="G3680" s="2"/>
      <c r="H3680" s="2"/>
      <c r="J3680" s="3"/>
      <c r="K3680" s="3"/>
      <c r="L3680" s="3"/>
      <c r="N3680" s="3"/>
      <c r="O3680" s="3"/>
      <c r="P3680" s="3"/>
      <c r="R3680" s="3"/>
    </row>
    <row r="3681" spans="2:18" x14ac:dyDescent="0.2">
      <c r="B3681" s="1"/>
      <c r="C3681" s="2"/>
      <c r="D3681" s="2"/>
      <c r="F3681" s="1"/>
      <c r="G3681" s="2"/>
      <c r="H3681" s="2"/>
      <c r="J3681" s="3"/>
      <c r="K3681" s="3"/>
      <c r="L3681" s="3"/>
      <c r="N3681" s="3"/>
      <c r="O3681" s="3"/>
      <c r="P3681" s="3"/>
      <c r="R3681" s="3"/>
    </row>
    <row r="3682" spans="2:18" x14ac:dyDescent="0.2">
      <c r="B3682" s="1"/>
      <c r="C3682" s="2"/>
      <c r="D3682" s="2"/>
      <c r="F3682" s="1"/>
      <c r="G3682" s="2"/>
      <c r="H3682" s="2"/>
      <c r="J3682" s="3"/>
      <c r="K3682" s="3"/>
      <c r="L3682" s="3"/>
      <c r="N3682" s="3"/>
      <c r="O3682" s="3"/>
      <c r="P3682" s="3"/>
      <c r="R3682" s="3"/>
    </row>
    <row r="3683" spans="2:18" x14ac:dyDescent="0.2">
      <c r="B3683" s="1"/>
      <c r="C3683" s="2"/>
      <c r="D3683" s="2"/>
      <c r="F3683" s="1"/>
      <c r="G3683" s="2"/>
      <c r="H3683" s="2"/>
      <c r="J3683" s="3"/>
      <c r="K3683" s="3"/>
      <c r="L3683" s="3"/>
      <c r="N3683" s="3"/>
      <c r="O3683" s="3"/>
      <c r="P3683" s="3"/>
      <c r="R3683" s="3"/>
    </row>
    <row r="3684" spans="2:18" x14ac:dyDescent="0.2">
      <c r="B3684" s="1"/>
      <c r="C3684" s="2"/>
      <c r="D3684" s="2"/>
      <c r="F3684" s="1"/>
      <c r="G3684" s="2"/>
      <c r="H3684" s="2"/>
      <c r="J3684" s="3"/>
      <c r="K3684" s="3"/>
      <c r="L3684" s="3"/>
      <c r="N3684" s="3"/>
      <c r="O3684" s="3"/>
      <c r="P3684" s="3"/>
      <c r="R3684" s="3"/>
    </row>
    <row r="3685" spans="2:18" x14ac:dyDescent="0.2">
      <c r="B3685" s="1"/>
      <c r="C3685" s="2"/>
      <c r="D3685" s="2"/>
      <c r="F3685" s="1"/>
      <c r="G3685" s="2"/>
      <c r="H3685" s="2"/>
      <c r="J3685" s="3"/>
      <c r="K3685" s="3"/>
      <c r="L3685" s="3"/>
      <c r="N3685" s="3"/>
      <c r="O3685" s="3"/>
      <c r="P3685" s="3"/>
      <c r="R3685" s="3"/>
    </row>
    <row r="3686" spans="2:18" x14ac:dyDescent="0.2">
      <c r="B3686" s="1"/>
      <c r="C3686" s="2"/>
      <c r="D3686" s="2"/>
      <c r="F3686" s="1"/>
      <c r="G3686" s="2"/>
      <c r="H3686" s="2"/>
      <c r="J3686" s="3"/>
      <c r="K3686" s="3"/>
      <c r="L3686" s="3"/>
      <c r="N3686" s="3"/>
      <c r="O3686" s="3"/>
      <c r="P3686" s="3"/>
      <c r="R3686" s="3"/>
    </row>
    <row r="3687" spans="2:18" x14ac:dyDescent="0.2">
      <c r="B3687" s="1"/>
      <c r="C3687" s="2"/>
      <c r="D3687" s="2"/>
      <c r="F3687" s="1"/>
      <c r="G3687" s="2"/>
      <c r="H3687" s="2"/>
      <c r="J3687" s="3"/>
      <c r="K3687" s="3"/>
      <c r="L3687" s="3"/>
      <c r="N3687" s="3"/>
      <c r="O3687" s="3"/>
      <c r="P3687" s="3"/>
      <c r="R3687" s="3"/>
    </row>
    <row r="3688" spans="2:18" x14ac:dyDescent="0.2">
      <c r="B3688" s="1"/>
      <c r="C3688" s="2"/>
      <c r="D3688" s="2"/>
      <c r="F3688" s="1"/>
      <c r="G3688" s="2"/>
      <c r="H3688" s="2"/>
      <c r="J3688" s="3"/>
      <c r="K3688" s="3"/>
      <c r="L3688" s="3"/>
      <c r="N3688" s="3"/>
      <c r="O3688" s="3"/>
      <c r="P3688" s="3"/>
      <c r="R3688" s="3"/>
    </row>
    <row r="3689" spans="2:18" x14ac:dyDescent="0.2">
      <c r="B3689" s="1"/>
      <c r="C3689" s="2"/>
      <c r="D3689" s="2"/>
      <c r="F3689" s="1"/>
      <c r="G3689" s="2"/>
      <c r="H3689" s="2"/>
      <c r="J3689" s="3"/>
      <c r="K3689" s="3"/>
      <c r="L3689" s="3"/>
      <c r="N3689" s="3"/>
      <c r="O3689" s="3"/>
      <c r="P3689" s="3"/>
      <c r="R3689" s="3"/>
    </row>
    <row r="3690" spans="2:18" x14ac:dyDescent="0.2">
      <c r="B3690" s="1"/>
      <c r="C3690" s="2"/>
      <c r="D3690" s="2"/>
      <c r="F3690" s="1"/>
      <c r="G3690" s="2"/>
      <c r="H3690" s="2"/>
      <c r="J3690" s="3"/>
      <c r="K3690" s="3"/>
      <c r="L3690" s="3"/>
      <c r="N3690" s="3"/>
      <c r="O3690" s="3"/>
      <c r="P3690" s="3"/>
      <c r="R3690" s="3"/>
    </row>
    <row r="3691" spans="2:18" x14ac:dyDescent="0.2">
      <c r="B3691" s="1"/>
      <c r="C3691" s="2"/>
      <c r="D3691" s="2"/>
      <c r="F3691" s="1"/>
      <c r="G3691" s="2"/>
      <c r="H3691" s="2"/>
      <c r="J3691" s="3"/>
      <c r="K3691" s="3"/>
      <c r="L3691" s="3"/>
      <c r="N3691" s="3"/>
      <c r="O3691" s="3"/>
      <c r="P3691" s="3"/>
      <c r="R3691" s="3"/>
    </row>
    <row r="3692" spans="2:18" x14ac:dyDescent="0.2">
      <c r="B3692" s="1"/>
      <c r="C3692" s="2"/>
      <c r="D3692" s="2"/>
      <c r="F3692" s="1"/>
      <c r="G3692" s="2"/>
      <c r="H3692" s="2"/>
      <c r="J3692" s="3"/>
      <c r="K3692" s="3"/>
      <c r="L3692" s="3"/>
      <c r="N3692" s="3"/>
      <c r="O3692" s="3"/>
      <c r="P3692" s="3"/>
      <c r="R3692" s="3"/>
    </row>
    <row r="3693" spans="2:18" x14ac:dyDescent="0.2">
      <c r="B3693" s="1"/>
      <c r="C3693" s="2"/>
      <c r="D3693" s="2"/>
      <c r="F3693" s="1"/>
      <c r="G3693" s="2"/>
      <c r="H3693" s="2"/>
      <c r="J3693" s="3"/>
      <c r="K3693" s="3"/>
      <c r="L3693" s="3"/>
      <c r="N3693" s="3"/>
      <c r="O3693" s="3"/>
      <c r="P3693" s="3"/>
      <c r="R3693" s="3"/>
    </row>
    <row r="3694" spans="2:18" x14ac:dyDescent="0.2">
      <c r="B3694" s="1"/>
      <c r="C3694" s="2"/>
      <c r="D3694" s="2"/>
      <c r="F3694" s="1"/>
      <c r="G3694" s="2"/>
      <c r="H3694" s="2"/>
      <c r="J3694" s="3"/>
      <c r="K3694" s="3"/>
      <c r="L3694" s="3"/>
      <c r="N3694" s="3"/>
      <c r="O3694" s="3"/>
      <c r="P3694" s="3"/>
      <c r="R3694" s="3"/>
    </row>
    <row r="3695" spans="2:18" x14ac:dyDescent="0.2">
      <c r="B3695" s="1"/>
      <c r="C3695" s="2"/>
      <c r="D3695" s="2"/>
      <c r="F3695" s="1"/>
      <c r="G3695" s="2"/>
      <c r="H3695" s="2"/>
      <c r="J3695" s="3"/>
      <c r="K3695" s="3"/>
      <c r="L3695" s="3"/>
      <c r="N3695" s="3"/>
      <c r="O3695" s="3"/>
      <c r="P3695" s="3"/>
      <c r="R3695" s="3"/>
    </row>
    <row r="3696" spans="2:18" x14ac:dyDescent="0.2">
      <c r="B3696" s="1"/>
      <c r="C3696" s="2"/>
      <c r="D3696" s="2"/>
      <c r="F3696" s="1"/>
      <c r="G3696" s="2"/>
      <c r="H3696" s="2"/>
      <c r="J3696" s="3"/>
      <c r="K3696" s="3"/>
      <c r="L3696" s="3"/>
      <c r="N3696" s="3"/>
      <c r="O3696" s="3"/>
      <c r="P3696" s="3"/>
      <c r="R3696" s="3"/>
    </row>
    <row r="3697" spans="2:18" x14ac:dyDescent="0.2">
      <c r="B3697" s="1"/>
      <c r="C3697" s="2"/>
      <c r="D3697" s="2"/>
      <c r="F3697" s="1"/>
      <c r="G3697" s="2"/>
      <c r="H3697" s="2"/>
      <c r="J3697" s="3"/>
      <c r="K3697" s="3"/>
      <c r="L3697" s="3"/>
      <c r="N3697" s="3"/>
      <c r="O3697" s="3"/>
      <c r="P3697" s="3"/>
      <c r="R3697" s="3"/>
    </row>
    <row r="3698" spans="2:18" x14ac:dyDescent="0.2">
      <c r="B3698" s="1"/>
      <c r="C3698" s="2"/>
      <c r="D3698" s="2"/>
      <c r="F3698" s="1"/>
      <c r="G3698" s="2"/>
      <c r="H3698" s="2"/>
      <c r="J3698" s="3"/>
      <c r="K3698" s="3"/>
      <c r="L3698" s="3"/>
      <c r="N3698" s="3"/>
      <c r="O3698" s="3"/>
      <c r="P3698" s="3"/>
      <c r="R3698" s="3"/>
    </row>
    <row r="3699" spans="2:18" x14ac:dyDescent="0.2">
      <c r="B3699" s="1"/>
      <c r="C3699" s="2"/>
      <c r="D3699" s="2"/>
      <c r="F3699" s="1"/>
      <c r="G3699" s="2"/>
      <c r="H3699" s="2"/>
      <c r="J3699" s="3"/>
      <c r="K3699" s="3"/>
      <c r="L3699" s="3"/>
      <c r="N3699" s="3"/>
      <c r="O3699" s="3"/>
      <c r="P3699" s="3"/>
      <c r="R3699" s="3"/>
    </row>
    <row r="3700" spans="2:18" x14ac:dyDescent="0.2">
      <c r="B3700" s="1"/>
      <c r="C3700" s="2"/>
      <c r="D3700" s="2"/>
      <c r="F3700" s="1"/>
      <c r="G3700" s="2"/>
      <c r="H3700" s="2"/>
      <c r="J3700" s="3"/>
      <c r="K3700" s="3"/>
      <c r="L3700" s="3"/>
      <c r="N3700" s="3"/>
      <c r="O3700" s="3"/>
      <c r="P3700" s="3"/>
      <c r="R3700" s="3"/>
    </row>
    <row r="3701" spans="2:18" x14ac:dyDescent="0.2">
      <c r="B3701" s="1"/>
      <c r="C3701" s="2"/>
      <c r="D3701" s="2"/>
      <c r="F3701" s="1"/>
      <c r="G3701" s="2"/>
      <c r="H3701" s="2"/>
      <c r="J3701" s="3"/>
      <c r="K3701" s="3"/>
      <c r="L3701" s="3"/>
      <c r="N3701" s="3"/>
      <c r="O3701" s="3"/>
      <c r="P3701" s="3"/>
      <c r="R3701" s="3"/>
    </row>
    <row r="3702" spans="2:18" x14ac:dyDescent="0.2">
      <c r="B3702" s="1"/>
      <c r="C3702" s="2"/>
      <c r="D3702" s="2"/>
      <c r="F3702" s="1"/>
      <c r="G3702" s="2"/>
      <c r="H3702" s="2"/>
      <c r="J3702" s="3"/>
      <c r="K3702" s="3"/>
      <c r="L3702" s="3"/>
      <c r="N3702" s="3"/>
      <c r="O3702" s="3"/>
      <c r="P3702" s="3"/>
      <c r="R3702" s="3"/>
    </row>
    <row r="3703" spans="2:18" x14ac:dyDescent="0.2">
      <c r="B3703" s="1"/>
      <c r="C3703" s="2"/>
      <c r="D3703" s="2"/>
      <c r="F3703" s="1"/>
      <c r="G3703" s="2"/>
      <c r="H3703" s="2"/>
      <c r="J3703" s="3"/>
      <c r="K3703" s="3"/>
      <c r="L3703" s="3"/>
      <c r="N3703" s="3"/>
      <c r="O3703" s="3"/>
      <c r="P3703" s="3"/>
      <c r="R3703" s="3"/>
    </row>
    <row r="3704" spans="2:18" x14ac:dyDescent="0.2">
      <c r="B3704" s="1"/>
      <c r="C3704" s="2"/>
      <c r="D3704" s="2"/>
      <c r="F3704" s="1"/>
      <c r="G3704" s="2"/>
      <c r="H3704" s="2"/>
      <c r="J3704" s="3"/>
      <c r="K3704" s="3"/>
      <c r="L3704" s="3"/>
      <c r="N3704" s="3"/>
      <c r="O3704" s="3"/>
      <c r="P3704" s="3"/>
      <c r="R3704" s="3"/>
    </row>
    <row r="3705" spans="2:18" x14ac:dyDescent="0.2">
      <c r="B3705" s="1"/>
      <c r="C3705" s="2"/>
      <c r="D3705" s="2"/>
      <c r="F3705" s="1"/>
      <c r="G3705" s="2"/>
      <c r="H3705" s="2"/>
      <c r="J3705" s="3"/>
      <c r="K3705" s="3"/>
      <c r="L3705" s="3"/>
      <c r="N3705" s="3"/>
      <c r="O3705" s="3"/>
      <c r="P3705" s="3"/>
      <c r="R3705" s="3"/>
    </row>
    <row r="3706" spans="2:18" x14ac:dyDescent="0.2">
      <c r="B3706" s="1"/>
      <c r="C3706" s="2"/>
      <c r="D3706" s="2"/>
      <c r="F3706" s="1"/>
      <c r="G3706" s="2"/>
      <c r="H3706" s="2"/>
      <c r="J3706" s="3"/>
      <c r="K3706" s="3"/>
      <c r="L3706" s="3"/>
      <c r="N3706" s="3"/>
      <c r="O3706" s="3"/>
      <c r="P3706" s="3"/>
      <c r="R3706" s="3"/>
    </row>
    <row r="3707" spans="2:18" x14ac:dyDescent="0.2">
      <c r="B3707" s="1"/>
      <c r="C3707" s="2"/>
      <c r="D3707" s="2"/>
      <c r="F3707" s="1"/>
      <c r="G3707" s="2"/>
      <c r="H3707" s="2"/>
      <c r="J3707" s="3"/>
      <c r="K3707" s="3"/>
      <c r="L3707" s="3"/>
      <c r="N3707" s="3"/>
      <c r="O3707" s="3"/>
      <c r="P3707" s="3"/>
      <c r="R3707" s="3"/>
    </row>
    <row r="3708" spans="2:18" x14ac:dyDescent="0.2">
      <c r="B3708" s="1"/>
      <c r="C3708" s="2"/>
      <c r="D3708" s="2"/>
      <c r="F3708" s="1"/>
      <c r="G3708" s="2"/>
      <c r="H3708" s="2"/>
      <c r="J3708" s="3"/>
      <c r="K3708" s="3"/>
      <c r="L3708" s="3"/>
      <c r="N3708" s="3"/>
      <c r="O3708" s="3"/>
      <c r="P3708" s="3"/>
      <c r="R3708" s="3"/>
    </row>
    <row r="3709" spans="2:18" x14ac:dyDescent="0.2">
      <c r="B3709" s="1"/>
      <c r="C3709" s="2"/>
      <c r="D3709" s="2"/>
      <c r="F3709" s="1"/>
      <c r="G3709" s="2"/>
      <c r="H3709" s="2"/>
      <c r="J3709" s="3"/>
      <c r="K3709" s="3"/>
      <c r="L3709" s="3"/>
      <c r="N3709" s="3"/>
      <c r="O3709" s="3"/>
      <c r="P3709" s="3"/>
      <c r="R3709" s="3"/>
    </row>
    <row r="3710" spans="2:18" x14ac:dyDescent="0.2">
      <c r="B3710" s="1"/>
      <c r="C3710" s="2"/>
      <c r="D3710" s="2"/>
      <c r="F3710" s="1"/>
      <c r="G3710" s="2"/>
      <c r="H3710" s="2"/>
      <c r="J3710" s="3"/>
      <c r="K3710" s="3"/>
      <c r="L3710" s="3"/>
      <c r="N3710" s="3"/>
      <c r="O3710" s="3"/>
      <c r="P3710" s="3"/>
      <c r="R3710" s="3"/>
    </row>
    <row r="3711" spans="2:18" x14ac:dyDescent="0.2">
      <c r="B3711" s="1"/>
      <c r="C3711" s="2"/>
      <c r="D3711" s="2"/>
      <c r="F3711" s="1"/>
      <c r="G3711" s="2"/>
      <c r="H3711" s="2"/>
      <c r="J3711" s="3"/>
      <c r="K3711" s="3"/>
      <c r="L3711" s="3"/>
      <c r="N3711" s="3"/>
      <c r="O3711" s="3"/>
      <c r="P3711" s="3"/>
      <c r="R3711" s="3"/>
    </row>
    <row r="3712" spans="2:18" x14ac:dyDescent="0.2">
      <c r="B3712" s="1"/>
      <c r="C3712" s="2"/>
      <c r="D3712" s="2"/>
      <c r="F3712" s="1"/>
      <c r="G3712" s="2"/>
      <c r="H3712" s="2"/>
      <c r="J3712" s="3"/>
      <c r="K3712" s="3"/>
      <c r="L3712" s="3"/>
      <c r="N3712" s="3"/>
      <c r="O3712" s="3"/>
      <c r="P3712" s="3"/>
      <c r="R3712" s="3"/>
    </row>
    <row r="3713" spans="2:18" x14ac:dyDescent="0.2">
      <c r="B3713" s="1"/>
      <c r="C3713" s="2"/>
      <c r="D3713" s="2"/>
      <c r="F3713" s="1"/>
      <c r="G3713" s="2"/>
      <c r="H3713" s="2"/>
      <c r="J3713" s="3"/>
      <c r="K3713" s="3"/>
      <c r="L3713" s="3"/>
      <c r="N3713" s="3"/>
      <c r="O3713" s="3"/>
      <c r="P3713" s="3"/>
      <c r="R3713" s="3"/>
    </row>
    <row r="3714" spans="2:18" x14ac:dyDescent="0.2">
      <c r="B3714" s="1"/>
      <c r="C3714" s="2"/>
      <c r="D3714" s="2"/>
      <c r="F3714" s="1"/>
      <c r="G3714" s="2"/>
      <c r="H3714" s="2"/>
      <c r="J3714" s="3"/>
      <c r="K3714" s="3"/>
      <c r="L3714" s="3"/>
      <c r="N3714" s="3"/>
      <c r="O3714" s="3"/>
      <c r="P3714" s="3"/>
      <c r="R3714" s="3"/>
    </row>
    <row r="3715" spans="2:18" x14ac:dyDescent="0.2">
      <c r="B3715" s="1"/>
      <c r="C3715" s="2"/>
      <c r="D3715" s="2"/>
      <c r="F3715" s="1"/>
      <c r="G3715" s="2"/>
      <c r="H3715" s="2"/>
      <c r="J3715" s="3"/>
      <c r="K3715" s="3"/>
      <c r="L3715" s="3"/>
      <c r="N3715" s="3"/>
      <c r="O3715" s="3"/>
      <c r="P3715" s="3"/>
      <c r="R3715" s="3"/>
    </row>
    <row r="3716" spans="2:18" x14ac:dyDescent="0.2">
      <c r="B3716" s="1"/>
      <c r="C3716" s="2"/>
      <c r="D3716" s="2"/>
      <c r="F3716" s="1"/>
      <c r="G3716" s="2"/>
      <c r="H3716" s="2"/>
      <c r="J3716" s="3"/>
      <c r="K3716" s="3"/>
      <c r="L3716" s="3"/>
      <c r="N3716" s="3"/>
      <c r="O3716" s="3"/>
      <c r="P3716" s="3"/>
      <c r="R3716" s="3"/>
    </row>
    <row r="3717" spans="2:18" x14ac:dyDescent="0.2">
      <c r="B3717" s="1"/>
      <c r="C3717" s="2"/>
      <c r="D3717" s="2"/>
      <c r="F3717" s="1"/>
      <c r="G3717" s="2"/>
      <c r="H3717" s="2"/>
      <c r="J3717" s="3"/>
      <c r="K3717" s="3"/>
      <c r="L3717" s="3"/>
      <c r="N3717" s="3"/>
      <c r="O3717" s="3"/>
      <c r="P3717" s="3"/>
      <c r="R3717" s="3"/>
    </row>
    <row r="3718" spans="2:18" x14ac:dyDescent="0.2">
      <c r="B3718" s="1"/>
      <c r="C3718" s="2"/>
      <c r="D3718" s="2"/>
      <c r="F3718" s="1"/>
      <c r="G3718" s="2"/>
      <c r="H3718" s="2"/>
      <c r="J3718" s="3"/>
      <c r="K3718" s="3"/>
      <c r="L3718" s="3"/>
      <c r="N3718" s="3"/>
      <c r="O3718" s="3"/>
      <c r="P3718" s="3"/>
      <c r="R3718" s="3"/>
    </row>
    <row r="3719" spans="2:18" x14ac:dyDescent="0.2">
      <c r="B3719" s="1"/>
      <c r="C3719" s="2"/>
      <c r="D3719" s="2"/>
      <c r="F3719" s="1"/>
      <c r="G3719" s="2"/>
      <c r="H3719" s="2"/>
      <c r="J3719" s="3"/>
      <c r="K3719" s="3"/>
      <c r="L3719" s="3"/>
      <c r="N3719" s="3"/>
      <c r="O3719" s="3"/>
      <c r="P3719" s="3"/>
      <c r="R3719" s="3"/>
    </row>
    <row r="3720" spans="2:18" x14ac:dyDescent="0.2">
      <c r="B3720" s="1"/>
      <c r="C3720" s="2"/>
      <c r="D3720" s="2"/>
      <c r="F3720" s="1"/>
      <c r="G3720" s="2"/>
      <c r="H3720" s="2"/>
      <c r="J3720" s="3"/>
      <c r="K3720" s="3"/>
      <c r="L3720" s="3"/>
      <c r="N3720" s="3"/>
      <c r="O3720" s="3"/>
      <c r="P3720" s="3"/>
      <c r="R3720" s="3"/>
    </row>
    <row r="3721" spans="2:18" x14ac:dyDescent="0.2">
      <c r="B3721" s="1"/>
      <c r="C3721" s="2"/>
      <c r="D3721" s="2"/>
      <c r="F3721" s="1"/>
      <c r="G3721" s="2"/>
      <c r="H3721" s="2"/>
      <c r="J3721" s="3"/>
      <c r="K3721" s="3"/>
      <c r="L3721" s="3"/>
      <c r="N3721" s="3"/>
      <c r="O3721" s="3"/>
      <c r="P3721" s="3"/>
      <c r="R3721" s="3"/>
    </row>
    <row r="3722" spans="2:18" x14ac:dyDescent="0.2">
      <c r="B3722" s="1"/>
      <c r="C3722" s="2"/>
      <c r="D3722" s="2"/>
      <c r="F3722" s="1"/>
      <c r="G3722" s="2"/>
      <c r="H3722" s="2"/>
      <c r="J3722" s="3"/>
      <c r="K3722" s="3"/>
      <c r="L3722" s="3"/>
      <c r="N3722" s="3"/>
      <c r="O3722" s="3"/>
      <c r="P3722" s="3"/>
      <c r="R3722" s="3"/>
    </row>
    <row r="3723" spans="2:18" x14ac:dyDescent="0.2">
      <c r="B3723" s="1"/>
      <c r="C3723" s="2"/>
      <c r="D3723" s="2"/>
      <c r="F3723" s="1"/>
      <c r="G3723" s="2"/>
      <c r="H3723" s="2"/>
      <c r="J3723" s="3"/>
      <c r="K3723" s="3"/>
      <c r="L3723" s="3"/>
      <c r="N3723" s="3"/>
      <c r="O3723" s="3"/>
      <c r="P3723" s="3"/>
      <c r="R3723" s="3"/>
    </row>
    <row r="3724" spans="2:18" x14ac:dyDescent="0.2">
      <c r="B3724" s="1"/>
      <c r="C3724" s="2"/>
      <c r="D3724" s="2"/>
      <c r="F3724" s="1"/>
      <c r="G3724" s="2"/>
      <c r="H3724" s="2"/>
      <c r="J3724" s="3"/>
      <c r="K3724" s="3"/>
      <c r="L3724" s="3"/>
      <c r="N3724" s="3"/>
      <c r="O3724" s="3"/>
      <c r="P3724" s="3"/>
      <c r="R3724" s="3"/>
    </row>
    <row r="3725" spans="2:18" x14ac:dyDescent="0.2">
      <c r="B3725" s="1"/>
      <c r="C3725" s="2"/>
      <c r="D3725" s="2"/>
      <c r="F3725" s="1"/>
      <c r="G3725" s="2"/>
      <c r="H3725" s="2"/>
      <c r="J3725" s="3"/>
      <c r="K3725" s="3"/>
      <c r="L3725" s="3"/>
      <c r="N3725" s="3"/>
      <c r="O3725" s="3"/>
      <c r="P3725" s="3"/>
      <c r="R3725" s="3"/>
    </row>
    <row r="3726" spans="2:18" x14ac:dyDescent="0.2">
      <c r="B3726" s="1"/>
      <c r="C3726" s="2"/>
      <c r="D3726" s="2"/>
      <c r="F3726" s="1"/>
      <c r="G3726" s="2"/>
      <c r="H3726" s="2"/>
      <c r="J3726" s="3"/>
      <c r="K3726" s="3"/>
      <c r="L3726" s="3"/>
      <c r="N3726" s="3"/>
      <c r="O3726" s="3"/>
      <c r="P3726" s="3"/>
      <c r="R3726" s="3"/>
    </row>
    <row r="3727" spans="2:18" x14ac:dyDescent="0.2">
      <c r="B3727" s="1"/>
      <c r="C3727" s="2"/>
      <c r="D3727" s="2"/>
      <c r="F3727" s="1"/>
      <c r="G3727" s="2"/>
      <c r="H3727" s="2"/>
      <c r="J3727" s="3"/>
      <c r="K3727" s="3"/>
      <c r="L3727" s="3"/>
      <c r="N3727" s="3"/>
      <c r="O3727" s="3"/>
      <c r="P3727" s="3"/>
      <c r="R3727" s="3"/>
    </row>
    <row r="3728" spans="2:18" x14ac:dyDescent="0.2">
      <c r="B3728" s="1"/>
      <c r="C3728" s="2"/>
      <c r="D3728" s="2"/>
      <c r="F3728" s="1"/>
      <c r="G3728" s="2"/>
      <c r="H3728" s="2"/>
      <c r="J3728" s="3"/>
      <c r="K3728" s="3"/>
      <c r="L3728" s="3"/>
      <c r="N3728" s="3"/>
      <c r="O3728" s="3"/>
      <c r="P3728" s="3"/>
      <c r="R3728" s="3"/>
    </row>
    <row r="3729" spans="2:18" x14ac:dyDescent="0.2">
      <c r="B3729" s="1"/>
      <c r="C3729" s="2"/>
      <c r="D3729" s="2"/>
      <c r="F3729" s="1"/>
      <c r="G3729" s="2"/>
      <c r="H3729" s="2"/>
      <c r="J3729" s="3"/>
      <c r="K3729" s="3"/>
      <c r="L3729" s="3"/>
      <c r="N3729" s="3"/>
      <c r="O3729" s="3"/>
      <c r="P3729" s="3"/>
      <c r="R3729" s="3"/>
    </row>
    <row r="3730" spans="2:18" x14ac:dyDescent="0.2">
      <c r="B3730" s="1"/>
      <c r="C3730" s="2"/>
      <c r="D3730" s="2"/>
      <c r="F3730" s="1"/>
      <c r="G3730" s="2"/>
      <c r="H3730" s="2"/>
      <c r="J3730" s="3"/>
      <c r="K3730" s="3"/>
      <c r="L3730" s="3"/>
      <c r="N3730" s="3"/>
      <c r="O3730" s="3"/>
      <c r="P3730" s="3"/>
      <c r="R3730" s="3"/>
    </row>
    <row r="3731" spans="2:18" x14ac:dyDescent="0.2">
      <c r="B3731" s="1"/>
      <c r="C3731" s="2"/>
      <c r="D3731" s="2"/>
      <c r="F3731" s="1"/>
      <c r="G3731" s="2"/>
      <c r="H3731" s="2"/>
      <c r="J3731" s="3"/>
      <c r="K3731" s="3"/>
      <c r="L3731" s="3"/>
      <c r="N3731" s="3"/>
      <c r="O3731" s="3"/>
      <c r="P3731" s="3"/>
      <c r="R3731" s="3"/>
    </row>
    <row r="3732" spans="2:18" x14ac:dyDescent="0.2">
      <c r="B3732" s="1"/>
      <c r="C3732" s="2"/>
      <c r="D3732" s="2"/>
      <c r="F3732" s="1"/>
      <c r="G3732" s="2"/>
      <c r="H3732" s="2"/>
      <c r="J3732" s="3"/>
      <c r="K3732" s="3"/>
      <c r="L3732" s="3"/>
      <c r="N3732" s="3"/>
      <c r="O3732" s="3"/>
      <c r="P3732" s="3"/>
      <c r="R3732" s="3"/>
    </row>
    <row r="3733" spans="2:18" x14ac:dyDescent="0.2">
      <c r="B3733" s="1"/>
      <c r="C3733" s="2"/>
      <c r="D3733" s="2"/>
      <c r="F3733" s="1"/>
      <c r="G3733" s="2"/>
      <c r="H3733" s="2"/>
      <c r="J3733" s="3"/>
      <c r="K3733" s="3"/>
      <c r="L3733" s="3"/>
      <c r="N3733" s="3"/>
      <c r="O3733" s="3"/>
      <c r="P3733" s="3"/>
      <c r="R3733" s="3"/>
    </row>
    <row r="3734" spans="2:18" x14ac:dyDescent="0.2">
      <c r="B3734" s="1"/>
      <c r="C3734" s="2"/>
      <c r="D3734" s="2"/>
      <c r="F3734" s="1"/>
      <c r="G3734" s="2"/>
      <c r="H3734" s="2"/>
      <c r="J3734" s="3"/>
      <c r="K3734" s="3"/>
      <c r="L3734" s="3"/>
      <c r="N3734" s="3"/>
      <c r="O3734" s="3"/>
      <c r="P3734" s="3"/>
      <c r="R3734" s="3"/>
    </row>
    <row r="3735" spans="2:18" x14ac:dyDescent="0.2">
      <c r="B3735" s="1"/>
      <c r="C3735" s="2"/>
      <c r="D3735" s="2"/>
      <c r="F3735" s="1"/>
      <c r="G3735" s="2"/>
      <c r="H3735" s="2"/>
      <c r="J3735" s="3"/>
      <c r="K3735" s="3"/>
      <c r="L3735" s="3"/>
      <c r="N3735" s="3"/>
      <c r="O3735" s="3"/>
      <c r="P3735" s="3"/>
      <c r="R3735" s="3"/>
    </row>
    <row r="3736" spans="2:18" x14ac:dyDescent="0.2">
      <c r="B3736" s="1"/>
      <c r="C3736" s="2"/>
      <c r="D3736" s="2"/>
      <c r="F3736" s="1"/>
      <c r="G3736" s="2"/>
      <c r="H3736" s="2"/>
      <c r="J3736" s="3"/>
      <c r="K3736" s="3"/>
      <c r="L3736" s="3"/>
      <c r="N3736" s="3"/>
      <c r="O3736" s="3"/>
      <c r="P3736" s="3"/>
      <c r="R3736" s="3"/>
    </row>
    <row r="3737" spans="2:18" x14ac:dyDescent="0.2">
      <c r="B3737" s="1"/>
      <c r="C3737" s="2"/>
      <c r="D3737" s="2"/>
      <c r="F3737" s="1"/>
      <c r="G3737" s="2"/>
      <c r="H3737" s="2"/>
      <c r="J3737" s="3"/>
      <c r="K3737" s="3"/>
      <c r="L3737" s="3"/>
      <c r="N3737" s="3"/>
      <c r="O3737" s="3"/>
      <c r="P3737" s="3"/>
      <c r="R3737" s="3"/>
    </row>
    <row r="3738" spans="2:18" x14ac:dyDescent="0.2">
      <c r="B3738" s="1"/>
      <c r="C3738" s="2"/>
      <c r="D3738" s="2"/>
      <c r="F3738" s="1"/>
      <c r="G3738" s="2"/>
      <c r="H3738" s="2"/>
      <c r="J3738" s="3"/>
      <c r="K3738" s="3"/>
      <c r="L3738" s="3"/>
      <c r="N3738" s="3"/>
      <c r="O3738" s="3"/>
      <c r="P3738" s="3"/>
      <c r="R3738" s="3"/>
    </row>
    <row r="3739" spans="2:18" x14ac:dyDescent="0.2">
      <c r="B3739" s="1"/>
      <c r="C3739" s="2"/>
      <c r="D3739" s="2"/>
      <c r="F3739" s="1"/>
      <c r="G3739" s="2"/>
      <c r="H3739" s="2"/>
      <c r="J3739" s="3"/>
      <c r="K3739" s="3"/>
      <c r="L3739" s="3"/>
      <c r="N3739" s="3"/>
      <c r="O3739" s="3"/>
      <c r="P3739" s="3"/>
      <c r="R3739" s="3"/>
    </row>
    <row r="3740" spans="2:18" x14ac:dyDescent="0.2">
      <c r="B3740" s="1"/>
      <c r="C3740" s="2"/>
      <c r="D3740" s="2"/>
      <c r="F3740" s="1"/>
      <c r="G3740" s="2"/>
      <c r="H3740" s="2"/>
      <c r="J3740" s="3"/>
      <c r="K3740" s="3"/>
      <c r="L3740" s="3"/>
      <c r="N3740" s="3"/>
      <c r="O3740" s="3"/>
      <c r="P3740" s="3"/>
      <c r="R3740" s="3"/>
    </row>
    <row r="3741" spans="2:18" x14ac:dyDescent="0.2">
      <c r="B3741" s="1"/>
      <c r="C3741" s="2"/>
      <c r="D3741" s="2"/>
      <c r="F3741" s="1"/>
      <c r="G3741" s="2"/>
      <c r="H3741" s="2"/>
      <c r="J3741" s="3"/>
      <c r="K3741" s="3"/>
      <c r="L3741" s="3"/>
      <c r="N3741" s="3"/>
      <c r="O3741" s="3"/>
      <c r="P3741" s="3"/>
      <c r="R3741" s="3"/>
    </row>
    <row r="3742" spans="2:18" x14ac:dyDescent="0.2">
      <c r="B3742" s="1"/>
      <c r="C3742" s="2"/>
      <c r="D3742" s="2"/>
      <c r="F3742" s="1"/>
      <c r="G3742" s="2"/>
      <c r="H3742" s="2"/>
      <c r="J3742" s="3"/>
      <c r="K3742" s="3"/>
      <c r="L3742" s="3"/>
      <c r="N3742" s="3"/>
      <c r="O3742" s="3"/>
      <c r="P3742" s="3"/>
      <c r="R3742" s="3"/>
    </row>
    <row r="3743" spans="2:18" x14ac:dyDescent="0.2">
      <c r="B3743" s="1"/>
      <c r="C3743" s="2"/>
      <c r="D3743" s="2"/>
      <c r="F3743" s="1"/>
      <c r="G3743" s="2"/>
      <c r="H3743" s="2"/>
      <c r="J3743" s="3"/>
      <c r="K3743" s="3"/>
      <c r="L3743" s="3"/>
      <c r="N3743" s="3"/>
      <c r="O3743" s="3"/>
      <c r="P3743" s="3"/>
      <c r="R3743" s="3"/>
    </row>
    <row r="3744" spans="2:18" x14ac:dyDescent="0.2">
      <c r="B3744" s="1"/>
      <c r="C3744" s="2"/>
      <c r="D3744" s="2"/>
      <c r="F3744" s="1"/>
      <c r="G3744" s="2"/>
      <c r="H3744" s="2"/>
      <c r="J3744" s="3"/>
      <c r="K3744" s="3"/>
      <c r="L3744" s="3"/>
      <c r="N3744" s="3"/>
      <c r="O3744" s="3"/>
      <c r="P3744" s="3"/>
      <c r="R3744" s="3"/>
    </row>
    <row r="3745" spans="2:18" x14ac:dyDescent="0.2">
      <c r="B3745" s="1"/>
      <c r="C3745" s="2"/>
      <c r="D3745" s="2"/>
      <c r="F3745" s="1"/>
      <c r="G3745" s="2"/>
      <c r="H3745" s="2"/>
      <c r="J3745" s="3"/>
      <c r="K3745" s="3"/>
      <c r="L3745" s="3"/>
      <c r="N3745" s="3"/>
      <c r="O3745" s="3"/>
      <c r="P3745" s="3"/>
      <c r="R3745" s="3"/>
    </row>
    <row r="3746" spans="2:18" x14ac:dyDescent="0.2">
      <c r="B3746" s="1"/>
      <c r="C3746" s="2"/>
      <c r="D3746" s="2"/>
      <c r="F3746" s="1"/>
      <c r="G3746" s="2"/>
      <c r="H3746" s="2"/>
      <c r="J3746" s="3"/>
      <c r="K3746" s="3"/>
      <c r="L3746" s="3"/>
      <c r="N3746" s="3"/>
      <c r="O3746" s="3"/>
      <c r="P3746" s="3"/>
      <c r="R3746" s="3"/>
    </row>
    <row r="3747" spans="2:18" x14ac:dyDescent="0.2">
      <c r="B3747" s="1"/>
      <c r="C3747" s="2"/>
      <c r="D3747" s="2"/>
      <c r="F3747" s="1"/>
      <c r="G3747" s="2"/>
      <c r="H3747" s="2"/>
      <c r="J3747" s="3"/>
      <c r="K3747" s="3"/>
      <c r="L3747" s="3"/>
      <c r="N3747" s="3"/>
      <c r="O3747" s="3"/>
      <c r="P3747" s="3"/>
      <c r="R3747" s="3"/>
    </row>
    <row r="3748" spans="2:18" x14ac:dyDescent="0.2">
      <c r="B3748" s="1"/>
      <c r="C3748" s="2"/>
      <c r="D3748" s="2"/>
      <c r="F3748" s="1"/>
      <c r="G3748" s="2"/>
      <c r="H3748" s="2"/>
      <c r="J3748" s="3"/>
      <c r="K3748" s="3"/>
      <c r="L3748" s="3"/>
      <c r="N3748" s="3"/>
      <c r="O3748" s="3"/>
      <c r="P3748" s="3"/>
      <c r="R3748" s="3"/>
    </row>
    <row r="3749" spans="2:18" x14ac:dyDescent="0.2">
      <c r="B3749" s="1"/>
      <c r="C3749" s="2"/>
      <c r="D3749" s="2"/>
      <c r="F3749" s="1"/>
      <c r="G3749" s="2"/>
      <c r="H3749" s="2"/>
      <c r="J3749" s="3"/>
      <c r="K3749" s="3"/>
      <c r="L3749" s="3"/>
      <c r="N3749" s="3"/>
      <c r="O3749" s="3"/>
      <c r="P3749" s="3"/>
      <c r="R3749" s="3"/>
    </row>
    <row r="3750" spans="2:18" x14ac:dyDescent="0.2">
      <c r="B3750" s="1"/>
      <c r="C3750" s="2"/>
      <c r="D3750" s="2"/>
      <c r="F3750" s="1"/>
      <c r="G3750" s="2"/>
      <c r="H3750" s="2"/>
      <c r="J3750" s="3"/>
      <c r="K3750" s="3"/>
      <c r="L3750" s="3"/>
      <c r="N3750" s="3"/>
      <c r="O3750" s="3"/>
      <c r="P3750" s="3"/>
      <c r="R3750" s="3"/>
    </row>
    <row r="3751" spans="2:18" x14ac:dyDescent="0.2">
      <c r="B3751" s="1"/>
      <c r="C3751" s="2"/>
      <c r="D3751" s="2"/>
      <c r="F3751" s="1"/>
      <c r="G3751" s="2"/>
      <c r="H3751" s="2"/>
      <c r="J3751" s="3"/>
      <c r="K3751" s="3"/>
      <c r="L3751" s="3"/>
      <c r="N3751" s="3"/>
      <c r="O3751" s="3"/>
      <c r="P3751" s="3"/>
      <c r="R3751" s="3"/>
    </row>
    <row r="3752" spans="2:18" x14ac:dyDescent="0.2">
      <c r="B3752" s="1"/>
      <c r="C3752" s="2"/>
      <c r="D3752" s="2"/>
      <c r="F3752" s="1"/>
      <c r="G3752" s="2"/>
      <c r="H3752" s="2"/>
      <c r="J3752" s="3"/>
      <c r="K3752" s="3"/>
      <c r="L3752" s="3"/>
      <c r="N3752" s="3"/>
      <c r="O3752" s="3"/>
      <c r="P3752" s="3"/>
      <c r="R3752" s="3"/>
    </row>
    <row r="3753" spans="2:18" x14ac:dyDescent="0.2">
      <c r="B3753" s="1"/>
      <c r="C3753" s="2"/>
      <c r="D3753" s="2"/>
      <c r="F3753" s="1"/>
      <c r="G3753" s="2"/>
      <c r="H3753" s="2"/>
      <c r="J3753" s="3"/>
      <c r="K3753" s="3"/>
      <c r="L3753" s="3"/>
      <c r="N3753" s="3"/>
      <c r="O3753" s="3"/>
      <c r="P3753" s="3"/>
      <c r="R3753" s="3"/>
    </row>
    <row r="3754" spans="2:18" x14ac:dyDescent="0.2">
      <c r="B3754" s="1"/>
      <c r="C3754" s="2"/>
      <c r="D3754" s="2"/>
      <c r="F3754" s="1"/>
      <c r="G3754" s="2"/>
      <c r="H3754" s="2"/>
      <c r="J3754" s="3"/>
      <c r="K3754" s="3"/>
      <c r="L3754" s="3"/>
      <c r="N3754" s="3"/>
      <c r="O3754" s="3"/>
      <c r="P3754" s="3"/>
      <c r="R3754" s="3"/>
    </row>
    <row r="3755" spans="2:18" x14ac:dyDescent="0.2">
      <c r="B3755" s="1"/>
      <c r="C3755" s="2"/>
      <c r="D3755" s="2"/>
      <c r="F3755" s="1"/>
      <c r="G3755" s="2"/>
      <c r="H3755" s="2"/>
      <c r="J3755" s="3"/>
      <c r="K3755" s="3"/>
      <c r="L3755" s="3"/>
      <c r="N3755" s="3"/>
      <c r="O3755" s="3"/>
      <c r="P3755" s="3"/>
      <c r="R3755" s="3"/>
    </row>
    <row r="3756" spans="2:18" x14ac:dyDescent="0.2">
      <c r="B3756" s="1"/>
      <c r="C3756" s="2"/>
      <c r="D3756" s="2"/>
      <c r="F3756" s="1"/>
      <c r="G3756" s="2"/>
      <c r="H3756" s="2"/>
      <c r="J3756" s="3"/>
      <c r="K3756" s="3"/>
      <c r="L3756" s="3"/>
      <c r="N3756" s="3"/>
      <c r="O3756" s="3"/>
      <c r="P3756" s="3"/>
      <c r="R3756" s="3"/>
    </row>
    <row r="3757" spans="2:18" x14ac:dyDescent="0.2">
      <c r="B3757" s="1"/>
      <c r="C3757" s="2"/>
      <c r="D3757" s="2"/>
      <c r="F3757" s="1"/>
      <c r="G3757" s="2"/>
      <c r="H3757" s="2"/>
      <c r="J3757" s="3"/>
      <c r="K3757" s="3"/>
      <c r="L3757" s="3"/>
      <c r="N3757" s="3"/>
      <c r="O3757" s="3"/>
      <c r="P3757" s="3"/>
      <c r="R3757" s="3"/>
    </row>
    <row r="3758" spans="2:18" x14ac:dyDescent="0.2">
      <c r="B3758" s="1"/>
      <c r="C3758" s="2"/>
      <c r="D3758" s="2"/>
      <c r="F3758" s="1"/>
      <c r="G3758" s="2"/>
      <c r="H3758" s="2"/>
      <c r="J3758" s="3"/>
      <c r="K3758" s="3"/>
      <c r="L3758" s="3"/>
      <c r="N3758" s="3"/>
      <c r="O3758" s="3"/>
      <c r="P3758" s="3"/>
      <c r="R3758" s="3"/>
    </row>
    <row r="3759" spans="2:18" x14ac:dyDescent="0.2">
      <c r="B3759" s="1"/>
      <c r="C3759" s="2"/>
      <c r="D3759" s="2"/>
      <c r="F3759" s="1"/>
      <c r="G3759" s="2"/>
      <c r="H3759" s="2"/>
      <c r="J3759" s="3"/>
      <c r="K3759" s="3"/>
      <c r="L3759" s="3"/>
      <c r="N3759" s="3"/>
      <c r="O3759" s="3"/>
      <c r="P3759" s="3"/>
      <c r="R3759" s="3"/>
    </row>
    <row r="3760" spans="2:18" x14ac:dyDescent="0.2">
      <c r="B3760" s="1"/>
      <c r="C3760" s="2"/>
      <c r="D3760" s="2"/>
      <c r="F3760" s="1"/>
      <c r="G3760" s="2"/>
      <c r="H3760" s="2"/>
      <c r="J3760" s="3"/>
      <c r="K3760" s="3"/>
      <c r="L3760" s="3"/>
      <c r="N3760" s="3"/>
      <c r="O3760" s="3"/>
      <c r="P3760" s="3"/>
      <c r="R3760" s="3"/>
    </row>
    <row r="3761" spans="2:18" x14ac:dyDescent="0.2">
      <c r="B3761" s="1"/>
      <c r="C3761" s="2"/>
      <c r="D3761" s="2"/>
      <c r="F3761" s="1"/>
      <c r="G3761" s="2"/>
      <c r="H3761" s="2"/>
      <c r="J3761" s="3"/>
      <c r="K3761" s="3"/>
      <c r="L3761" s="3"/>
      <c r="N3761" s="3"/>
      <c r="O3761" s="3"/>
      <c r="P3761" s="3"/>
      <c r="R3761" s="3"/>
    </row>
    <row r="3762" spans="2:18" x14ac:dyDescent="0.2">
      <c r="B3762" s="1"/>
      <c r="C3762" s="2"/>
      <c r="D3762" s="2"/>
      <c r="F3762" s="1"/>
      <c r="G3762" s="2"/>
      <c r="H3762" s="2"/>
      <c r="J3762" s="3"/>
      <c r="K3762" s="3"/>
      <c r="L3762" s="3"/>
      <c r="N3762" s="3"/>
      <c r="O3762" s="3"/>
      <c r="P3762" s="3"/>
      <c r="R3762" s="3"/>
    </row>
    <row r="3763" spans="2:18" x14ac:dyDescent="0.2">
      <c r="B3763" s="1"/>
      <c r="C3763" s="2"/>
      <c r="D3763" s="2"/>
      <c r="F3763" s="1"/>
      <c r="G3763" s="2"/>
      <c r="H3763" s="2"/>
      <c r="J3763" s="3"/>
      <c r="K3763" s="3"/>
      <c r="L3763" s="3"/>
      <c r="N3763" s="3"/>
      <c r="O3763" s="3"/>
      <c r="P3763" s="3"/>
      <c r="R3763" s="3"/>
    </row>
    <row r="3764" spans="2:18" x14ac:dyDescent="0.2">
      <c r="B3764" s="1"/>
      <c r="C3764" s="2"/>
      <c r="D3764" s="2"/>
      <c r="F3764" s="1"/>
      <c r="G3764" s="2"/>
      <c r="H3764" s="2"/>
      <c r="J3764" s="3"/>
      <c r="K3764" s="3"/>
      <c r="L3764" s="3"/>
      <c r="N3764" s="3"/>
      <c r="O3764" s="3"/>
      <c r="P3764" s="3"/>
      <c r="R3764" s="3"/>
    </row>
    <row r="3765" spans="2:18" x14ac:dyDescent="0.2">
      <c r="B3765" s="1"/>
      <c r="C3765" s="2"/>
      <c r="D3765" s="2"/>
      <c r="F3765" s="1"/>
      <c r="G3765" s="2"/>
      <c r="H3765" s="2"/>
      <c r="J3765" s="3"/>
      <c r="K3765" s="3"/>
      <c r="L3765" s="3"/>
      <c r="N3765" s="3"/>
      <c r="O3765" s="3"/>
      <c r="P3765" s="3"/>
      <c r="R3765" s="3"/>
    </row>
    <row r="3766" spans="2:18" x14ac:dyDescent="0.2">
      <c r="B3766" s="1"/>
      <c r="C3766" s="2"/>
      <c r="D3766" s="2"/>
      <c r="F3766" s="1"/>
      <c r="G3766" s="2"/>
      <c r="H3766" s="2"/>
      <c r="J3766" s="3"/>
      <c r="K3766" s="3"/>
      <c r="L3766" s="3"/>
      <c r="N3766" s="3"/>
      <c r="O3766" s="3"/>
      <c r="P3766" s="3"/>
      <c r="R3766" s="3"/>
    </row>
    <row r="3767" spans="2:18" x14ac:dyDescent="0.2">
      <c r="B3767" s="1"/>
      <c r="C3767" s="2"/>
      <c r="D3767" s="2"/>
      <c r="F3767" s="1"/>
      <c r="G3767" s="2"/>
      <c r="H3767" s="2"/>
      <c r="J3767" s="3"/>
      <c r="K3767" s="3"/>
      <c r="L3767" s="3"/>
      <c r="N3767" s="3"/>
      <c r="O3767" s="3"/>
      <c r="P3767" s="3"/>
      <c r="R3767" s="3"/>
    </row>
    <row r="3768" spans="2:18" x14ac:dyDescent="0.2">
      <c r="B3768" s="1"/>
      <c r="C3768" s="2"/>
      <c r="D3768" s="2"/>
      <c r="F3768" s="1"/>
      <c r="G3768" s="2"/>
      <c r="H3768" s="2"/>
      <c r="J3768" s="3"/>
      <c r="K3768" s="3"/>
      <c r="L3768" s="3"/>
      <c r="N3768" s="3"/>
      <c r="O3768" s="3"/>
      <c r="P3768" s="3"/>
      <c r="R3768" s="3"/>
    </row>
    <row r="3769" spans="2:18" x14ac:dyDescent="0.2">
      <c r="B3769" s="1"/>
      <c r="C3769" s="2"/>
      <c r="D3769" s="2"/>
      <c r="F3769" s="1"/>
      <c r="G3769" s="2"/>
      <c r="H3769" s="2"/>
      <c r="J3769" s="3"/>
      <c r="K3769" s="3"/>
      <c r="L3769" s="3"/>
      <c r="N3769" s="3"/>
      <c r="O3769" s="3"/>
      <c r="P3769" s="3"/>
      <c r="R3769" s="3"/>
    </row>
    <row r="3770" spans="2:18" x14ac:dyDescent="0.2">
      <c r="B3770" s="1"/>
      <c r="C3770" s="2"/>
      <c r="D3770" s="2"/>
      <c r="F3770" s="1"/>
      <c r="G3770" s="2"/>
      <c r="H3770" s="2"/>
      <c r="J3770" s="3"/>
      <c r="K3770" s="3"/>
      <c r="L3770" s="3"/>
      <c r="N3770" s="3"/>
      <c r="O3770" s="3"/>
      <c r="P3770" s="3"/>
      <c r="R3770" s="3"/>
    </row>
    <row r="3771" spans="2:18" x14ac:dyDescent="0.2">
      <c r="B3771" s="1"/>
      <c r="C3771" s="2"/>
      <c r="D3771" s="2"/>
      <c r="F3771" s="1"/>
      <c r="G3771" s="2"/>
      <c r="H3771" s="2"/>
      <c r="J3771" s="3"/>
      <c r="K3771" s="3"/>
      <c r="L3771" s="3"/>
      <c r="N3771" s="3"/>
      <c r="O3771" s="3"/>
      <c r="P3771" s="3"/>
      <c r="R3771" s="3"/>
    </row>
    <row r="3772" spans="2:18" x14ac:dyDescent="0.2">
      <c r="B3772" s="1"/>
      <c r="C3772" s="2"/>
      <c r="D3772" s="2"/>
      <c r="F3772" s="1"/>
      <c r="G3772" s="2"/>
      <c r="H3772" s="2"/>
      <c r="J3772" s="3"/>
      <c r="K3772" s="3"/>
      <c r="L3772" s="3"/>
      <c r="N3772" s="3"/>
      <c r="O3772" s="3"/>
      <c r="P3772" s="3"/>
      <c r="R3772" s="3"/>
    </row>
    <row r="3773" spans="2:18" x14ac:dyDescent="0.2">
      <c r="B3773" s="1"/>
      <c r="C3773" s="2"/>
      <c r="D3773" s="2"/>
      <c r="F3773" s="1"/>
      <c r="G3773" s="2"/>
      <c r="H3773" s="2"/>
      <c r="J3773" s="3"/>
      <c r="K3773" s="3"/>
      <c r="L3773" s="3"/>
      <c r="N3773" s="3"/>
      <c r="O3773" s="3"/>
      <c r="P3773" s="3"/>
      <c r="R3773" s="3"/>
    </row>
    <row r="3774" spans="2:18" x14ac:dyDescent="0.2">
      <c r="B3774" s="1"/>
      <c r="C3774" s="2"/>
      <c r="D3774" s="2"/>
      <c r="F3774" s="1"/>
      <c r="G3774" s="2"/>
      <c r="H3774" s="2"/>
      <c r="J3774" s="3"/>
      <c r="K3774" s="3"/>
      <c r="L3774" s="3"/>
      <c r="N3774" s="3"/>
      <c r="O3774" s="3"/>
      <c r="P3774" s="3"/>
      <c r="R3774" s="3"/>
    </row>
    <row r="3775" spans="2:18" x14ac:dyDescent="0.2">
      <c r="B3775" s="1"/>
      <c r="C3775" s="2"/>
      <c r="D3775" s="2"/>
      <c r="F3775" s="1"/>
      <c r="G3775" s="2"/>
      <c r="H3775" s="2"/>
      <c r="J3775" s="3"/>
      <c r="K3775" s="3"/>
      <c r="L3775" s="3"/>
      <c r="N3775" s="3"/>
      <c r="O3775" s="3"/>
      <c r="P3775" s="3"/>
      <c r="R3775" s="3"/>
    </row>
    <row r="3776" spans="2:18" x14ac:dyDescent="0.2">
      <c r="B3776" s="1"/>
      <c r="C3776" s="2"/>
      <c r="D3776" s="2"/>
      <c r="F3776" s="1"/>
      <c r="G3776" s="2"/>
      <c r="H3776" s="2"/>
      <c r="J3776" s="3"/>
      <c r="K3776" s="3"/>
      <c r="L3776" s="3"/>
      <c r="N3776" s="3"/>
      <c r="O3776" s="3"/>
      <c r="P3776" s="3"/>
      <c r="R3776" s="3"/>
    </row>
    <row r="3777" spans="2:18" x14ac:dyDescent="0.2">
      <c r="B3777" s="1"/>
      <c r="C3777" s="2"/>
      <c r="D3777" s="2"/>
      <c r="F3777" s="1"/>
      <c r="G3777" s="2"/>
      <c r="H3777" s="2"/>
      <c r="J3777" s="3"/>
      <c r="K3777" s="3"/>
      <c r="L3777" s="3"/>
      <c r="N3777" s="3"/>
      <c r="O3777" s="3"/>
      <c r="P3777" s="3"/>
      <c r="R3777" s="3"/>
    </row>
    <row r="3778" spans="2:18" x14ac:dyDescent="0.2">
      <c r="B3778" s="1"/>
      <c r="C3778" s="2"/>
      <c r="D3778" s="2"/>
      <c r="F3778" s="1"/>
      <c r="G3778" s="2"/>
      <c r="H3778" s="2"/>
      <c r="J3778" s="3"/>
      <c r="K3778" s="3"/>
      <c r="L3778" s="3"/>
      <c r="N3778" s="3"/>
      <c r="O3778" s="3"/>
      <c r="P3778" s="3"/>
      <c r="R3778" s="3"/>
    </row>
    <row r="3779" spans="2:18" x14ac:dyDescent="0.2">
      <c r="B3779" s="1"/>
      <c r="C3779" s="2"/>
      <c r="D3779" s="2"/>
      <c r="F3779" s="1"/>
      <c r="G3779" s="2"/>
      <c r="H3779" s="2"/>
      <c r="J3779" s="3"/>
      <c r="K3779" s="3"/>
      <c r="L3779" s="3"/>
      <c r="N3779" s="3"/>
      <c r="O3779" s="3"/>
      <c r="P3779" s="3"/>
      <c r="R3779" s="3"/>
    </row>
    <row r="3780" spans="2:18" x14ac:dyDescent="0.2">
      <c r="B3780" s="1"/>
      <c r="C3780" s="2"/>
      <c r="D3780" s="2"/>
      <c r="F3780" s="1"/>
      <c r="G3780" s="2"/>
      <c r="H3780" s="2"/>
      <c r="J3780" s="3"/>
      <c r="K3780" s="3"/>
      <c r="L3780" s="3"/>
      <c r="N3780" s="3"/>
      <c r="O3780" s="3"/>
      <c r="P3780" s="3"/>
      <c r="R3780" s="3"/>
    </row>
    <row r="3781" spans="2:18" x14ac:dyDescent="0.2">
      <c r="B3781" s="1"/>
      <c r="C3781" s="2"/>
      <c r="D3781" s="2"/>
      <c r="F3781" s="1"/>
      <c r="G3781" s="2"/>
      <c r="H3781" s="2"/>
      <c r="J3781" s="3"/>
      <c r="K3781" s="3"/>
      <c r="L3781" s="3"/>
      <c r="N3781" s="3"/>
      <c r="O3781" s="3"/>
      <c r="P3781" s="3"/>
      <c r="R3781" s="3"/>
    </row>
    <row r="3782" spans="2:18" x14ac:dyDescent="0.2">
      <c r="B3782" s="1"/>
      <c r="C3782" s="2"/>
      <c r="D3782" s="2"/>
      <c r="F3782" s="1"/>
      <c r="G3782" s="2"/>
      <c r="H3782" s="2"/>
      <c r="J3782" s="3"/>
      <c r="K3782" s="3"/>
      <c r="L3782" s="3"/>
      <c r="N3782" s="3"/>
      <c r="O3782" s="3"/>
      <c r="P3782" s="3"/>
      <c r="R3782" s="3"/>
    </row>
    <row r="3783" spans="2:18" x14ac:dyDescent="0.2">
      <c r="B3783" s="1"/>
      <c r="C3783" s="2"/>
      <c r="D3783" s="2"/>
      <c r="F3783" s="1"/>
      <c r="G3783" s="2"/>
      <c r="H3783" s="2"/>
      <c r="J3783" s="3"/>
      <c r="K3783" s="3"/>
      <c r="L3783" s="3"/>
      <c r="N3783" s="3"/>
      <c r="O3783" s="3"/>
      <c r="P3783" s="3"/>
      <c r="R3783" s="3"/>
    </row>
    <row r="3784" spans="2:18" x14ac:dyDescent="0.2">
      <c r="B3784" s="1"/>
      <c r="C3784" s="2"/>
      <c r="D3784" s="2"/>
      <c r="F3784" s="1"/>
      <c r="G3784" s="2"/>
      <c r="H3784" s="2"/>
      <c r="J3784" s="3"/>
      <c r="K3784" s="3"/>
      <c r="L3784" s="3"/>
      <c r="N3784" s="3"/>
      <c r="O3784" s="3"/>
      <c r="P3784" s="3"/>
      <c r="R3784" s="3"/>
    </row>
    <row r="3785" spans="2:18" x14ac:dyDescent="0.2">
      <c r="B3785" s="1"/>
      <c r="C3785" s="2"/>
      <c r="D3785" s="2"/>
      <c r="F3785" s="1"/>
      <c r="G3785" s="2"/>
      <c r="H3785" s="2"/>
      <c r="J3785" s="3"/>
      <c r="K3785" s="3"/>
      <c r="L3785" s="3"/>
      <c r="N3785" s="3"/>
      <c r="O3785" s="3"/>
      <c r="P3785" s="3"/>
      <c r="R3785" s="3"/>
    </row>
    <row r="3786" spans="2:18" x14ac:dyDescent="0.2">
      <c r="B3786" s="1"/>
      <c r="C3786" s="2"/>
      <c r="D3786" s="2"/>
      <c r="F3786" s="1"/>
      <c r="G3786" s="2"/>
      <c r="H3786" s="2"/>
      <c r="J3786" s="3"/>
      <c r="K3786" s="3"/>
      <c r="L3786" s="3"/>
      <c r="N3786" s="3"/>
      <c r="O3786" s="3"/>
      <c r="P3786" s="3"/>
      <c r="R3786" s="3"/>
    </row>
    <row r="3787" spans="2:18" x14ac:dyDescent="0.2">
      <c r="B3787" s="1"/>
      <c r="C3787" s="2"/>
      <c r="D3787" s="2"/>
      <c r="F3787" s="1"/>
      <c r="G3787" s="2"/>
      <c r="H3787" s="2"/>
      <c r="J3787" s="3"/>
      <c r="K3787" s="3"/>
      <c r="L3787" s="3"/>
      <c r="N3787" s="3"/>
      <c r="O3787" s="3"/>
      <c r="P3787" s="3"/>
      <c r="R3787" s="3"/>
    </row>
    <row r="3788" spans="2:18" x14ac:dyDescent="0.2">
      <c r="B3788" s="1"/>
      <c r="C3788" s="2"/>
      <c r="D3788" s="2"/>
      <c r="F3788" s="1"/>
      <c r="G3788" s="2"/>
      <c r="H3788" s="2"/>
      <c r="J3788" s="3"/>
      <c r="K3788" s="3"/>
      <c r="L3788" s="3"/>
      <c r="N3788" s="3"/>
      <c r="O3788" s="3"/>
      <c r="P3788" s="3"/>
      <c r="R3788" s="3"/>
    </row>
    <row r="3789" spans="2:18" x14ac:dyDescent="0.2">
      <c r="B3789" s="1"/>
      <c r="C3789" s="2"/>
      <c r="D3789" s="2"/>
      <c r="F3789" s="1"/>
      <c r="G3789" s="2"/>
      <c r="H3789" s="2"/>
      <c r="J3789" s="3"/>
      <c r="K3789" s="3"/>
      <c r="L3789" s="3"/>
      <c r="N3789" s="3"/>
      <c r="O3789" s="3"/>
      <c r="P3789" s="3"/>
      <c r="R3789" s="3"/>
    </row>
    <row r="3790" spans="2:18" x14ac:dyDescent="0.2">
      <c r="B3790" s="1"/>
      <c r="C3790" s="2"/>
      <c r="D3790" s="2"/>
      <c r="F3790" s="1"/>
      <c r="G3790" s="2"/>
      <c r="H3790" s="2"/>
      <c r="J3790" s="3"/>
      <c r="K3790" s="3"/>
      <c r="L3790" s="3"/>
      <c r="N3790" s="3"/>
      <c r="O3790" s="3"/>
      <c r="P3790" s="3"/>
      <c r="R3790" s="3"/>
    </row>
    <row r="3791" spans="2:18" x14ac:dyDescent="0.2">
      <c r="B3791" s="1"/>
      <c r="C3791" s="2"/>
      <c r="D3791" s="2"/>
      <c r="F3791" s="1"/>
      <c r="G3791" s="2"/>
      <c r="H3791" s="2"/>
      <c r="J3791" s="3"/>
      <c r="K3791" s="3"/>
      <c r="L3791" s="3"/>
      <c r="N3791" s="3"/>
      <c r="O3791" s="3"/>
      <c r="P3791" s="3"/>
      <c r="R3791" s="3"/>
    </row>
    <row r="3792" spans="2:18" x14ac:dyDescent="0.2">
      <c r="B3792" s="1"/>
      <c r="C3792" s="2"/>
      <c r="D3792" s="2"/>
      <c r="F3792" s="1"/>
      <c r="G3792" s="2"/>
      <c r="H3792" s="2"/>
      <c r="J3792" s="3"/>
      <c r="K3792" s="3"/>
      <c r="L3792" s="3"/>
      <c r="N3792" s="3"/>
      <c r="O3792" s="3"/>
      <c r="P3792" s="3"/>
      <c r="R3792" s="3"/>
    </row>
    <row r="3793" spans="2:18" x14ac:dyDescent="0.2">
      <c r="B3793" s="1"/>
      <c r="C3793" s="2"/>
      <c r="D3793" s="2"/>
      <c r="F3793" s="1"/>
      <c r="G3793" s="2"/>
      <c r="H3793" s="2"/>
      <c r="J3793" s="3"/>
      <c r="K3793" s="3"/>
      <c r="L3793" s="3"/>
      <c r="N3793" s="3"/>
      <c r="O3793" s="3"/>
      <c r="P3793" s="3"/>
      <c r="R3793" s="3"/>
    </row>
    <row r="3794" spans="2:18" x14ac:dyDescent="0.2">
      <c r="B3794" s="1"/>
      <c r="C3794" s="2"/>
      <c r="D3794" s="2"/>
      <c r="F3794" s="1"/>
      <c r="G3794" s="2"/>
      <c r="H3794" s="2"/>
      <c r="J3794" s="3"/>
      <c r="K3794" s="3"/>
      <c r="L3794" s="3"/>
      <c r="N3794" s="3"/>
      <c r="O3794" s="3"/>
      <c r="P3794" s="3"/>
      <c r="R3794" s="3"/>
    </row>
    <row r="3795" spans="2:18" x14ac:dyDescent="0.2">
      <c r="B3795" s="1"/>
      <c r="C3795" s="2"/>
      <c r="D3795" s="2"/>
      <c r="F3795" s="1"/>
      <c r="G3795" s="2"/>
      <c r="H3795" s="2"/>
      <c r="J3795" s="3"/>
      <c r="K3795" s="3"/>
      <c r="L3795" s="3"/>
      <c r="N3795" s="3"/>
      <c r="O3795" s="3"/>
      <c r="P3795" s="3"/>
      <c r="R3795" s="3"/>
    </row>
    <row r="3796" spans="2:18" x14ac:dyDescent="0.2">
      <c r="B3796" s="1"/>
      <c r="C3796" s="2"/>
      <c r="D3796" s="2"/>
      <c r="F3796" s="1"/>
      <c r="G3796" s="2"/>
      <c r="H3796" s="2"/>
      <c r="J3796" s="3"/>
      <c r="K3796" s="3"/>
      <c r="L3796" s="3"/>
      <c r="N3796" s="3"/>
      <c r="O3796" s="3"/>
      <c r="P3796" s="3"/>
      <c r="R3796" s="3"/>
    </row>
    <row r="3797" spans="2:18" x14ac:dyDescent="0.2">
      <c r="B3797" s="1"/>
      <c r="C3797" s="2"/>
      <c r="D3797" s="2"/>
      <c r="F3797" s="1"/>
      <c r="G3797" s="2"/>
      <c r="H3797" s="2"/>
      <c r="J3797" s="3"/>
      <c r="K3797" s="3"/>
      <c r="L3797" s="3"/>
      <c r="N3797" s="3"/>
      <c r="O3797" s="3"/>
      <c r="P3797" s="3"/>
      <c r="R3797" s="3"/>
    </row>
    <row r="3798" spans="2:18" x14ac:dyDescent="0.2">
      <c r="B3798" s="1"/>
      <c r="C3798" s="2"/>
      <c r="D3798" s="2"/>
      <c r="F3798" s="1"/>
      <c r="G3798" s="2"/>
      <c r="H3798" s="2"/>
      <c r="J3798" s="3"/>
      <c r="K3798" s="3"/>
      <c r="L3798" s="3"/>
      <c r="N3798" s="3"/>
      <c r="O3798" s="3"/>
      <c r="P3798" s="3"/>
      <c r="R3798" s="3"/>
    </row>
    <row r="3799" spans="2:18" x14ac:dyDescent="0.2">
      <c r="B3799" s="1"/>
      <c r="C3799" s="2"/>
      <c r="D3799" s="2"/>
      <c r="F3799" s="1"/>
      <c r="G3799" s="2"/>
      <c r="H3799" s="2"/>
      <c r="J3799" s="3"/>
      <c r="K3799" s="3"/>
      <c r="L3799" s="3"/>
      <c r="N3799" s="3"/>
      <c r="O3799" s="3"/>
      <c r="P3799" s="3"/>
      <c r="R3799" s="3"/>
    </row>
    <row r="3800" spans="2:18" x14ac:dyDescent="0.2">
      <c r="B3800" s="1"/>
      <c r="C3800" s="2"/>
      <c r="D3800" s="2"/>
      <c r="F3800" s="1"/>
      <c r="G3800" s="2"/>
      <c r="H3800" s="2"/>
      <c r="J3800" s="3"/>
      <c r="K3800" s="3"/>
      <c r="L3800" s="3"/>
      <c r="N3800" s="3"/>
      <c r="O3800" s="3"/>
      <c r="P3800" s="3"/>
      <c r="R3800" s="3"/>
    </row>
    <row r="3801" spans="2:18" x14ac:dyDescent="0.2">
      <c r="B3801" s="1"/>
      <c r="C3801" s="2"/>
      <c r="D3801" s="2"/>
      <c r="F3801" s="1"/>
      <c r="G3801" s="2"/>
      <c r="H3801" s="2"/>
      <c r="J3801" s="3"/>
      <c r="K3801" s="3"/>
      <c r="L3801" s="3"/>
      <c r="N3801" s="3"/>
      <c r="O3801" s="3"/>
      <c r="P3801" s="3"/>
      <c r="R3801" s="3"/>
    </row>
    <row r="3802" spans="2:18" x14ac:dyDescent="0.2">
      <c r="B3802" s="1"/>
      <c r="C3802" s="2"/>
      <c r="D3802" s="2"/>
      <c r="F3802" s="1"/>
      <c r="G3802" s="2"/>
      <c r="H3802" s="2"/>
      <c r="J3802" s="3"/>
      <c r="K3802" s="3"/>
      <c r="L3802" s="3"/>
      <c r="N3802" s="3"/>
      <c r="O3802" s="3"/>
      <c r="P3802" s="3"/>
      <c r="R3802" s="3"/>
    </row>
    <row r="3803" spans="2:18" x14ac:dyDescent="0.2">
      <c r="B3803" s="1"/>
      <c r="C3803" s="2"/>
      <c r="D3803" s="2"/>
      <c r="F3803" s="1"/>
      <c r="G3803" s="2"/>
      <c r="H3803" s="2"/>
      <c r="J3803" s="3"/>
      <c r="K3803" s="3"/>
      <c r="L3803" s="3"/>
      <c r="N3803" s="3"/>
      <c r="O3803" s="3"/>
      <c r="P3803" s="3"/>
      <c r="R3803" s="3"/>
    </row>
    <row r="3804" spans="2:18" x14ac:dyDescent="0.2">
      <c r="B3804" s="1"/>
      <c r="C3804" s="2"/>
      <c r="D3804" s="2"/>
      <c r="F3804" s="1"/>
      <c r="G3804" s="2"/>
      <c r="H3804" s="2"/>
      <c r="J3804" s="3"/>
      <c r="K3804" s="3"/>
      <c r="L3804" s="3"/>
      <c r="N3804" s="3"/>
      <c r="O3804" s="3"/>
      <c r="P3804" s="3"/>
      <c r="R3804" s="3"/>
    </row>
    <row r="3805" spans="2:18" x14ac:dyDescent="0.2">
      <c r="B3805" s="1"/>
      <c r="C3805" s="2"/>
      <c r="D3805" s="2"/>
      <c r="F3805" s="1"/>
      <c r="G3805" s="2"/>
      <c r="H3805" s="2"/>
      <c r="J3805" s="3"/>
      <c r="K3805" s="3"/>
      <c r="L3805" s="3"/>
      <c r="N3805" s="3"/>
      <c r="O3805" s="3"/>
      <c r="P3805" s="3"/>
      <c r="R3805" s="3"/>
    </row>
    <row r="3806" spans="2:18" x14ac:dyDescent="0.2">
      <c r="B3806" s="1"/>
      <c r="C3806" s="2"/>
      <c r="D3806" s="2"/>
      <c r="F3806" s="1"/>
      <c r="G3806" s="2"/>
      <c r="H3806" s="2"/>
      <c r="J3806" s="3"/>
      <c r="K3806" s="3"/>
      <c r="L3806" s="3"/>
      <c r="N3806" s="3"/>
      <c r="O3806" s="3"/>
      <c r="P3806" s="3"/>
      <c r="R3806" s="3"/>
    </row>
    <row r="3807" spans="2:18" x14ac:dyDescent="0.2">
      <c r="B3807" s="1"/>
      <c r="C3807" s="2"/>
      <c r="D3807" s="2"/>
      <c r="F3807" s="1"/>
      <c r="G3807" s="2"/>
      <c r="H3807" s="2"/>
      <c r="J3807" s="3"/>
      <c r="K3807" s="3"/>
      <c r="L3807" s="3"/>
      <c r="N3807" s="3"/>
      <c r="O3807" s="3"/>
      <c r="P3807" s="3"/>
      <c r="R3807" s="3"/>
    </row>
    <row r="3808" spans="2:18" x14ac:dyDescent="0.2">
      <c r="B3808" s="1"/>
      <c r="C3808" s="2"/>
      <c r="D3808" s="2"/>
      <c r="F3808" s="1"/>
      <c r="G3808" s="2"/>
      <c r="H3808" s="2"/>
      <c r="J3808" s="3"/>
      <c r="K3808" s="3"/>
      <c r="L3808" s="3"/>
      <c r="N3808" s="3"/>
      <c r="O3808" s="3"/>
      <c r="P3808" s="3"/>
      <c r="R3808" s="3"/>
    </row>
    <row r="3809" spans="2:18" x14ac:dyDescent="0.2">
      <c r="B3809" s="1"/>
      <c r="C3809" s="2"/>
      <c r="D3809" s="2"/>
      <c r="F3809" s="1"/>
      <c r="G3809" s="2"/>
      <c r="H3809" s="2"/>
      <c r="J3809" s="3"/>
      <c r="K3809" s="3"/>
      <c r="L3809" s="3"/>
      <c r="N3809" s="3"/>
      <c r="O3809" s="3"/>
      <c r="P3809" s="3"/>
      <c r="R3809" s="3"/>
    </row>
    <row r="3810" spans="2:18" x14ac:dyDescent="0.2">
      <c r="B3810" s="1"/>
      <c r="C3810" s="2"/>
      <c r="D3810" s="2"/>
      <c r="F3810" s="1"/>
      <c r="G3810" s="2"/>
      <c r="H3810" s="2"/>
      <c r="J3810" s="3"/>
      <c r="K3810" s="3"/>
      <c r="L3810" s="3"/>
      <c r="N3810" s="3"/>
      <c r="O3810" s="3"/>
      <c r="P3810" s="3"/>
      <c r="R3810" s="3"/>
    </row>
    <row r="3811" spans="2:18" x14ac:dyDescent="0.2">
      <c r="B3811" s="1"/>
      <c r="C3811" s="2"/>
      <c r="D3811" s="2"/>
      <c r="F3811" s="1"/>
      <c r="G3811" s="2"/>
      <c r="H3811" s="2"/>
      <c r="J3811" s="3"/>
      <c r="K3811" s="3"/>
      <c r="L3811" s="3"/>
      <c r="N3811" s="3"/>
      <c r="O3811" s="3"/>
      <c r="P3811" s="3"/>
      <c r="R3811" s="3"/>
    </row>
    <row r="3812" spans="2:18" x14ac:dyDescent="0.2">
      <c r="B3812" s="1"/>
      <c r="C3812" s="2"/>
      <c r="D3812" s="2"/>
      <c r="F3812" s="1"/>
      <c r="G3812" s="2"/>
      <c r="H3812" s="2"/>
      <c r="J3812" s="3"/>
      <c r="K3812" s="3"/>
      <c r="L3812" s="3"/>
      <c r="N3812" s="3"/>
      <c r="O3812" s="3"/>
      <c r="P3812" s="3"/>
      <c r="R3812" s="3"/>
    </row>
    <row r="3813" spans="2:18" x14ac:dyDescent="0.2">
      <c r="B3813" s="1"/>
      <c r="C3813" s="2"/>
      <c r="D3813" s="2"/>
      <c r="F3813" s="1"/>
      <c r="G3813" s="2"/>
      <c r="H3813" s="2"/>
      <c r="J3813" s="3"/>
      <c r="K3813" s="3"/>
      <c r="L3813" s="3"/>
      <c r="N3813" s="3"/>
      <c r="O3813" s="3"/>
      <c r="P3813" s="3"/>
      <c r="R3813" s="3"/>
    </row>
    <row r="3814" spans="2:18" x14ac:dyDescent="0.2">
      <c r="B3814" s="1"/>
      <c r="C3814" s="2"/>
      <c r="D3814" s="2"/>
      <c r="F3814" s="1"/>
      <c r="G3814" s="2"/>
      <c r="H3814" s="2"/>
      <c r="J3814" s="3"/>
      <c r="K3814" s="3"/>
      <c r="L3814" s="3"/>
      <c r="N3814" s="3"/>
      <c r="O3814" s="3"/>
      <c r="P3814" s="3"/>
      <c r="R3814" s="3"/>
    </row>
    <row r="3815" spans="2:18" x14ac:dyDescent="0.2">
      <c r="B3815" s="1"/>
      <c r="C3815" s="2"/>
      <c r="D3815" s="2"/>
      <c r="F3815" s="1"/>
      <c r="G3815" s="2"/>
      <c r="H3815" s="2"/>
      <c r="J3815" s="3"/>
      <c r="K3815" s="3"/>
      <c r="L3815" s="3"/>
      <c r="N3815" s="3"/>
      <c r="O3815" s="3"/>
      <c r="P3815" s="3"/>
      <c r="R3815" s="3"/>
    </row>
    <row r="3816" spans="2:18" x14ac:dyDescent="0.2">
      <c r="B3816" s="1"/>
      <c r="C3816" s="2"/>
      <c r="D3816" s="2"/>
      <c r="F3816" s="1"/>
      <c r="G3816" s="2"/>
      <c r="H3816" s="2"/>
      <c r="J3816" s="3"/>
      <c r="K3816" s="3"/>
      <c r="L3816" s="3"/>
      <c r="N3816" s="3"/>
      <c r="O3816" s="3"/>
      <c r="P3816" s="3"/>
      <c r="R3816" s="3"/>
    </row>
    <row r="3817" spans="2:18" x14ac:dyDescent="0.2">
      <c r="B3817" s="1"/>
      <c r="C3817" s="2"/>
      <c r="D3817" s="2"/>
      <c r="F3817" s="1"/>
      <c r="G3817" s="2"/>
      <c r="H3817" s="2"/>
      <c r="J3817" s="3"/>
      <c r="K3817" s="3"/>
      <c r="L3817" s="3"/>
      <c r="N3817" s="3"/>
      <c r="O3817" s="3"/>
      <c r="P3817" s="3"/>
      <c r="R3817" s="3"/>
    </row>
    <row r="3818" spans="2:18" x14ac:dyDescent="0.2">
      <c r="B3818" s="1"/>
      <c r="C3818" s="2"/>
      <c r="D3818" s="2"/>
      <c r="F3818" s="1"/>
      <c r="G3818" s="2"/>
      <c r="H3818" s="2"/>
      <c r="J3818" s="3"/>
      <c r="K3818" s="3"/>
      <c r="L3818" s="3"/>
      <c r="N3818" s="3"/>
      <c r="O3818" s="3"/>
      <c r="P3818" s="3"/>
      <c r="R3818" s="3"/>
    </row>
    <row r="3819" spans="2:18" x14ac:dyDescent="0.2">
      <c r="B3819" s="1"/>
      <c r="C3819" s="2"/>
      <c r="D3819" s="2"/>
      <c r="F3819" s="1"/>
      <c r="G3819" s="2"/>
      <c r="H3819" s="2"/>
      <c r="J3819" s="3"/>
      <c r="K3819" s="3"/>
      <c r="L3819" s="3"/>
      <c r="N3819" s="3"/>
      <c r="O3819" s="3"/>
      <c r="P3819" s="3"/>
      <c r="R3819" s="3"/>
    </row>
    <row r="3820" spans="2:18" x14ac:dyDescent="0.2">
      <c r="B3820" s="1"/>
      <c r="C3820" s="2"/>
      <c r="D3820" s="2"/>
      <c r="F3820" s="1"/>
      <c r="G3820" s="2"/>
      <c r="H3820" s="2"/>
      <c r="J3820" s="3"/>
      <c r="K3820" s="3"/>
      <c r="L3820" s="3"/>
      <c r="N3820" s="3"/>
      <c r="O3820" s="3"/>
      <c r="P3820" s="3"/>
      <c r="R3820" s="3"/>
    </row>
    <row r="3821" spans="2:18" x14ac:dyDescent="0.2">
      <c r="B3821" s="1"/>
      <c r="C3821" s="2"/>
      <c r="D3821" s="2"/>
      <c r="F3821" s="1"/>
      <c r="G3821" s="2"/>
      <c r="H3821" s="2"/>
      <c r="J3821" s="3"/>
      <c r="K3821" s="3"/>
      <c r="L3821" s="3"/>
      <c r="N3821" s="3"/>
      <c r="O3821" s="3"/>
      <c r="P3821" s="3"/>
      <c r="R3821" s="3"/>
    </row>
    <row r="3822" spans="2:18" x14ac:dyDescent="0.2">
      <c r="B3822" s="1"/>
      <c r="C3822" s="2"/>
      <c r="D3822" s="2"/>
      <c r="F3822" s="1"/>
      <c r="G3822" s="2"/>
      <c r="H3822" s="2"/>
      <c r="J3822" s="3"/>
      <c r="K3822" s="3"/>
      <c r="L3822" s="3"/>
      <c r="N3822" s="3"/>
      <c r="O3822" s="3"/>
      <c r="P3822" s="3"/>
      <c r="R3822" s="3"/>
    </row>
    <row r="3823" spans="2:18" x14ac:dyDescent="0.2">
      <c r="B3823" s="1"/>
      <c r="C3823" s="2"/>
      <c r="D3823" s="2"/>
      <c r="F3823" s="1"/>
      <c r="G3823" s="2"/>
      <c r="H3823" s="2"/>
      <c r="J3823" s="3"/>
      <c r="K3823" s="3"/>
      <c r="L3823" s="3"/>
      <c r="N3823" s="3"/>
      <c r="O3823" s="3"/>
      <c r="P3823" s="3"/>
      <c r="R3823" s="3"/>
    </row>
    <row r="3824" spans="2:18" x14ac:dyDescent="0.2">
      <c r="B3824" s="1"/>
      <c r="C3824" s="2"/>
      <c r="D3824" s="2"/>
      <c r="F3824" s="1"/>
      <c r="G3824" s="2"/>
      <c r="H3824" s="2"/>
      <c r="J3824" s="3"/>
      <c r="K3824" s="3"/>
      <c r="L3824" s="3"/>
      <c r="N3824" s="3"/>
      <c r="O3824" s="3"/>
      <c r="P3824" s="3"/>
      <c r="R3824" s="3"/>
    </row>
    <row r="3825" spans="2:18" x14ac:dyDescent="0.2">
      <c r="B3825" s="1"/>
      <c r="C3825" s="2"/>
      <c r="D3825" s="2"/>
      <c r="F3825" s="1"/>
      <c r="G3825" s="2"/>
      <c r="H3825" s="2"/>
      <c r="J3825" s="3"/>
      <c r="K3825" s="3"/>
      <c r="L3825" s="3"/>
      <c r="N3825" s="3"/>
      <c r="O3825" s="3"/>
      <c r="P3825" s="3"/>
      <c r="R3825" s="3"/>
    </row>
    <row r="3826" spans="2:18" x14ac:dyDescent="0.2">
      <c r="B3826" s="1"/>
      <c r="C3826" s="2"/>
      <c r="D3826" s="2"/>
      <c r="F3826" s="1"/>
      <c r="G3826" s="2"/>
      <c r="H3826" s="2"/>
      <c r="J3826" s="3"/>
      <c r="K3826" s="3"/>
      <c r="L3826" s="3"/>
      <c r="N3826" s="3"/>
      <c r="O3826" s="3"/>
      <c r="P3826" s="3"/>
      <c r="R3826" s="3"/>
    </row>
    <row r="3827" spans="2:18" x14ac:dyDescent="0.2">
      <c r="B3827" s="1"/>
      <c r="C3827" s="2"/>
      <c r="D3827" s="2"/>
      <c r="F3827" s="1"/>
      <c r="G3827" s="2"/>
      <c r="H3827" s="2"/>
      <c r="J3827" s="3"/>
      <c r="K3827" s="3"/>
      <c r="L3827" s="3"/>
      <c r="N3827" s="3"/>
      <c r="O3827" s="3"/>
      <c r="P3827" s="3"/>
      <c r="R3827" s="3"/>
    </row>
    <row r="3828" spans="2:18" x14ac:dyDescent="0.2">
      <c r="B3828" s="1"/>
      <c r="C3828" s="2"/>
      <c r="D3828" s="2"/>
      <c r="F3828" s="1"/>
      <c r="G3828" s="2"/>
      <c r="H3828" s="2"/>
      <c r="J3828" s="3"/>
      <c r="K3828" s="3"/>
      <c r="L3828" s="3"/>
      <c r="N3828" s="3"/>
      <c r="O3828" s="3"/>
      <c r="P3828" s="3"/>
      <c r="R3828" s="3"/>
    </row>
    <row r="3829" spans="2:18" x14ac:dyDescent="0.2">
      <c r="B3829" s="1"/>
      <c r="C3829" s="2"/>
      <c r="D3829" s="2"/>
      <c r="F3829" s="1"/>
      <c r="G3829" s="2"/>
      <c r="H3829" s="2"/>
      <c r="J3829" s="3"/>
      <c r="K3829" s="3"/>
      <c r="L3829" s="3"/>
      <c r="N3829" s="3"/>
      <c r="O3829" s="3"/>
      <c r="P3829" s="3"/>
      <c r="R3829" s="3"/>
    </row>
    <row r="3830" spans="2:18" x14ac:dyDescent="0.2">
      <c r="B3830" s="1"/>
      <c r="C3830" s="2"/>
      <c r="D3830" s="2"/>
      <c r="F3830" s="1"/>
      <c r="G3830" s="2"/>
      <c r="H3830" s="2"/>
      <c r="J3830" s="3"/>
      <c r="K3830" s="3"/>
      <c r="L3830" s="3"/>
      <c r="N3830" s="3"/>
      <c r="O3830" s="3"/>
      <c r="P3830" s="3"/>
      <c r="R3830" s="3"/>
    </row>
    <row r="3831" spans="2:18" x14ac:dyDescent="0.2">
      <c r="B3831" s="1"/>
      <c r="C3831" s="2"/>
      <c r="D3831" s="2"/>
      <c r="F3831" s="1"/>
      <c r="G3831" s="2"/>
      <c r="H3831" s="2"/>
      <c r="J3831" s="3"/>
      <c r="K3831" s="3"/>
      <c r="L3831" s="3"/>
      <c r="N3831" s="3"/>
      <c r="O3831" s="3"/>
      <c r="P3831" s="3"/>
      <c r="R3831" s="3"/>
    </row>
    <row r="3832" spans="2:18" x14ac:dyDescent="0.2">
      <c r="B3832" s="1"/>
      <c r="C3832" s="2"/>
      <c r="D3832" s="2"/>
      <c r="F3832" s="1"/>
      <c r="G3832" s="2"/>
      <c r="H3832" s="2"/>
      <c r="J3832" s="3"/>
      <c r="K3832" s="3"/>
      <c r="L3832" s="3"/>
      <c r="N3832" s="3"/>
      <c r="O3832" s="3"/>
      <c r="P3832" s="3"/>
      <c r="R3832" s="3"/>
    </row>
    <row r="3833" spans="2:18" x14ac:dyDescent="0.2">
      <c r="B3833" s="1"/>
      <c r="C3833" s="2"/>
      <c r="D3833" s="2"/>
      <c r="F3833" s="1"/>
      <c r="G3833" s="2"/>
      <c r="H3833" s="2"/>
      <c r="J3833" s="3"/>
      <c r="K3833" s="3"/>
      <c r="L3833" s="3"/>
      <c r="N3833" s="3"/>
      <c r="O3833" s="3"/>
      <c r="P3833" s="3"/>
      <c r="R3833" s="3"/>
    </row>
    <row r="3834" spans="2:18" x14ac:dyDescent="0.2">
      <c r="B3834" s="1"/>
      <c r="C3834" s="2"/>
      <c r="D3834" s="2"/>
      <c r="F3834" s="1"/>
      <c r="G3834" s="2"/>
      <c r="H3834" s="2"/>
      <c r="J3834" s="3"/>
      <c r="K3834" s="3"/>
      <c r="L3834" s="3"/>
      <c r="N3834" s="3"/>
      <c r="O3834" s="3"/>
      <c r="P3834" s="3"/>
      <c r="R3834" s="3"/>
    </row>
    <row r="3835" spans="2:18" x14ac:dyDescent="0.2">
      <c r="B3835" s="1"/>
      <c r="C3835" s="2"/>
      <c r="D3835" s="2"/>
      <c r="F3835" s="1"/>
      <c r="G3835" s="2"/>
      <c r="H3835" s="2"/>
      <c r="J3835" s="3"/>
      <c r="K3835" s="3"/>
      <c r="L3835" s="3"/>
      <c r="N3835" s="3"/>
      <c r="O3835" s="3"/>
      <c r="P3835" s="3"/>
      <c r="R3835" s="3"/>
    </row>
    <row r="3836" spans="2:18" x14ac:dyDescent="0.2">
      <c r="B3836" s="1"/>
      <c r="C3836" s="2"/>
      <c r="D3836" s="2"/>
      <c r="F3836" s="1"/>
      <c r="G3836" s="2"/>
      <c r="H3836" s="2"/>
      <c r="J3836" s="3"/>
      <c r="K3836" s="3"/>
      <c r="L3836" s="3"/>
      <c r="N3836" s="3"/>
      <c r="O3836" s="3"/>
      <c r="P3836" s="3"/>
      <c r="R3836" s="3"/>
    </row>
    <row r="3837" spans="2:18" x14ac:dyDescent="0.2">
      <c r="B3837" s="1"/>
      <c r="C3837" s="2"/>
      <c r="D3837" s="2"/>
      <c r="F3837" s="1"/>
      <c r="G3837" s="2"/>
      <c r="H3837" s="2"/>
      <c r="J3837" s="3"/>
      <c r="K3837" s="3"/>
      <c r="L3837" s="3"/>
      <c r="N3837" s="3"/>
      <c r="O3837" s="3"/>
      <c r="P3837" s="3"/>
      <c r="R3837" s="3"/>
    </row>
    <row r="3838" spans="2:18" x14ac:dyDescent="0.2">
      <c r="B3838" s="1"/>
      <c r="C3838" s="2"/>
      <c r="D3838" s="2"/>
      <c r="F3838" s="1"/>
      <c r="G3838" s="2"/>
      <c r="H3838" s="2"/>
      <c r="J3838" s="3"/>
      <c r="K3838" s="3"/>
      <c r="L3838" s="3"/>
      <c r="N3838" s="3"/>
      <c r="O3838" s="3"/>
      <c r="P3838" s="3"/>
      <c r="R3838" s="3"/>
    </row>
    <row r="3839" spans="2:18" x14ac:dyDescent="0.2">
      <c r="B3839" s="1"/>
      <c r="C3839" s="2"/>
      <c r="D3839" s="2"/>
      <c r="F3839" s="1"/>
      <c r="G3839" s="2"/>
      <c r="H3839" s="2"/>
      <c r="J3839" s="3"/>
      <c r="K3839" s="3"/>
      <c r="L3839" s="3"/>
      <c r="N3839" s="3"/>
      <c r="O3839" s="3"/>
      <c r="P3839" s="3"/>
      <c r="R3839" s="3"/>
    </row>
    <row r="3840" spans="2:18" x14ac:dyDescent="0.2">
      <c r="B3840" s="1"/>
      <c r="C3840" s="2"/>
      <c r="D3840" s="2"/>
      <c r="F3840" s="1"/>
      <c r="G3840" s="2"/>
      <c r="H3840" s="2"/>
      <c r="J3840" s="3"/>
      <c r="K3840" s="3"/>
      <c r="L3840" s="3"/>
      <c r="N3840" s="3"/>
      <c r="O3840" s="3"/>
      <c r="P3840" s="3"/>
      <c r="R3840" s="3"/>
    </row>
    <row r="3841" spans="2:18" x14ac:dyDescent="0.2">
      <c r="B3841" s="1"/>
      <c r="C3841" s="2"/>
      <c r="D3841" s="2"/>
      <c r="F3841" s="1"/>
      <c r="G3841" s="2"/>
      <c r="H3841" s="2"/>
      <c r="J3841" s="3"/>
      <c r="K3841" s="3"/>
      <c r="L3841" s="3"/>
      <c r="N3841" s="3"/>
      <c r="O3841" s="3"/>
      <c r="P3841" s="3"/>
      <c r="R3841" s="3"/>
    </row>
    <row r="3842" spans="2:18" x14ac:dyDescent="0.2">
      <c r="B3842" s="1"/>
      <c r="C3842" s="2"/>
      <c r="D3842" s="2"/>
      <c r="F3842" s="1"/>
      <c r="G3842" s="2"/>
      <c r="H3842" s="2"/>
      <c r="J3842" s="3"/>
      <c r="K3842" s="3"/>
      <c r="L3842" s="3"/>
      <c r="N3842" s="3"/>
      <c r="O3842" s="3"/>
      <c r="P3842" s="3"/>
      <c r="R3842" s="3"/>
    </row>
    <row r="3843" spans="2:18" x14ac:dyDescent="0.2">
      <c r="B3843" s="1"/>
      <c r="C3843" s="2"/>
      <c r="D3843" s="2"/>
      <c r="F3843" s="1"/>
      <c r="G3843" s="2"/>
      <c r="H3843" s="2"/>
      <c r="J3843" s="3"/>
      <c r="K3843" s="3"/>
      <c r="L3843" s="3"/>
      <c r="N3843" s="3"/>
      <c r="O3843" s="3"/>
      <c r="P3843" s="3"/>
      <c r="R3843" s="3"/>
    </row>
    <row r="3844" spans="2:18" x14ac:dyDescent="0.2">
      <c r="B3844" s="1"/>
      <c r="C3844" s="2"/>
      <c r="D3844" s="2"/>
      <c r="F3844" s="1"/>
      <c r="G3844" s="2"/>
      <c r="H3844" s="2"/>
      <c r="J3844" s="3"/>
      <c r="K3844" s="3"/>
      <c r="L3844" s="3"/>
      <c r="N3844" s="3"/>
      <c r="O3844" s="3"/>
      <c r="P3844" s="3"/>
      <c r="R3844" s="3"/>
    </row>
    <row r="3845" spans="2:18" x14ac:dyDescent="0.2">
      <c r="B3845" s="1"/>
      <c r="C3845" s="2"/>
      <c r="D3845" s="2"/>
      <c r="F3845" s="1"/>
      <c r="G3845" s="2"/>
      <c r="H3845" s="2"/>
      <c r="J3845" s="3"/>
      <c r="K3845" s="3"/>
      <c r="L3845" s="3"/>
      <c r="N3845" s="3"/>
      <c r="O3845" s="3"/>
      <c r="P3845" s="3"/>
      <c r="R3845" s="3"/>
    </row>
    <row r="3846" spans="2:18" x14ac:dyDescent="0.2">
      <c r="B3846" s="1"/>
      <c r="C3846" s="2"/>
      <c r="D3846" s="2"/>
      <c r="F3846" s="1"/>
      <c r="G3846" s="2"/>
      <c r="H3846" s="2"/>
      <c r="J3846" s="3"/>
      <c r="K3846" s="3"/>
      <c r="L3846" s="3"/>
      <c r="N3846" s="3"/>
      <c r="O3846" s="3"/>
      <c r="P3846" s="3"/>
      <c r="R3846" s="3"/>
    </row>
    <row r="3847" spans="2:18" x14ac:dyDescent="0.2">
      <c r="B3847" s="1"/>
      <c r="C3847" s="2"/>
      <c r="D3847" s="2"/>
      <c r="F3847" s="1"/>
      <c r="G3847" s="2"/>
      <c r="H3847" s="2"/>
      <c r="J3847" s="3"/>
      <c r="K3847" s="3"/>
      <c r="L3847" s="3"/>
      <c r="N3847" s="3"/>
      <c r="O3847" s="3"/>
      <c r="P3847" s="3"/>
      <c r="R3847" s="3"/>
    </row>
    <row r="3848" spans="2:18" x14ac:dyDescent="0.2">
      <c r="B3848" s="1"/>
      <c r="C3848" s="2"/>
      <c r="D3848" s="2"/>
      <c r="F3848" s="1"/>
      <c r="G3848" s="2"/>
      <c r="H3848" s="2"/>
      <c r="J3848" s="3"/>
      <c r="K3848" s="3"/>
      <c r="L3848" s="3"/>
      <c r="N3848" s="3"/>
      <c r="O3848" s="3"/>
      <c r="P3848" s="3"/>
      <c r="R3848" s="3"/>
    </row>
    <row r="3849" spans="2:18" x14ac:dyDescent="0.2">
      <c r="B3849" s="1"/>
      <c r="C3849" s="2"/>
      <c r="D3849" s="2"/>
      <c r="F3849" s="1"/>
      <c r="G3849" s="2"/>
      <c r="H3849" s="2"/>
      <c r="J3849" s="3"/>
      <c r="K3849" s="3"/>
      <c r="L3849" s="3"/>
      <c r="N3849" s="3"/>
      <c r="O3849" s="3"/>
      <c r="P3849" s="3"/>
      <c r="R3849" s="3"/>
    </row>
    <row r="3850" spans="2:18" x14ac:dyDescent="0.2">
      <c r="B3850" s="1"/>
      <c r="C3850" s="2"/>
      <c r="D3850" s="2"/>
      <c r="F3850" s="1"/>
      <c r="G3850" s="2"/>
      <c r="H3850" s="2"/>
      <c r="J3850" s="3"/>
      <c r="K3850" s="3"/>
      <c r="L3850" s="3"/>
      <c r="N3850" s="3"/>
      <c r="O3850" s="3"/>
      <c r="P3850" s="3"/>
      <c r="R3850" s="3"/>
    </row>
    <row r="3851" spans="2:18" x14ac:dyDescent="0.2">
      <c r="B3851" s="1"/>
      <c r="C3851" s="2"/>
      <c r="D3851" s="2"/>
      <c r="F3851" s="1"/>
      <c r="G3851" s="2"/>
      <c r="H3851" s="2"/>
      <c r="J3851" s="3"/>
      <c r="K3851" s="3"/>
      <c r="L3851" s="3"/>
      <c r="N3851" s="3"/>
      <c r="O3851" s="3"/>
      <c r="P3851" s="3"/>
      <c r="R3851" s="3"/>
    </row>
    <row r="3852" spans="2:18" x14ac:dyDescent="0.2">
      <c r="B3852" s="1"/>
      <c r="C3852" s="2"/>
      <c r="D3852" s="2"/>
      <c r="F3852" s="1"/>
      <c r="G3852" s="2"/>
      <c r="H3852" s="2"/>
      <c r="J3852" s="3"/>
      <c r="K3852" s="3"/>
      <c r="L3852" s="3"/>
      <c r="N3852" s="3"/>
      <c r="O3852" s="3"/>
      <c r="P3852" s="3"/>
      <c r="R3852" s="3"/>
    </row>
    <row r="3853" spans="2:18" x14ac:dyDescent="0.2">
      <c r="B3853" s="1"/>
      <c r="C3853" s="2"/>
      <c r="D3853" s="2"/>
      <c r="F3853" s="1"/>
      <c r="G3853" s="2"/>
      <c r="H3853" s="2"/>
      <c r="J3853" s="3"/>
      <c r="K3853" s="3"/>
      <c r="L3853" s="3"/>
      <c r="N3853" s="3"/>
      <c r="O3853" s="3"/>
      <c r="P3853" s="3"/>
      <c r="R3853" s="3"/>
    </row>
    <row r="3854" spans="2:18" x14ac:dyDescent="0.2">
      <c r="B3854" s="1"/>
      <c r="C3854" s="2"/>
      <c r="D3854" s="2"/>
      <c r="F3854" s="1"/>
      <c r="G3854" s="2"/>
      <c r="H3854" s="2"/>
      <c r="J3854" s="3"/>
      <c r="K3854" s="3"/>
      <c r="L3854" s="3"/>
      <c r="N3854" s="3"/>
      <c r="O3854" s="3"/>
      <c r="P3854" s="3"/>
      <c r="R3854" s="3"/>
    </row>
    <row r="3855" spans="2:18" x14ac:dyDescent="0.2">
      <c r="B3855" s="1"/>
      <c r="C3855" s="2"/>
      <c r="D3855" s="2"/>
      <c r="F3855" s="1"/>
      <c r="G3855" s="2"/>
      <c r="H3855" s="2"/>
      <c r="J3855" s="3"/>
      <c r="K3855" s="3"/>
      <c r="L3855" s="3"/>
      <c r="N3855" s="3"/>
      <c r="O3855" s="3"/>
      <c r="P3855" s="3"/>
      <c r="R3855" s="3"/>
    </row>
    <row r="3856" spans="2:18" x14ac:dyDescent="0.2">
      <c r="B3856" s="1"/>
      <c r="C3856" s="2"/>
      <c r="D3856" s="2"/>
      <c r="F3856" s="1"/>
      <c r="G3856" s="2"/>
      <c r="H3856" s="2"/>
      <c r="J3856" s="3"/>
      <c r="K3856" s="3"/>
      <c r="L3856" s="3"/>
      <c r="N3856" s="3"/>
      <c r="O3856" s="3"/>
      <c r="P3856" s="3"/>
      <c r="R3856" s="3"/>
    </row>
    <row r="3857" spans="2:18" x14ac:dyDescent="0.2">
      <c r="B3857" s="1"/>
      <c r="C3857" s="2"/>
      <c r="D3857" s="2"/>
      <c r="F3857" s="1"/>
      <c r="G3857" s="2"/>
      <c r="H3857" s="2"/>
      <c r="J3857" s="3"/>
      <c r="K3857" s="3"/>
      <c r="L3857" s="3"/>
      <c r="N3857" s="3"/>
      <c r="O3857" s="3"/>
      <c r="P3857" s="3"/>
      <c r="R3857" s="3"/>
    </row>
    <row r="3858" spans="2:18" x14ac:dyDescent="0.2">
      <c r="B3858" s="1"/>
      <c r="C3858" s="2"/>
      <c r="D3858" s="2"/>
      <c r="F3858" s="1"/>
      <c r="G3858" s="2"/>
      <c r="H3858" s="2"/>
      <c r="J3858" s="3"/>
      <c r="K3858" s="3"/>
      <c r="L3858" s="3"/>
      <c r="N3858" s="3"/>
      <c r="O3858" s="3"/>
      <c r="P3858" s="3"/>
      <c r="R3858" s="3"/>
    </row>
    <row r="3859" spans="2:18" x14ac:dyDescent="0.2">
      <c r="B3859" s="1"/>
      <c r="C3859" s="2"/>
      <c r="D3859" s="2"/>
      <c r="F3859" s="1"/>
      <c r="G3859" s="2"/>
      <c r="H3859" s="2"/>
      <c r="J3859" s="3"/>
      <c r="K3859" s="3"/>
      <c r="L3859" s="3"/>
      <c r="N3859" s="3"/>
      <c r="O3859" s="3"/>
      <c r="P3859" s="3"/>
      <c r="R3859" s="3"/>
    </row>
    <row r="3860" spans="2:18" x14ac:dyDescent="0.2">
      <c r="B3860" s="1"/>
      <c r="C3860" s="2"/>
      <c r="D3860" s="2"/>
      <c r="F3860" s="1"/>
      <c r="G3860" s="2"/>
      <c r="H3860" s="2"/>
      <c r="J3860" s="3"/>
      <c r="K3860" s="3"/>
      <c r="L3860" s="3"/>
      <c r="N3860" s="3"/>
      <c r="O3860" s="3"/>
      <c r="P3860" s="3"/>
      <c r="R3860" s="3"/>
    </row>
    <row r="3861" spans="2:18" x14ac:dyDescent="0.2">
      <c r="B3861" s="1"/>
      <c r="C3861" s="2"/>
      <c r="D3861" s="2"/>
      <c r="F3861" s="1"/>
      <c r="G3861" s="2"/>
      <c r="H3861" s="2"/>
      <c r="J3861" s="3"/>
      <c r="K3861" s="3"/>
      <c r="L3861" s="3"/>
      <c r="N3861" s="3"/>
      <c r="O3861" s="3"/>
      <c r="P3861" s="3"/>
      <c r="R3861" s="3"/>
    </row>
    <row r="3862" spans="2:18" x14ac:dyDescent="0.2">
      <c r="B3862" s="1"/>
      <c r="C3862" s="2"/>
      <c r="D3862" s="2"/>
      <c r="F3862" s="1"/>
      <c r="G3862" s="2"/>
      <c r="H3862" s="2"/>
      <c r="J3862" s="3"/>
      <c r="K3862" s="3"/>
      <c r="L3862" s="3"/>
      <c r="N3862" s="3"/>
      <c r="O3862" s="3"/>
      <c r="P3862" s="3"/>
      <c r="R3862" s="3"/>
    </row>
    <row r="3863" spans="2:18" x14ac:dyDescent="0.2">
      <c r="B3863" s="1"/>
      <c r="C3863" s="2"/>
      <c r="D3863" s="2"/>
      <c r="F3863" s="1"/>
      <c r="G3863" s="2"/>
      <c r="H3863" s="2"/>
      <c r="J3863" s="3"/>
      <c r="K3863" s="3"/>
      <c r="L3863" s="3"/>
      <c r="N3863" s="3"/>
      <c r="O3863" s="3"/>
      <c r="P3863" s="3"/>
      <c r="R3863" s="3"/>
    </row>
    <row r="3864" spans="2:18" x14ac:dyDescent="0.2">
      <c r="B3864" s="1"/>
      <c r="C3864" s="2"/>
      <c r="D3864" s="2"/>
      <c r="F3864" s="1"/>
      <c r="G3864" s="2"/>
      <c r="H3864" s="2"/>
      <c r="J3864" s="3"/>
      <c r="K3864" s="3"/>
      <c r="L3864" s="3"/>
      <c r="N3864" s="3"/>
      <c r="O3864" s="3"/>
      <c r="P3864" s="3"/>
      <c r="R3864" s="3"/>
    </row>
    <row r="3865" spans="2:18" x14ac:dyDescent="0.2">
      <c r="B3865" s="1"/>
      <c r="C3865" s="2"/>
      <c r="D3865" s="2"/>
      <c r="F3865" s="1"/>
      <c r="G3865" s="2"/>
      <c r="H3865" s="2"/>
      <c r="J3865" s="3"/>
      <c r="K3865" s="3"/>
      <c r="L3865" s="3"/>
      <c r="N3865" s="3"/>
      <c r="O3865" s="3"/>
      <c r="P3865" s="3"/>
      <c r="R3865" s="3"/>
    </row>
    <row r="3866" spans="2:18" x14ac:dyDescent="0.2">
      <c r="B3866" s="1"/>
      <c r="C3866" s="2"/>
      <c r="D3866" s="2"/>
      <c r="F3866" s="1"/>
      <c r="G3866" s="2"/>
      <c r="H3866" s="2"/>
      <c r="J3866" s="3"/>
      <c r="K3866" s="3"/>
      <c r="L3866" s="3"/>
      <c r="N3866" s="3"/>
      <c r="O3866" s="3"/>
      <c r="P3866" s="3"/>
      <c r="R3866" s="3"/>
    </row>
    <row r="3867" spans="2:18" x14ac:dyDescent="0.2">
      <c r="B3867" s="1"/>
      <c r="C3867" s="2"/>
      <c r="D3867" s="2"/>
      <c r="F3867" s="1"/>
      <c r="G3867" s="2"/>
      <c r="H3867" s="2"/>
      <c r="J3867" s="3"/>
      <c r="K3867" s="3"/>
      <c r="L3867" s="3"/>
      <c r="N3867" s="3"/>
      <c r="O3867" s="3"/>
      <c r="P3867" s="3"/>
      <c r="R3867" s="3"/>
    </row>
    <row r="3868" spans="2:18" x14ac:dyDescent="0.2">
      <c r="B3868" s="1"/>
      <c r="C3868" s="2"/>
      <c r="D3868" s="2"/>
      <c r="F3868" s="1"/>
      <c r="G3868" s="2"/>
      <c r="H3868" s="2"/>
      <c r="J3868" s="3"/>
      <c r="K3868" s="3"/>
      <c r="L3868" s="3"/>
      <c r="N3868" s="3"/>
      <c r="O3868" s="3"/>
      <c r="P3868" s="3"/>
      <c r="R3868" s="3"/>
    </row>
    <row r="3869" spans="2:18" x14ac:dyDescent="0.2">
      <c r="B3869" s="1"/>
      <c r="C3869" s="2"/>
      <c r="D3869" s="2"/>
      <c r="F3869" s="1"/>
      <c r="G3869" s="2"/>
      <c r="H3869" s="2"/>
      <c r="J3869" s="3"/>
      <c r="K3869" s="3"/>
      <c r="L3869" s="3"/>
      <c r="N3869" s="3"/>
      <c r="O3869" s="3"/>
      <c r="P3869" s="3"/>
      <c r="R3869" s="3"/>
    </row>
    <row r="3870" spans="2:18" x14ac:dyDescent="0.2">
      <c r="B3870" s="1"/>
      <c r="C3870" s="2"/>
      <c r="D3870" s="2"/>
      <c r="F3870" s="1"/>
      <c r="G3870" s="2"/>
      <c r="H3870" s="2"/>
      <c r="J3870" s="3"/>
      <c r="K3870" s="3"/>
      <c r="L3870" s="3"/>
      <c r="N3870" s="3"/>
      <c r="O3870" s="3"/>
      <c r="P3870" s="3"/>
      <c r="R3870" s="3"/>
    </row>
    <row r="3871" spans="2:18" x14ac:dyDescent="0.2">
      <c r="B3871" s="1"/>
      <c r="C3871" s="2"/>
      <c r="D3871" s="2"/>
      <c r="F3871" s="1"/>
      <c r="G3871" s="2"/>
      <c r="H3871" s="2"/>
      <c r="J3871" s="3"/>
      <c r="K3871" s="3"/>
      <c r="L3871" s="3"/>
      <c r="N3871" s="3"/>
      <c r="O3871" s="3"/>
      <c r="P3871" s="3"/>
      <c r="R3871" s="3"/>
    </row>
    <row r="3872" spans="2:18" x14ac:dyDescent="0.2">
      <c r="B3872" s="1"/>
      <c r="C3872" s="2"/>
      <c r="D3872" s="2"/>
      <c r="F3872" s="1"/>
      <c r="G3872" s="2"/>
      <c r="H3872" s="2"/>
      <c r="J3872" s="3"/>
      <c r="K3872" s="3"/>
      <c r="L3872" s="3"/>
      <c r="N3872" s="3"/>
      <c r="O3872" s="3"/>
      <c r="P3872" s="3"/>
      <c r="R3872" s="3"/>
    </row>
    <row r="3873" spans="2:18" x14ac:dyDescent="0.2">
      <c r="B3873" s="1"/>
      <c r="C3873" s="2"/>
      <c r="D3873" s="2"/>
      <c r="F3873" s="1"/>
      <c r="G3873" s="2"/>
      <c r="H3873" s="2"/>
      <c r="J3873" s="3"/>
      <c r="K3873" s="3"/>
      <c r="L3873" s="3"/>
      <c r="N3873" s="3"/>
      <c r="O3873" s="3"/>
      <c r="P3873" s="3"/>
      <c r="R3873" s="3"/>
    </row>
    <row r="3874" spans="2:18" x14ac:dyDescent="0.2">
      <c r="B3874" s="1"/>
      <c r="C3874" s="2"/>
      <c r="D3874" s="2"/>
      <c r="F3874" s="1"/>
      <c r="G3874" s="2"/>
      <c r="H3874" s="2"/>
      <c r="J3874" s="3"/>
      <c r="K3874" s="3"/>
      <c r="L3874" s="3"/>
      <c r="N3874" s="3"/>
      <c r="O3874" s="3"/>
      <c r="P3874" s="3"/>
      <c r="R3874" s="3"/>
    </row>
    <row r="3875" spans="2:18" x14ac:dyDescent="0.2">
      <c r="B3875" s="1"/>
      <c r="C3875" s="2"/>
      <c r="D3875" s="2"/>
      <c r="F3875" s="1"/>
      <c r="G3875" s="2"/>
      <c r="H3875" s="2"/>
      <c r="J3875" s="3"/>
      <c r="K3875" s="3"/>
      <c r="L3875" s="3"/>
      <c r="N3875" s="3"/>
      <c r="O3875" s="3"/>
      <c r="P3875" s="3"/>
      <c r="R3875" s="3"/>
    </row>
    <row r="3876" spans="2:18" x14ac:dyDescent="0.2">
      <c r="B3876" s="1"/>
      <c r="C3876" s="2"/>
      <c r="D3876" s="2"/>
      <c r="F3876" s="1"/>
      <c r="G3876" s="2"/>
      <c r="H3876" s="2"/>
      <c r="J3876" s="3"/>
      <c r="K3876" s="3"/>
      <c r="L3876" s="3"/>
      <c r="N3876" s="3"/>
      <c r="O3876" s="3"/>
      <c r="P3876" s="3"/>
      <c r="R3876" s="3"/>
    </row>
    <row r="3877" spans="2:18" x14ac:dyDescent="0.2">
      <c r="B3877" s="1"/>
      <c r="C3877" s="2"/>
      <c r="D3877" s="2"/>
      <c r="F3877" s="1"/>
      <c r="G3877" s="2"/>
      <c r="H3877" s="2"/>
      <c r="J3877" s="3"/>
      <c r="K3877" s="3"/>
      <c r="L3877" s="3"/>
      <c r="N3877" s="3"/>
      <c r="O3877" s="3"/>
      <c r="P3877" s="3"/>
      <c r="R3877" s="3"/>
    </row>
    <row r="3878" spans="2:18" x14ac:dyDescent="0.2">
      <c r="B3878" s="1"/>
      <c r="C3878" s="2"/>
      <c r="D3878" s="2"/>
      <c r="F3878" s="1"/>
      <c r="G3878" s="2"/>
      <c r="H3878" s="2"/>
      <c r="J3878" s="3"/>
      <c r="K3878" s="3"/>
      <c r="L3878" s="3"/>
      <c r="N3878" s="3"/>
      <c r="O3878" s="3"/>
      <c r="P3878" s="3"/>
      <c r="R3878" s="3"/>
    </row>
    <row r="3879" spans="2:18" x14ac:dyDescent="0.2">
      <c r="B3879" s="1"/>
      <c r="C3879" s="2"/>
      <c r="D3879" s="2"/>
      <c r="F3879" s="1"/>
      <c r="G3879" s="2"/>
      <c r="H3879" s="2"/>
      <c r="J3879" s="3"/>
      <c r="K3879" s="3"/>
      <c r="L3879" s="3"/>
      <c r="N3879" s="3"/>
      <c r="O3879" s="3"/>
      <c r="P3879" s="3"/>
      <c r="R3879" s="3"/>
    </row>
    <row r="3880" spans="2:18" x14ac:dyDescent="0.2">
      <c r="B3880" s="1"/>
      <c r="C3880" s="2"/>
      <c r="D3880" s="2"/>
      <c r="F3880" s="1"/>
      <c r="G3880" s="2"/>
      <c r="H3880" s="2"/>
      <c r="J3880" s="3"/>
      <c r="K3880" s="3"/>
      <c r="L3880" s="3"/>
      <c r="N3880" s="3"/>
      <c r="O3880" s="3"/>
      <c r="P3880" s="3"/>
      <c r="R3880" s="3"/>
    </row>
    <row r="3881" spans="2:18" x14ac:dyDescent="0.2">
      <c r="B3881" s="1"/>
      <c r="C3881" s="2"/>
      <c r="D3881" s="2"/>
      <c r="F3881" s="1"/>
      <c r="G3881" s="2"/>
      <c r="H3881" s="2"/>
      <c r="J3881" s="3"/>
      <c r="K3881" s="3"/>
      <c r="L3881" s="3"/>
      <c r="N3881" s="3"/>
      <c r="O3881" s="3"/>
      <c r="P3881" s="3"/>
      <c r="R3881" s="3"/>
    </row>
    <row r="3882" spans="2:18" x14ac:dyDescent="0.2">
      <c r="B3882" s="1"/>
      <c r="C3882" s="2"/>
      <c r="D3882" s="2"/>
      <c r="F3882" s="1"/>
      <c r="G3882" s="2"/>
      <c r="H3882" s="2"/>
      <c r="J3882" s="3"/>
      <c r="K3882" s="3"/>
      <c r="L3882" s="3"/>
      <c r="N3882" s="3"/>
      <c r="O3882" s="3"/>
      <c r="P3882" s="3"/>
      <c r="R3882" s="3"/>
    </row>
    <row r="3883" spans="2:18" x14ac:dyDescent="0.2">
      <c r="B3883" s="1"/>
      <c r="C3883" s="2"/>
      <c r="D3883" s="2"/>
      <c r="F3883" s="1"/>
      <c r="G3883" s="2"/>
      <c r="H3883" s="2"/>
      <c r="J3883" s="3"/>
      <c r="K3883" s="3"/>
      <c r="L3883" s="3"/>
      <c r="N3883" s="3"/>
      <c r="O3883" s="3"/>
      <c r="P3883" s="3"/>
      <c r="R3883" s="3"/>
    </row>
    <row r="3884" spans="2:18" x14ac:dyDescent="0.2">
      <c r="B3884" s="1"/>
      <c r="C3884" s="2"/>
      <c r="D3884" s="2"/>
      <c r="F3884" s="1"/>
      <c r="G3884" s="2"/>
      <c r="H3884" s="2"/>
      <c r="J3884" s="3"/>
      <c r="K3884" s="3"/>
      <c r="L3884" s="3"/>
      <c r="N3884" s="3"/>
      <c r="O3884" s="3"/>
      <c r="P3884" s="3"/>
      <c r="R3884" s="3"/>
    </row>
    <row r="3885" spans="2:18" x14ac:dyDescent="0.2">
      <c r="B3885" s="1"/>
      <c r="C3885" s="2"/>
      <c r="D3885" s="2"/>
      <c r="F3885" s="1"/>
      <c r="G3885" s="2"/>
      <c r="H3885" s="2"/>
      <c r="J3885" s="3"/>
      <c r="K3885" s="3"/>
      <c r="L3885" s="3"/>
      <c r="N3885" s="3"/>
      <c r="O3885" s="3"/>
      <c r="P3885" s="3"/>
      <c r="R3885" s="3"/>
    </row>
    <row r="3886" spans="2:18" x14ac:dyDescent="0.2">
      <c r="B3886" s="1"/>
      <c r="C3886" s="2"/>
      <c r="D3886" s="2"/>
      <c r="F3886" s="1"/>
      <c r="G3886" s="2"/>
      <c r="H3886" s="2"/>
      <c r="J3886" s="3"/>
      <c r="K3886" s="3"/>
      <c r="L3886" s="3"/>
      <c r="N3886" s="3"/>
      <c r="O3886" s="3"/>
      <c r="P3886" s="3"/>
      <c r="R3886" s="3"/>
    </row>
    <row r="3887" spans="2:18" x14ac:dyDescent="0.2">
      <c r="B3887" s="1"/>
      <c r="C3887" s="2"/>
      <c r="D3887" s="2"/>
      <c r="F3887" s="1"/>
      <c r="G3887" s="2"/>
      <c r="H3887" s="2"/>
      <c r="J3887" s="3"/>
      <c r="K3887" s="3"/>
      <c r="L3887" s="3"/>
      <c r="N3887" s="3"/>
      <c r="O3887" s="3"/>
      <c r="P3887" s="3"/>
      <c r="R3887" s="3"/>
    </row>
    <row r="3888" spans="2:18" x14ac:dyDescent="0.2">
      <c r="B3888" s="1"/>
      <c r="C3888" s="2"/>
      <c r="D3888" s="2"/>
      <c r="F3888" s="1"/>
      <c r="G3888" s="2"/>
      <c r="H3888" s="2"/>
      <c r="J3888" s="3"/>
      <c r="K3888" s="3"/>
      <c r="L3888" s="3"/>
      <c r="N3888" s="3"/>
      <c r="O3888" s="3"/>
      <c r="P3888" s="3"/>
      <c r="R3888" s="3"/>
    </row>
    <row r="3889" spans="2:18" x14ac:dyDescent="0.2">
      <c r="B3889" s="1"/>
      <c r="C3889" s="2"/>
      <c r="D3889" s="2"/>
      <c r="F3889" s="1"/>
      <c r="G3889" s="2"/>
      <c r="H3889" s="2"/>
      <c r="J3889" s="3"/>
      <c r="K3889" s="3"/>
      <c r="L3889" s="3"/>
      <c r="N3889" s="3"/>
      <c r="O3889" s="3"/>
      <c r="P3889" s="3"/>
      <c r="R3889" s="3"/>
    </row>
    <row r="3890" spans="2:18" x14ac:dyDescent="0.2">
      <c r="B3890" s="1"/>
      <c r="C3890" s="2"/>
      <c r="D3890" s="2"/>
      <c r="F3890" s="1"/>
      <c r="G3890" s="2"/>
      <c r="H3890" s="2"/>
      <c r="J3890" s="3"/>
      <c r="K3890" s="3"/>
      <c r="L3890" s="3"/>
      <c r="N3890" s="3"/>
      <c r="O3890" s="3"/>
      <c r="P3890" s="3"/>
      <c r="R3890" s="3"/>
    </row>
    <row r="3891" spans="2:18" x14ac:dyDescent="0.2">
      <c r="B3891" s="1"/>
      <c r="C3891" s="2"/>
      <c r="D3891" s="2"/>
      <c r="F3891" s="1"/>
      <c r="G3891" s="2"/>
      <c r="H3891" s="2"/>
      <c r="J3891" s="3"/>
      <c r="K3891" s="3"/>
      <c r="L3891" s="3"/>
      <c r="N3891" s="3"/>
      <c r="O3891" s="3"/>
      <c r="P3891" s="3"/>
      <c r="R3891" s="3"/>
    </row>
    <row r="3892" spans="2:18" x14ac:dyDescent="0.2">
      <c r="B3892" s="1"/>
      <c r="C3892" s="2"/>
      <c r="D3892" s="2"/>
      <c r="F3892" s="1"/>
      <c r="G3892" s="2"/>
      <c r="H3892" s="2"/>
      <c r="J3892" s="3"/>
      <c r="K3892" s="3"/>
      <c r="L3892" s="3"/>
      <c r="N3892" s="3"/>
      <c r="O3892" s="3"/>
      <c r="P3892" s="3"/>
      <c r="R3892" s="3"/>
    </row>
    <row r="3893" spans="2:18" x14ac:dyDescent="0.2">
      <c r="B3893" s="1"/>
      <c r="C3893" s="2"/>
      <c r="D3893" s="2"/>
      <c r="F3893" s="1"/>
      <c r="G3893" s="2"/>
      <c r="H3893" s="2"/>
      <c r="J3893" s="3"/>
      <c r="K3893" s="3"/>
      <c r="L3893" s="3"/>
      <c r="N3893" s="3"/>
      <c r="O3893" s="3"/>
      <c r="P3893" s="3"/>
      <c r="R3893" s="3"/>
    </row>
    <row r="3894" spans="2:18" x14ac:dyDescent="0.2">
      <c r="B3894" s="1"/>
      <c r="C3894" s="2"/>
      <c r="D3894" s="2"/>
      <c r="F3894" s="1"/>
      <c r="G3894" s="2"/>
      <c r="H3894" s="2"/>
      <c r="J3894" s="3"/>
      <c r="K3894" s="3"/>
      <c r="L3894" s="3"/>
      <c r="N3894" s="3"/>
      <c r="O3894" s="3"/>
      <c r="P3894" s="3"/>
      <c r="R3894" s="3"/>
    </row>
    <row r="3895" spans="2:18" x14ac:dyDescent="0.2">
      <c r="B3895" s="1"/>
      <c r="C3895" s="2"/>
      <c r="D3895" s="2"/>
      <c r="F3895" s="1"/>
      <c r="G3895" s="2"/>
      <c r="H3895" s="2"/>
      <c r="J3895" s="3"/>
      <c r="K3895" s="3"/>
      <c r="L3895" s="3"/>
      <c r="N3895" s="3"/>
      <c r="O3895" s="3"/>
      <c r="P3895" s="3"/>
      <c r="R3895" s="3"/>
    </row>
    <row r="3896" spans="2:18" x14ac:dyDescent="0.2">
      <c r="B3896" s="1"/>
      <c r="C3896" s="2"/>
      <c r="D3896" s="2"/>
      <c r="F3896" s="1"/>
      <c r="G3896" s="2"/>
      <c r="H3896" s="2"/>
      <c r="J3896" s="3"/>
      <c r="K3896" s="3"/>
      <c r="L3896" s="3"/>
      <c r="N3896" s="3"/>
      <c r="O3896" s="3"/>
      <c r="P3896" s="3"/>
      <c r="R3896" s="3"/>
    </row>
    <row r="3897" spans="2:18" x14ac:dyDescent="0.2">
      <c r="B3897" s="1"/>
      <c r="C3897" s="2"/>
      <c r="D3897" s="2"/>
      <c r="F3897" s="1"/>
      <c r="G3897" s="2"/>
      <c r="H3897" s="2"/>
      <c r="J3897" s="3"/>
      <c r="K3897" s="3"/>
      <c r="L3897" s="3"/>
      <c r="N3897" s="3"/>
      <c r="O3897" s="3"/>
      <c r="P3897" s="3"/>
      <c r="R3897" s="3"/>
    </row>
    <row r="3898" spans="2:18" x14ac:dyDescent="0.2">
      <c r="B3898" s="1"/>
      <c r="C3898" s="2"/>
      <c r="D3898" s="2"/>
      <c r="F3898" s="1"/>
      <c r="G3898" s="2"/>
      <c r="H3898" s="2"/>
      <c r="J3898" s="3"/>
      <c r="K3898" s="3"/>
      <c r="L3898" s="3"/>
      <c r="N3898" s="3"/>
      <c r="O3898" s="3"/>
      <c r="P3898" s="3"/>
      <c r="R3898" s="3"/>
    </row>
    <row r="3899" spans="2:18" x14ac:dyDescent="0.2">
      <c r="B3899" s="1"/>
      <c r="C3899" s="2"/>
      <c r="D3899" s="2"/>
      <c r="F3899" s="1"/>
      <c r="G3899" s="2"/>
      <c r="H3899" s="2"/>
      <c r="J3899" s="3"/>
      <c r="K3899" s="3"/>
      <c r="L3899" s="3"/>
      <c r="N3899" s="3"/>
      <c r="O3899" s="3"/>
      <c r="P3899" s="3"/>
      <c r="R3899" s="3"/>
    </row>
    <row r="3900" spans="2:18" x14ac:dyDescent="0.2">
      <c r="B3900" s="1"/>
      <c r="C3900" s="2"/>
      <c r="D3900" s="2"/>
      <c r="F3900" s="1"/>
      <c r="G3900" s="2"/>
      <c r="H3900" s="2"/>
      <c r="J3900" s="3"/>
      <c r="K3900" s="3"/>
      <c r="L3900" s="3"/>
      <c r="N3900" s="3"/>
      <c r="O3900" s="3"/>
      <c r="P3900" s="3"/>
      <c r="R3900" s="3"/>
    </row>
    <row r="3901" spans="2:18" x14ac:dyDescent="0.2">
      <c r="B3901" s="1"/>
      <c r="C3901" s="2"/>
      <c r="D3901" s="2"/>
      <c r="F3901" s="1"/>
      <c r="G3901" s="2"/>
      <c r="H3901" s="2"/>
      <c r="J3901" s="3"/>
      <c r="K3901" s="3"/>
      <c r="L3901" s="3"/>
      <c r="N3901" s="3"/>
      <c r="O3901" s="3"/>
      <c r="P3901" s="3"/>
      <c r="R3901" s="3"/>
    </row>
    <row r="3902" spans="2:18" x14ac:dyDescent="0.2">
      <c r="B3902" s="1"/>
      <c r="C3902" s="2"/>
      <c r="D3902" s="2"/>
      <c r="F3902" s="1"/>
      <c r="G3902" s="2"/>
      <c r="H3902" s="2"/>
      <c r="J3902" s="3"/>
      <c r="K3902" s="3"/>
      <c r="L3902" s="3"/>
      <c r="N3902" s="3"/>
      <c r="O3902" s="3"/>
      <c r="P3902" s="3"/>
      <c r="R3902" s="3"/>
    </row>
    <row r="3903" spans="2:18" x14ac:dyDescent="0.2">
      <c r="B3903" s="1"/>
      <c r="C3903" s="2"/>
      <c r="D3903" s="2"/>
      <c r="F3903" s="1"/>
      <c r="G3903" s="2"/>
      <c r="H3903" s="2"/>
      <c r="J3903" s="3"/>
      <c r="K3903" s="3"/>
      <c r="L3903" s="3"/>
      <c r="N3903" s="3"/>
      <c r="O3903" s="3"/>
      <c r="P3903" s="3"/>
      <c r="R3903" s="3"/>
    </row>
    <row r="3904" spans="2:18" x14ac:dyDescent="0.2">
      <c r="B3904" s="1"/>
      <c r="C3904" s="2"/>
      <c r="D3904" s="2"/>
      <c r="F3904" s="1"/>
      <c r="G3904" s="2"/>
      <c r="H3904" s="2"/>
      <c r="J3904" s="3"/>
      <c r="K3904" s="3"/>
      <c r="L3904" s="3"/>
      <c r="N3904" s="3"/>
      <c r="O3904" s="3"/>
      <c r="P3904" s="3"/>
      <c r="R3904" s="3"/>
    </row>
    <row r="3905" spans="2:18" x14ac:dyDescent="0.2">
      <c r="B3905" s="1"/>
      <c r="C3905" s="2"/>
      <c r="D3905" s="2"/>
      <c r="F3905" s="1"/>
      <c r="G3905" s="2"/>
      <c r="H3905" s="2"/>
      <c r="J3905" s="3"/>
      <c r="K3905" s="3"/>
      <c r="L3905" s="3"/>
      <c r="N3905" s="3"/>
      <c r="O3905" s="3"/>
      <c r="P3905" s="3"/>
      <c r="R3905" s="3"/>
    </row>
    <row r="3906" spans="2:18" x14ac:dyDescent="0.2">
      <c r="B3906" s="1"/>
      <c r="C3906" s="2"/>
      <c r="D3906" s="2"/>
      <c r="F3906" s="1"/>
      <c r="G3906" s="2"/>
      <c r="H3906" s="2"/>
      <c r="J3906" s="3"/>
      <c r="K3906" s="3"/>
      <c r="L3906" s="3"/>
      <c r="N3906" s="3"/>
      <c r="O3906" s="3"/>
      <c r="P3906" s="3"/>
      <c r="R3906" s="3"/>
    </row>
    <row r="3907" spans="2:18" x14ac:dyDescent="0.2">
      <c r="B3907" s="1"/>
      <c r="C3907" s="2"/>
      <c r="D3907" s="2"/>
      <c r="F3907" s="1"/>
      <c r="G3907" s="2"/>
      <c r="H3907" s="2"/>
      <c r="J3907" s="3"/>
      <c r="K3907" s="3"/>
      <c r="L3907" s="3"/>
      <c r="N3907" s="3"/>
      <c r="O3907" s="3"/>
      <c r="P3907" s="3"/>
      <c r="R3907" s="3"/>
    </row>
    <row r="3908" spans="2:18" x14ac:dyDescent="0.2">
      <c r="B3908" s="1"/>
      <c r="C3908" s="2"/>
      <c r="D3908" s="2"/>
      <c r="F3908" s="1"/>
      <c r="G3908" s="2"/>
      <c r="H3908" s="2"/>
      <c r="J3908" s="3"/>
      <c r="K3908" s="3"/>
      <c r="L3908" s="3"/>
      <c r="N3908" s="3"/>
      <c r="O3908" s="3"/>
      <c r="P3908" s="3"/>
      <c r="R3908" s="3"/>
    </row>
    <row r="3909" spans="2:18" x14ac:dyDescent="0.2">
      <c r="B3909" s="1"/>
      <c r="C3909" s="2"/>
      <c r="D3909" s="2"/>
      <c r="F3909" s="1"/>
      <c r="G3909" s="2"/>
      <c r="H3909" s="2"/>
      <c r="J3909" s="3"/>
      <c r="K3909" s="3"/>
      <c r="L3909" s="3"/>
      <c r="N3909" s="3"/>
      <c r="O3909" s="3"/>
      <c r="P3909" s="3"/>
      <c r="R3909" s="3"/>
    </row>
    <row r="3910" spans="2:18" x14ac:dyDescent="0.2">
      <c r="B3910" s="1"/>
      <c r="C3910" s="2"/>
      <c r="D3910" s="2"/>
      <c r="F3910" s="1"/>
      <c r="G3910" s="2"/>
      <c r="H3910" s="2"/>
      <c r="J3910" s="3"/>
      <c r="K3910" s="3"/>
      <c r="L3910" s="3"/>
      <c r="N3910" s="3"/>
      <c r="O3910" s="3"/>
      <c r="P3910" s="3"/>
      <c r="R3910" s="3"/>
    </row>
    <row r="3911" spans="2:18" x14ac:dyDescent="0.2">
      <c r="B3911" s="1"/>
      <c r="C3911" s="2"/>
      <c r="D3911" s="2"/>
      <c r="F3911" s="1"/>
      <c r="G3911" s="2"/>
      <c r="H3911" s="2"/>
      <c r="J3911" s="3"/>
      <c r="K3911" s="3"/>
      <c r="L3911" s="3"/>
      <c r="N3911" s="3"/>
      <c r="O3911" s="3"/>
      <c r="P3911" s="3"/>
      <c r="R3911" s="3"/>
    </row>
    <row r="3912" spans="2:18" x14ac:dyDescent="0.2">
      <c r="B3912" s="1"/>
      <c r="C3912" s="2"/>
      <c r="D3912" s="2"/>
      <c r="F3912" s="1"/>
      <c r="G3912" s="2"/>
      <c r="H3912" s="2"/>
      <c r="J3912" s="3"/>
      <c r="K3912" s="3"/>
      <c r="L3912" s="3"/>
      <c r="N3912" s="3"/>
      <c r="O3912" s="3"/>
      <c r="P3912" s="3"/>
      <c r="R3912" s="3"/>
    </row>
    <row r="3913" spans="2:18" x14ac:dyDescent="0.2">
      <c r="B3913" s="1"/>
      <c r="C3913" s="2"/>
      <c r="D3913" s="2"/>
      <c r="F3913" s="1"/>
      <c r="G3913" s="2"/>
      <c r="H3913" s="2"/>
      <c r="J3913" s="3"/>
      <c r="K3913" s="3"/>
      <c r="L3913" s="3"/>
      <c r="N3913" s="3"/>
      <c r="O3913" s="3"/>
      <c r="P3913" s="3"/>
      <c r="R3913" s="3"/>
    </row>
    <row r="3914" spans="2:18" x14ac:dyDescent="0.2">
      <c r="B3914" s="1"/>
      <c r="C3914" s="2"/>
      <c r="D3914" s="2"/>
      <c r="F3914" s="1"/>
      <c r="G3914" s="2"/>
      <c r="H3914" s="2"/>
      <c r="J3914" s="3"/>
      <c r="K3914" s="3"/>
      <c r="L3914" s="3"/>
      <c r="N3914" s="3"/>
      <c r="O3914" s="3"/>
      <c r="P3914" s="3"/>
      <c r="R3914" s="3"/>
    </row>
    <row r="3915" spans="2:18" x14ac:dyDescent="0.2">
      <c r="B3915" s="1"/>
      <c r="C3915" s="2"/>
      <c r="D3915" s="2"/>
      <c r="F3915" s="1"/>
      <c r="G3915" s="2"/>
      <c r="H3915" s="2"/>
      <c r="J3915" s="3"/>
      <c r="K3915" s="3"/>
      <c r="L3915" s="3"/>
      <c r="N3915" s="3"/>
      <c r="O3915" s="3"/>
      <c r="P3915" s="3"/>
      <c r="R3915" s="3"/>
    </row>
    <row r="3916" spans="2:18" x14ac:dyDescent="0.2">
      <c r="B3916" s="1"/>
      <c r="C3916" s="2"/>
      <c r="D3916" s="2"/>
      <c r="F3916" s="1"/>
      <c r="G3916" s="2"/>
      <c r="H3916" s="2"/>
      <c r="J3916" s="3"/>
      <c r="K3916" s="3"/>
      <c r="L3916" s="3"/>
      <c r="N3916" s="3"/>
      <c r="O3916" s="3"/>
      <c r="P3916" s="3"/>
      <c r="R3916" s="3"/>
    </row>
    <row r="3917" spans="2:18" x14ac:dyDescent="0.2">
      <c r="B3917" s="1"/>
      <c r="C3917" s="2"/>
      <c r="D3917" s="2"/>
      <c r="F3917" s="1"/>
      <c r="G3917" s="2"/>
      <c r="H3917" s="2"/>
      <c r="J3917" s="3"/>
      <c r="K3917" s="3"/>
      <c r="L3917" s="3"/>
      <c r="N3917" s="3"/>
      <c r="O3917" s="3"/>
      <c r="P3917" s="3"/>
      <c r="R3917" s="3"/>
    </row>
    <row r="3918" spans="2:18" x14ac:dyDescent="0.2">
      <c r="B3918" s="1"/>
      <c r="C3918" s="2"/>
      <c r="D3918" s="2"/>
      <c r="F3918" s="1"/>
      <c r="G3918" s="2"/>
      <c r="H3918" s="2"/>
      <c r="J3918" s="3"/>
      <c r="K3918" s="3"/>
      <c r="L3918" s="3"/>
      <c r="N3918" s="3"/>
      <c r="O3918" s="3"/>
      <c r="P3918" s="3"/>
      <c r="R3918" s="3"/>
    </row>
    <row r="3919" spans="2:18" x14ac:dyDescent="0.2">
      <c r="B3919" s="1"/>
      <c r="C3919" s="2"/>
      <c r="D3919" s="2"/>
      <c r="F3919" s="1"/>
      <c r="G3919" s="2"/>
      <c r="H3919" s="2"/>
      <c r="J3919" s="3"/>
      <c r="K3919" s="3"/>
      <c r="L3919" s="3"/>
      <c r="N3919" s="3"/>
      <c r="O3919" s="3"/>
      <c r="P3919" s="3"/>
      <c r="R3919" s="3"/>
    </row>
    <row r="3920" spans="2:18" x14ac:dyDescent="0.2">
      <c r="B3920" s="1"/>
      <c r="C3920" s="2"/>
      <c r="D3920" s="2"/>
      <c r="F3920" s="1"/>
      <c r="G3920" s="2"/>
      <c r="H3920" s="2"/>
      <c r="J3920" s="3"/>
      <c r="K3920" s="3"/>
      <c r="L3920" s="3"/>
      <c r="N3920" s="3"/>
      <c r="O3920" s="3"/>
      <c r="P3920" s="3"/>
      <c r="R3920" s="3"/>
    </row>
    <row r="3921" spans="2:18" x14ac:dyDescent="0.2">
      <c r="B3921" s="1"/>
      <c r="C3921" s="2"/>
      <c r="D3921" s="2"/>
      <c r="F3921" s="1"/>
      <c r="G3921" s="2"/>
      <c r="H3921" s="2"/>
      <c r="J3921" s="3"/>
      <c r="K3921" s="3"/>
      <c r="L3921" s="3"/>
      <c r="N3921" s="3"/>
      <c r="O3921" s="3"/>
      <c r="P3921" s="3"/>
      <c r="R3921" s="3"/>
    </row>
    <row r="3922" spans="2:18" x14ac:dyDescent="0.2">
      <c r="B3922" s="1"/>
      <c r="C3922" s="2"/>
      <c r="D3922" s="2"/>
      <c r="F3922" s="1"/>
      <c r="G3922" s="2"/>
      <c r="H3922" s="2"/>
      <c r="J3922" s="3"/>
      <c r="K3922" s="3"/>
      <c r="L3922" s="3"/>
      <c r="N3922" s="3"/>
      <c r="O3922" s="3"/>
      <c r="P3922" s="3"/>
      <c r="R3922" s="3"/>
    </row>
    <row r="3923" spans="2:18" x14ac:dyDescent="0.2">
      <c r="B3923" s="1"/>
      <c r="C3923" s="2"/>
      <c r="D3923" s="2"/>
      <c r="F3923" s="1"/>
      <c r="G3923" s="2"/>
      <c r="H3923" s="2"/>
      <c r="J3923" s="3"/>
      <c r="K3923" s="3"/>
      <c r="L3923" s="3"/>
      <c r="N3923" s="3"/>
      <c r="O3923" s="3"/>
      <c r="P3923" s="3"/>
      <c r="R3923" s="3"/>
    </row>
    <row r="3924" spans="2:18" x14ac:dyDescent="0.2">
      <c r="B3924" s="1"/>
      <c r="C3924" s="2"/>
      <c r="D3924" s="2"/>
      <c r="F3924" s="1"/>
      <c r="G3924" s="2"/>
      <c r="H3924" s="2"/>
      <c r="J3924" s="3"/>
      <c r="K3924" s="3"/>
      <c r="L3924" s="3"/>
      <c r="N3924" s="3"/>
      <c r="O3924" s="3"/>
      <c r="P3924" s="3"/>
      <c r="R3924" s="3"/>
    </row>
    <row r="3925" spans="2:18" x14ac:dyDescent="0.2">
      <c r="B3925" s="1"/>
      <c r="C3925" s="2"/>
      <c r="D3925" s="2"/>
      <c r="F3925" s="1"/>
      <c r="G3925" s="2"/>
      <c r="H3925" s="2"/>
      <c r="J3925" s="3"/>
      <c r="K3925" s="3"/>
      <c r="L3925" s="3"/>
      <c r="N3925" s="3"/>
      <c r="O3925" s="3"/>
      <c r="P3925" s="3"/>
      <c r="R3925" s="3"/>
    </row>
    <row r="3926" spans="2:18" x14ac:dyDescent="0.2">
      <c r="B3926" s="1"/>
      <c r="C3926" s="2"/>
      <c r="D3926" s="2"/>
      <c r="F3926" s="1"/>
      <c r="G3926" s="2"/>
      <c r="H3926" s="2"/>
      <c r="J3926" s="3"/>
      <c r="K3926" s="3"/>
      <c r="L3926" s="3"/>
      <c r="N3926" s="3"/>
      <c r="O3926" s="3"/>
      <c r="P3926" s="3"/>
      <c r="R3926" s="3"/>
    </row>
    <row r="3927" spans="2:18" x14ac:dyDescent="0.2">
      <c r="B3927" s="1"/>
      <c r="C3927" s="2"/>
      <c r="D3927" s="2"/>
      <c r="F3927" s="1"/>
      <c r="G3927" s="2"/>
      <c r="H3927" s="2"/>
      <c r="J3927" s="3"/>
      <c r="K3927" s="3"/>
      <c r="L3927" s="3"/>
      <c r="N3927" s="3"/>
      <c r="O3927" s="3"/>
      <c r="P3927" s="3"/>
      <c r="R3927" s="3"/>
    </row>
    <row r="3928" spans="2:18" x14ac:dyDescent="0.2">
      <c r="B3928" s="1"/>
      <c r="C3928" s="2"/>
      <c r="D3928" s="2"/>
      <c r="F3928" s="1"/>
      <c r="G3928" s="2"/>
      <c r="H3928" s="2"/>
      <c r="J3928" s="3"/>
      <c r="K3928" s="3"/>
      <c r="L3928" s="3"/>
      <c r="N3928" s="3"/>
      <c r="O3928" s="3"/>
      <c r="P3928" s="3"/>
      <c r="R3928" s="3"/>
    </row>
    <row r="3929" spans="2:18" x14ac:dyDescent="0.2">
      <c r="B3929" s="1"/>
      <c r="C3929" s="2"/>
      <c r="D3929" s="2"/>
      <c r="F3929" s="1"/>
      <c r="G3929" s="2"/>
      <c r="H3929" s="2"/>
      <c r="J3929" s="3"/>
      <c r="K3929" s="3"/>
      <c r="L3929" s="3"/>
      <c r="N3929" s="3"/>
      <c r="O3929" s="3"/>
      <c r="P3929" s="3"/>
      <c r="R3929" s="3"/>
    </row>
    <row r="3930" spans="2:18" x14ac:dyDescent="0.2">
      <c r="B3930" s="1"/>
      <c r="C3930" s="2"/>
      <c r="D3930" s="2"/>
      <c r="F3930" s="1"/>
      <c r="G3930" s="2"/>
      <c r="H3930" s="2"/>
      <c r="J3930" s="3"/>
      <c r="K3930" s="3"/>
      <c r="L3930" s="3"/>
      <c r="N3930" s="3"/>
      <c r="O3930" s="3"/>
      <c r="P3930" s="3"/>
      <c r="R3930" s="3"/>
    </row>
    <row r="3931" spans="2:18" x14ac:dyDescent="0.2">
      <c r="B3931" s="1"/>
      <c r="C3931" s="2"/>
      <c r="D3931" s="2"/>
      <c r="F3931" s="1"/>
      <c r="G3931" s="2"/>
      <c r="H3931" s="2"/>
      <c r="J3931" s="3"/>
      <c r="K3931" s="3"/>
      <c r="L3931" s="3"/>
      <c r="N3931" s="3"/>
      <c r="O3931" s="3"/>
      <c r="P3931" s="3"/>
      <c r="R3931" s="3"/>
    </row>
    <row r="3932" spans="2:18" x14ac:dyDescent="0.2">
      <c r="B3932" s="1"/>
      <c r="C3932" s="2"/>
      <c r="D3932" s="2"/>
      <c r="F3932" s="1"/>
      <c r="G3932" s="2"/>
      <c r="H3932" s="2"/>
      <c r="J3932" s="3"/>
      <c r="K3932" s="3"/>
      <c r="L3932" s="3"/>
      <c r="N3932" s="3"/>
      <c r="O3932" s="3"/>
      <c r="P3932" s="3"/>
      <c r="R3932" s="3"/>
    </row>
    <row r="3933" spans="2:18" x14ac:dyDescent="0.2">
      <c r="B3933" s="1"/>
      <c r="C3933" s="2"/>
      <c r="D3933" s="2"/>
      <c r="F3933" s="1"/>
      <c r="G3933" s="2"/>
      <c r="H3933" s="2"/>
      <c r="J3933" s="3"/>
      <c r="K3933" s="3"/>
      <c r="L3933" s="3"/>
      <c r="N3933" s="3"/>
      <c r="O3933" s="3"/>
      <c r="P3933" s="3"/>
      <c r="R3933" s="3"/>
    </row>
    <row r="3934" spans="2:18" x14ac:dyDescent="0.2">
      <c r="B3934" s="1"/>
      <c r="C3934" s="2"/>
      <c r="D3934" s="2"/>
      <c r="F3934" s="1"/>
      <c r="G3934" s="2"/>
      <c r="H3934" s="2"/>
      <c r="J3934" s="3"/>
      <c r="K3934" s="3"/>
      <c r="L3934" s="3"/>
      <c r="N3934" s="3"/>
      <c r="O3934" s="3"/>
      <c r="P3934" s="3"/>
      <c r="R3934" s="3"/>
    </row>
    <row r="3935" spans="2:18" x14ac:dyDescent="0.2">
      <c r="B3935" s="1"/>
      <c r="C3935" s="2"/>
      <c r="D3935" s="2"/>
      <c r="F3935" s="1"/>
      <c r="G3935" s="2"/>
      <c r="H3935" s="2"/>
      <c r="J3935" s="3"/>
      <c r="K3935" s="3"/>
      <c r="L3935" s="3"/>
      <c r="N3935" s="3"/>
      <c r="O3935" s="3"/>
      <c r="P3935" s="3"/>
      <c r="R3935" s="3"/>
    </row>
    <row r="3936" spans="2:18" x14ac:dyDescent="0.2">
      <c r="B3936" s="1"/>
      <c r="C3936" s="2"/>
      <c r="D3936" s="2"/>
      <c r="F3936" s="1"/>
      <c r="G3936" s="2"/>
      <c r="H3936" s="2"/>
      <c r="J3936" s="3"/>
      <c r="K3936" s="3"/>
      <c r="L3936" s="3"/>
      <c r="N3936" s="3"/>
      <c r="O3936" s="3"/>
      <c r="P3936" s="3"/>
      <c r="R3936" s="3"/>
    </row>
    <row r="3937" spans="2:18" x14ac:dyDescent="0.2">
      <c r="B3937" s="1"/>
      <c r="C3937" s="2"/>
      <c r="D3937" s="2"/>
      <c r="F3937" s="1"/>
      <c r="G3937" s="2"/>
      <c r="H3937" s="2"/>
      <c r="J3937" s="3"/>
      <c r="K3937" s="3"/>
      <c r="L3937" s="3"/>
      <c r="N3937" s="3"/>
      <c r="O3937" s="3"/>
      <c r="P3937" s="3"/>
      <c r="R3937" s="3"/>
    </row>
    <row r="3938" spans="2:18" x14ac:dyDescent="0.2">
      <c r="B3938" s="1"/>
      <c r="C3938" s="2"/>
      <c r="D3938" s="2"/>
      <c r="F3938" s="1"/>
      <c r="G3938" s="2"/>
      <c r="H3938" s="2"/>
      <c r="J3938" s="3"/>
      <c r="K3938" s="3"/>
      <c r="L3938" s="3"/>
      <c r="N3938" s="3"/>
      <c r="O3938" s="3"/>
      <c r="P3938" s="3"/>
      <c r="R3938" s="3"/>
    </row>
    <row r="3939" spans="2:18" x14ac:dyDescent="0.2">
      <c r="B3939" s="1"/>
      <c r="C3939" s="2"/>
      <c r="D3939" s="2"/>
      <c r="F3939" s="1"/>
      <c r="G3939" s="2"/>
      <c r="H3939" s="2"/>
      <c r="J3939" s="3"/>
      <c r="K3939" s="3"/>
      <c r="L3939" s="3"/>
      <c r="N3939" s="3"/>
      <c r="O3939" s="3"/>
      <c r="P3939" s="3"/>
      <c r="R3939" s="3"/>
    </row>
    <row r="3940" spans="2:18" x14ac:dyDescent="0.2">
      <c r="B3940" s="1"/>
      <c r="C3940" s="2"/>
      <c r="D3940" s="2"/>
      <c r="F3940" s="1"/>
      <c r="G3940" s="2"/>
      <c r="H3940" s="2"/>
      <c r="J3940" s="3"/>
      <c r="K3940" s="3"/>
      <c r="L3940" s="3"/>
      <c r="N3940" s="3"/>
      <c r="O3940" s="3"/>
      <c r="P3940" s="3"/>
      <c r="R3940" s="3"/>
    </row>
    <row r="3941" spans="2:18" x14ac:dyDescent="0.2">
      <c r="B3941" s="1"/>
      <c r="C3941" s="2"/>
      <c r="D3941" s="2"/>
      <c r="F3941" s="1"/>
      <c r="G3941" s="2"/>
      <c r="H3941" s="2"/>
      <c r="J3941" s="3"/>
      <c r="K3941" s="3"/>
      <c r="L3941" s="3"/>
      <c r="N3941" s="3"/>
      <c r="O3941" s="3"/>
      <c r="P3941" s="3"/>
      <c r="R3941" s="3"/>
    </row>
    <row r="3942" spans="2:18" x14ac:dyDescent="0.2">
      <c r="B3942" s="1"/>
      <c r="C3942" s="2"/>
      <c r="D3942" s="2"/>
      <c r="F3942" s="1"/>
      <c r="G3942" s="2"/>
      <c r="H3942" s="2"/>
      <c r="J3942" s="3"/>
      <c r="K3942" s="3"/>
      <c r="L3942" s="3"/>
      <c r="N3942" s="3"/>
      <c r="O3942" s="3"/>
      <c r="P3942" s="3"/>
      <c r="R3942" s="3"/>
    </row>
    <row r="3943" spans="2:18" x14ac:dyDescent="0.2">
      <c r="B3943" s="1"/>
      <c r="C3943" s="2"/>
      <c r="D3943" s="2"/>
      <c r="F3943" s="1"/>
      <c r="G3943" s="2"/>
      <c r="H3943" s="2"/>
      <c r="J3943" s="3"/>
      <c r="K3943" s="3"/>
      <c r="L3943" s="3"/>
      <c r="N3943" s="3"/>
      <c r="O3943" s="3"/>
      <c r="P3943" s="3"/>
      <c r="R3943" s="3"/>
    </row>
    <row r="3944" spans="2:18" x14ac:dyDescent="0.2">
      <c r="B3944" s="1"/>
      <c r="C3944" s="2"/>
      <c r="D3944" s="2"/>
      <c r="F3944" s="1"/>
      <c r="G3944" s="2"/>
      <c r="H3944" s="2"/>
      <c r="J3944" s="3"/>
      <c r="K3944" s="3"/>
      <c r="L3944" s="3"/>
      <c r="N3944" s="3"/>
      <c r="O3944" s="3"/>
      <c r="P3944" s="3"/>
      <c r="R3944" s="3"/>
    </row>
    <row r="3945" spans="2:18" x14ac:dyDescent="0.2">
      <c r="B3945" s="1"/>
      <c r="C3945" s="2"/>
      <c r="D3945" s="2"/>
      <c r="F3945" s="1"/>
      <c r="G3945" s="2"/>
      <c r="H3945" s="2"/>
      <c r="J3945" s="3"/>
      <c r="K3945" s="3"/>
      <c r="L3945" s="3"/>
      <c r="N3945" s="3"/>
      <c r="O3945" s="3"/>
      <c r="P3945" s="3"/>
      <c r="R3945" s="3"/>
    </row>
    <row r="3946" spans="2:18" x14ac:dyDescent="0.2">
      <c r="B3946" s="1"/>
      <c r="C3946" s="2"/>
      <c r="D3946" s="2"/>
      <c r="F3946" s="1"/>
      <c r="G3946" s="2"/>
      <c r="H3946" s="2"/>
      <c r="J3946" s="3"/>
      <c r="K3946" s="3"/>
      <c r="L3946" s="3"/>
      <c r="N3946" s="3"/>
      <c r="O3946" s="3"/>
      <c r="P3946" s="3"/>
      <c r="R3946" s="3"/>
    </row>
    <row r="3947" spans="2:18" x14ac:dyDescent="0.2">
      <c r="B3947" s="1"/>
      <c r="C3947" s="2"/>
      <c r="D3947" s="2"/>
      <c r="F3947" s="1"/>
      <c r="G3947" s="2"/>
      <c r="H3947" s="2"/>
      <c r="J3947" s="3"/>
      <c r="K3947" s="3"/>
      <c r="L3947" s="3"/>
      <c r="N3947" s="3"/>
      <c r="O3947" s="3"/>
      <c r="P3947" s="3"/>
      <c r="R3947" s="3"/>
    </row>
    <row r="3948" spans="2:18" x14ac:dyDescent="0.2">
      <c r="B3948" s="1"/>
      <c r="C3948" s="2"/>
      <c r="D3948" s="2"/>
      <c r="F3948" s="1"/>
      <c r="G3948" s="2"/>
      <c r="H3948" s="2"/>
      <c r="J3948" s="3"/>
      <c r="K3948" s="3"/>
      <c r="L3948" s="3"/>
      <c r="N3948" s="3"/>
      <c r="O3948" s="3"/>
      <c r="P3948" s="3"/>
      <c r="R3948" s="3"/>
    </row>
    <row r="3949" spans="2:18" x14ac:dyDescent="0.2">
      <c r="B3949" s="1"/>
      <c r="C3949" s="2"/>
      <c r="D3949" s="2"/>
      <c r="F3949" s="1"/>
      <c r="G3949" s="2"/>
      <c r="H3949" s="2"/>
      <c r="J3949" s="3"/>
      <c r="K3949" s="3"/>
      <c r="L3949" s="3"/>
      <c r="N3949" s="3"/>
      <c r="O3949" s="3"/>
      <c r="P3949" s="3"/>
      <c r="R3949" s="3"/>
    </row>
    <row r="3950" spans="2:18" x14ac:dyDescent="0.2">
      <c r="B3950" s="1"/>
      <c r="C3950" s="2"/>
      <c r="D3950" s="2"/>
      <c r="F3950" s="1"/>
      <c r="G3950" s="2"/>
      <c r="H3950" s="2"/>
      <c r="J3950" s="3"/>
      <c r="K3950" s="3"/>
      <c r="L3950" s="3"/>
      <c r="N3950" s="3"/>
      <c r="O3950" s="3"/>
      <c r="P3950" s="3"/>
      <c r="R3950" s="3"/>
    </row>
    <row r="3951" spans="2:18" x14ac:dyDescent="0.2">
      <c r="B3951" s="1"/>
      <c r="C3951" s="2"/>
      <c r="D3951" s="2"/>
      <c r="F3951" s="1"/>
      <c r="G3951" s="2"/>
      <c r="H3951" s="2"/>
      <c r="J3951" s="3"/>
      <c r="K3951" s="3"/>
      <c r="L3951" s="3"/>
      <c r="N3951" s="3"/>
      <c r="O3951" s="3"/>
      <c r="P3951" s="3"/>
      <c r="R3951" s="3"/>
    </row>
    <row r="3952" spans="2:18" x14ac:dyDescent="0.2">
      <c r="B3952" s="1"/>
      <c r="C3952" s="2"/>
      <c r="D3952" s="2"/>
      <c r="F3952" s="1"/>
      <c r="G3952" s="2"/>
      <c r="H3952" s="2"/>
      <c r="J3952" s="3"/>
      <c r="K3952" s="3"/>
      <c r="L3952" s="3"/>
      <c r="N3952" s="3"/>
      <c r="O3952" s="3"/>
      <c r="P3952" s="3"/>
      <c r="R3952" s="3"/>
    </row>
    <row r="3953" spans="2:18" x14ac:dyDescent="0.2">
      <c r="B3953" s="1"/>
      <c r="C3953" s="2"/>
      <c r="D3953" s="2"/>
      <c r="F3953" s="1"/>
      <c r="G3953" s="2"/>
      <c r="H3953" s="2"/>
      <c r="J3953" s="3"/>
      <c r="K3953" s="3"/>
      <c r="L3953" s="3"/>
      <c r="N3953" s="3"/>
      <c r="O3953" s="3"/>
      <c r="P3953" s="3"/>
      <c r="R3953" s="3"/>
    </row>
    <row r="3954" spans="2:18" x14ac:dyDescent="0.2">
      <c r="B3954" s="1"/>
      <c r="C3954" s="2"/>
      <c r="D3954" s="2"/>
      <c r="F3954" s="1"/>
      <c r="G3954" s="2"/>
      <c r="H3954" s="2"/>
      <c r="J3954" s="3"/>
      <c r="K3954" s="3"/>
      <c r="L3954" s="3"/>
      <c r="N3954" s="3"/>
      <c r="O3954" s="3"/>
      <c r="P3954" s="3"/>
      <c r="R3954" s="3"/>
    </row>
    <row r="3955" spans="2:18" x14ac:dyDescent="0.2">
      <c r="B3955" s="1"/>
      <c r="C3955" s="2"/>
      <c r="D3955" s="2"/>
      <c r="F3955" s="1"/>
      <c r="G3955" s="2"/>
      <c r="H3955" s="2"/>
      <c r="J3955" s="3"/>
      <c r="K3955" s="3"/>
      <c r="L3955" s="3"/>
      <c r="N3955" s="3"/>
      <c r="O3955" s="3"/>
      <c r="P3955" s="3"/>
      <c r="R3955" s="3"/>
    </row>
    <row r="3956" spans="2:18" x14ac:dyDescent="0.2">
      <c r="B3956" s="1"/>
      <c r="C3956" s="2"/>
      <c r="D3956" s="2"/>
      <c r="F3956" s="1"/>
      <c r="G3956" s="2"/>
      <c r="H3956" s="2"/>
      <c r="J3956" s="3"/>
      <c r="K3956" s="3"/>
      <c r="L3956" s="3"/>
      <c r="N3956" s="3"/>
      <c r="O3956" s="3"/>
      <c r="P3956" s="3"/>
      <c r="R3956" s="3"/>
    </row>
    <row r="3957" spans="2:18" x14ac:dyDescent="0.2">
      <c r="B3957" s="1"/>
      <c r="C3957" s="2"/>
      <c r="D3957" s="2"/>
      <c r="F3957" s="1"/>
      <c r="G3957" s="2"/>
      <c r="H3957" s="2"/>
      <c r="J3957" s="3"/>
      <c r="K3957" s="3"/>
      <c r="L3957" s="3"/>
      <c r="N3957" s="3"/>
      <c r="O3957" s="3"/>
      <c r="P3957" s="3"/>
      <c r="R3957" s="3"/>
    </row>
    <row r="3958" spans="2:18" x14ac:dyDescent="0.2">
      <c r="B3958" s="1"/>
      <c r="C3958" s="2"/>
      <c r="D3958" s="2"/>
      <c r="F3958" s="1"/>
      <c r="G3958" s="2"/>
      <c r="H3958" s="2"/>
      <c r="J3958" s="3"/>
      <c r="K3958" s="3"/>
      <c r="L3958" s="3"/>
      <c r="N3958" s="3"/>
      <c r="O3958" s="3"/>
      <c r="P3958" s="3"/>
      <c r="R3958" s="3"/>
    </row>
    <row r="3959" spans="2:18" x14ac:dyDescent="0.2">
      <c r="B3959" s="1"/>
      <c r="C3959" s="2"/>
      <c r="D3959" s="2"/>
      <c r="F3959" s="1"/>
      <c r="G3959" s="2"/>
      <c r="H3959" s="2"/>
      <c r="J3959" s="3"/>
      <c r="K3959" s="3"/>
      <c r="L3959" s="3"/>
      <c r="N3959" s="3"/>
      <c r="O3959" s="3"/>
      <c r="P3959" s="3"/>
      <c r="R3959" s="3"/>
    </row>
    <row r="3960" spans="2:18" x14ac:dyDescent="0.2">
      <c r="B3960" s="1"/>
      <c r="C3960" s="2"/>
      <c r="D3960" s="2"/>
      <c r="F3960" s="1"/>
      <c r="G3960" s="2"/>
      <c r="H3960" s="2"/>
      <c r="J3960" s="3"/>
      <c r="K3960" s="3"/>
      <c r="L3960" s="3"/>
      <c r="N3960" s="3"/>
      <c r="O3960" s="3"/>
      <c r="P3960" s="3"/>
      <c r="R3960" s="3"/>
    </row>
    <row r="3961" spans="2:18" x14ac:dyDescent="0.2">
      <c r="B3961" s="1"/>
      <c r="C3961" s="2"/>
      <c r="D3961" s="2"/>
      <c r="F3961" s="1"/>
      <c r="G3961" s="2"/>
      <c r="H3961" s="2"/>
      <c r="J3961" s="3"/>
      <c r="K3961" s="3"/>
      <c r="L3961" s="3"/>
      <c r="N3961" s="3"/>
      <c r="O3961" s="3"/>
      <c r="P3961" s="3"/>
      <c r="R3961" s="3"/>
    </row>
    <row r="3962" spans="2:18" x14ac:dyDescent="0.2">
      <c r="B3962" s="1"/>
      <c r="C3962" s="2"/>
      <c r="D3962" s="2"/>
      <c r="F3962" s="1"/>
      <c r="G3962" s="2"/>
      <c r="H3962" s="2"/>
      <c r="J3962" s="3"/>
      <c r="K3962" s="3"/>
      <c r="L3962" s="3"/>
      <c r="N3962" s="3"/>
      <c r="O3962" s="3"/>
      <c r="P3962" s="3"/>
      <c r="R3962" s="3"/>
    </row>
    <row r="3963" spans="2:18" x14ac:dyDescent="0.2">
      <c r="B3963" s="1"/>
      <c r="C3963" s="2"/>
      <c r="D3963" s="2"/>
      <c r="F3963" s="1"/>
      <c r="G3963" s="2"/>
      <c r="H3963" s="2"/>
      <c r="J3963" s="3"/>
      <c r="K3963" s="3"/>
      <c r="L3963" s="3"/>
      <c r="N3963" s="3"/>
      <c r="O3963" s="3"/>
      <c r="P3963" s="3"/>
      <c r="R3963" s="3"/>
    </row>
    <row r="3964" spans="2:18" x14ac:dyDescent="0.2">
      <c r="B3964" s="1"/>
      <c r="C3964" s="2"/>
      <c r="D3964" s="2"/>
      <c r="F3964" s="1"/>
      <c r="G3964" s="2"/>
      <c r="H3964" s="2"/>
      <c r="J3964" s="3"/>
      <c r="K3964" s="3"/>
      <c r="L3964" s="3"/>
      <c r="N3964" s="3"/>
      <c r="O3964" s="3"/>
      <c r="P3964" s="3"/>
      <c r="R3964" s="3"/>
    </row>
    <row r="3965" spans="2:18" x14ac:dyDescent="0.2">
      <c r="B3965" s="1"/>
      <c r="C3965" s="2"/>
      <c r="D3965" s="2"/>
      <c r="F3965" s="1"/>
      <c r="G3965" s="2"/>
      <c r="H3965" s="2"/>
      <c r="J3965" s="3"/>
      <c r="K3965" s="3"/>
      <c r="L3965" s="3"/>
      <c r="N3965" s="3"/>
      <c r="O3965" s="3"/>
      <c r="P3965" s="3"/>
      <c r="R3965" s="3"/>
    </row>
    <row r="3966" spans="2:18" x14ac:dyDescent="0.2">
      <c r="B3966" s="1"/>
      <c r="C3966" s="2"/>
      <c r="D3966" s="2"/>
      <c r="F3966" s="1"/>
      <c r="G3966" s="2"/>
      <c r="H3966" s="2"/>
      <c r="J3966" s="3"/>
      <c r="K3966" s="3"/>
      <c r="L3966" s="3"/>
      <c r="N3966" s="3"/>
      <c r="O3966" s="3"/>
      <c r="P3966" s="3"/>
      <c r="R3966" s="3"/>
    </row>
    <row r="3967" spans="2:18" x14ac:dyDescent="0.2">
      <c r="B3967" s="1"/>
      <c r="C3967" s="2"/>
      <c r="D3967" s="2"/>
      <c r="F3967" s="1"/>
      <c r="G3967" s="2"/>
      <c r="H3967" s="2"/>
      <c r="J3967" s="3"/>
      <c r="K3967" s="3"/>
      <c r="L3967" s="3"/>
      <c r="N3967" s="3"/>
      <c r="O3967" s="3"/>
      <c r="P3967" s="3"/>
      <c r="R3967" s="3"/>
    </row>
    <row r="3968" spans="2:18" x14ac:dyDescent="0.2">
      <c r="B3968" s="1"/>
      <c r="C3968" s="2"/>
      <c r="D3968" s="2"/>
      <c r="F3968" s="1"/>
      <c r="G3968" s="2"/>
      <c r="H3968" s="2"/>
      <c r="J3968" s="3"/>
      <c r="K3968" s="3"/>
      <c r="L3968" s="3"/>
      <c r="N3968" s="3"/>
      <c r="O3968" s="3"/>
      <c r="P3968" s="3"/>
      <c r="R3968" s="3"/>
    </row>
    <row r="3969" spans="2:18" x14ac:dyDescent="0.2">
      <c r="B3969" s="1"/>
      <c r="C3969" s="2"/>
      <c r="D3969" s="2"/>
      <c r="F3969" s="1"/>
      <c r="G3969" s="2"/>
      <c r="H3969" s="2"/>
      <c r="J3969" s="3"/>
      <c r="K3969" s="3"/>
      <c r="L3969" s="3"/>
      <c r="N3969" s="3"/>
      <c r="O3969" s="3"/>
      <c r="P3969" s="3"/>
      <c r="R3969" s="3"/>
    </row>
    <row r="3970" spans="2:18" x14ac:dyDescent="0.2">
      <c r="B3970" s="1"/>
      <c r="C3970" s="2"/>
      <c r="D3970" s="2"/>
      <c r="F3970" s="1"/>
      <c r="G3970" s="2"/>
      <c r="H3970" s="2"/>
      <c r="J3970" s="3"/>
      <c r="K3970" s="3"/>
      <c r="L3970" s="3"/>
      <c r="N3970" s="3"/>
      <c r="O3970" s="3"/>
      <c r="P3970" s="3"/>
      <c r="R3970" s="3"/>
    </row>
    <row r="3971" spans="2:18" x14ac:dyDescent="0.2">
      <c r="B3971" s="1"/>
      <c r="C3971" s="2"/>
      <c r="D3971" s="2"/>
      <c r="F3971" s="1"/>
      <c r="G3971" s="2"/>
      <c r="H3971" s="2"/>
      <c r="J3971" s="3"/>
      <c r="K3971" s="3"/>
      <c r="L3971" s="3"/>
      <c r="N3971" s="3"/>
      <c r="O3971" s="3"/>
      <c r="P3971" s="3"/>
      <c r="R3971" s="3"/>
    </row>
    <row r="3972" spans="2:18" x14ac:dyDescent="0.2">
      <c r="B3972" s="1"/>
      <c r="C3972" s="2"/>
      <c r="D3972" s="2"/>
      <c r="F3972" s="1"/>
      <c r="G3972" s="2"/>
      <c r="H3972" s="2"/>
      <c r="J3972" s="3"/>
      <c r="K3972" s="3"/>
      <c r="L3972" s="3"/>
      <c r="N3972" s="3"/>
      <c r="O3972" s="3"/>
      <c r="P3972" s="3"/>
      <c r="R3972" s="3"/>
    </row>
    <row r="3973" spans="2:18" x14ac:dyDescent="0.2">
      <c r="B3973" s="1"/>
      <c r="C3973" s="2"/>
      <c r="D3973" s="2"/>
      <c r="F3973" s="1"/>
      <c r="G3973" s="2"/>
      <c r="H3973" s="2"/>
      <c r="J3973" s="3"/>
      <c r="K3973" s="3"/>
      <c r="L3973" s="3"/>
      <c r="N3973" s="3"/>
      <c r="O3973" s="3"/>
      <c r="P3973" s="3"/>
      <c r="R3973" s="3"/>
    </row>
    <row r="3974" spans="2:18" x14ac:dyDescent="0.2">
      <c r="B3974" s="1"/>
      <c r="C3974" s="2"/>
      <c r="D3974" s="2"/>
      <c r="F3974" s="1"/>
      <c r="G3974" s="2"/>
      <c r="H3974" s="2"/>
      <c r="J3974" s="3"/>
      <c r="K3974" s="3"/>
      <c r="L3974" s="3"/>
      <c r="N3974" s="3"/>
      <c r="O3974" s="3"/>
      <c r="P3974" s="3"/>
      <c r="R3974" s="3"/>
    </row>
    <row r="3975" spans="2:18" x14ac:dyDescent="0.2">
      <c r="B3975" s="1"/>
      <c r="C3975" s="2"/>
      <c r="D3975" s="2"/>
      <c r="F3975" s="1"/>
      <c r="G3975" s="2"/>
      <c r="H3975" s="2"/>
      <c r="J3975" s="3"/>
      <c r="K3975" s="3"/>
      <c r="L3975" s="3"/>
      <c r="N3975" s="3"/>
      <c r="O3975" s="3"/>
      <c r="P3975" s="3"/>
      <c r="R3975" s="3"/>
    </row>
    <row r="3976" spans="2:18" x14ac:dyDescent="0.2">
      <c r="B3976" s="1"/>
      <c r="C3976" s="2"/>
      <c r="D3976" s="2"/>
      <c r="F3976" s="1"/>
      <c r="G3976" s="2"/>
      <c r="H3976" s="2"/>
      <c r="J3976" s="3"/>
      <c r="K3976" s="3"/>
      <c r="L3976" s="3"/>
      <c r="N3976" s="3"/>
      <c r="O3976" s="3"/>
      <c r="P3976" s="3"/>
      <c r="R3976" s="3"/>
    </row>
    <row r="3977" spans="2:18" x14ac:dyDescent="0.2">
      <c r="B3977" s="1"/>
      <c r="C3977" s="2"/>
      <c r="D3977" s="2"/>
      <c r="F3977" s="1"/>
      <c r="G3977" s="2"/>
      <c r="H3977" s="2"/>
      <c r="J3977" s="3"/>
      <c r="K3977" s="3"/>
      <c r="L3977" s="3"/>
      <c r="N3977" s="3"/>
      <c r="O3977" s="3"/>
      <c r="P3977" s="3"/>
      <c r="R3977" s="3"/>
    </row>
    <row r="3978" spans="2:18" x14ac:dyDescent="0.2">
      <c r="B3978" s="1"/>
      <c r="C3978" s="2"/>
      <c r="D3978" s="2"/>
      <c r="F3978" s="1"/>
      <c r="G3978" s="2"/>
      <c r="H3978" s="2"/>
      <c r="J3978" s="3"/>
      <c r="K3978" s="3"/>
      <c r="L3978" s="3"/>
      <c r="N3978" s="3"/>
      <c r="O3978" s="3"/>
      <c r="P3978" s="3"/>
      <c r="R3978" s="3"/>
    </row>
    <row r="3979" spans="2:18" x14ac:dyDescent="0.2">
      <c r="B3979" s="1"/>
      <c r="C3979" s="2"/>
      <c r="D3979" s="2"/>
      <c r="F3979" s="1"/>
      <c r="G3979" s="2"/>
      <c r="H3979" s="2"/>
      <c r="J3979" s="3"/>
      <c r="K3979" s="3"/>
      <c r="L3979" s="3"/>
      <c r="N3979" s="3"/>
      <c r="O3979" s="3"/>
      <c r="P3979" s="3"/>
      <c r="R3979" s="3"/>
    </row>
    <row r="3980" spans="2:18" x14ac:dyDescent="0.2">
      <c r="B3980" s="1"/>
      <c r="C3980" s="2"/>
      <c r="D3980" s="2"/>
      <c r="F3980" s="1"/>
      <c r="G3980" s="2"/>
      <c r="H3980" s="2"/>
      <c r="J3980" s="3"/>
      <c r="K3980" s="3"/>
      <c r="L3980" s="3"/>
      <c r="N3980" s="3"/>
      <c r="O3980" s="3"/>
      <c r="P3980" s="3"/>
      <c r="R3980" s="3"/>
    </row>
    <row r="3981" spans="2:18" x14ac:dyDescent="0.2">
      <c r="B3981" s="1"/>
      <c r="C3981" s="2"/>
      <c r="D3981" s="2"/>
      <c r="F3981" s="1"/>
      <c r="G3981" s="2"/>
      <c r="H3981" s="2"/>
      <c r="J3981" s="3"/>
      <c r="K3981" s="3"/>
      <c r="L3981" s="3"/>
      <c r="N3981" s="3"/>
      <c r="O3981" s="3"/>
      <c r="P3981" s="3"/>
      <c r="R3981" s="3"/>
    </row>
    <row r="3982" spans="2:18" x14ac:dyDescent="0.2">
      <c r="B3982" s="1"/>
      <c r="C3982" s="2"/>
      <c r="D3982" s="2"/>
      <c r="F3982" s="1"/>
      <c r="G3982" s="2"/>
      <c r="H3982" s="2"/>
      <c r="J3982" s="3"/>
      <c r="K3982" s="3"/>
      <c r="L3982" s="3"/>
      <c r="N3982" s="3"/>
      <c r="O3982" s="3"/>
      <c r="P3982" s="3"/>
      <c r="R3982" s="3"/>
    </row>
    <row r="3983" spans="2:18" x14ac:dyDescent="0.2">
      <c r="B3983" s="1"/>
      <c r="C3983" s="2"/>
      <c r="D3983" s="2"/>
      <c r="F3983" s="1"/>
      <c r="G3983" s="2"/>
      <c r="H3983" s="2"/>
      <c r="J3983" s="3"/>
      <c r="K3983" s="3"/>
      <c r="L3983" s="3"/>
      <c r="N3983" s="3"/>
      <c r="O3983" s="3"/>
      <c r="P3983" s="3"/>
      <c r="R3983" s="3"/>
    </row>
    <row r="3984" spans="2:18" x14ac:dyDescent="0.2">
      <c r="B3984" s="1"/>
      <c r="C3984" s="2"/>
      <c r="D3984" s="2"/>
      <c r="F3984" s="1"/>
      <c r="G3984" s="2"/>
      <c r="H3984" s="2"/>
      <c r="J3984" s="3"/>
      <c r="K3984" s="3"/>
      <c r="L3984" s="3"/>
      <c r="N3984" s="3"/>
      <c r="O3984" s="3"/>
      <c r="P3984" s="3"/>
      <c r="R3984" s="3"/>
    </row>
    <row r="3985" spans="2:18" x14ac:dyDescent="0.2">
      <c r="B3985" s="1"/>
      <c r="C3985" s="2"/>
      <c r="D3985" s="2"/>
      <c r="F3985" s="1"/>
      <c r="G3985" s="2"/>
      <c r="H3985" s="2"/>
      <c r="J3985" s="3"/>
      <c r="K3985" s="3"/>
      <c r="L3985" s="3"/>
      <c r="N3985" s="3"/>
      <c r="O3985" s="3"/>
      <c r="P3985" s="3"/>
      <c r="R3985" s="3"/>
    </row>
    <row r="3986" spans="2:18" x14ac:dyDescent="0.2">
      <c r="B3986" s="1"/>
      <c r="C3986" s="2"/>
      <c r="D3986" s="2"/>
      <c r="F3986" s="1"/>
      <c r="G3986" s="2"/>
      <c r="H3986" s="2"/>
      <c r="J3986" s="3"/>
      <c r="K3986" s="3"/>
      <c r="L3986" s="3"/>
      <c r="N3986" s="3"/>
      <c r="O3986" s="3"/>
      <c r="P3986" s="3"/>
      <c r="R3986" s="3"/>
    </row>
    <row r="3987" spans="2:18" x14ac:dyDescent="0.2">
      <c r="B3987" s="1"/>
      <c r="C3987" s="2"/>
      <c r="D3987" s="2"/>
      <c r="F3987" s="1"/>
      <c r="G3987" s="2"/>
      <c r="H3987" s="2"/>
      <c r="J3987" s="3"/>
      <c r="K3987" s="3"/>
      <c r="L3987" s="3"/>
      <c r="N3987" s="3"/>
      <c r="O3987" s="3"/>
      <c r="P3987" s="3"/>
      <c r="R3987" s="3"/>
    </row>
    <row r="3988" spans="2:18" x14ac:dyDescent="0.2">
      <c r="B3988" s="1"/>
      <c r="C3988" s="2"/>
      <c r="D3988" s="2"/>
      <c r="F3988" s="1"/>
      <c r="G3988" s="2"/>
      <c r="H3988" s="2"/>
      <c r="J3988" s="3"/>
      <c r="K3988" s="3"/>
      <c r="L3988" s="3"/>
      <c r="N3988" s="3"/>
      <c r="O3988" s="3"/>
      <c r="P3988" s="3"/>
      <c r="R3988" s="3"/>
    </row>
    <row r="3989" spans="2:18" x14ac:dyDescent="0.2">
      <c r="B3989" s="1"/>
      <c r="C3989" s="2"/>
      <c r="D3989" s="2"/>
      <c r="F3989" s="1"/>
      <c r="G3989" s="2"/>
      <c r="H3989" s="2"/>
      <c r="J3989" s="3"/>
      <c r="K3989" s="3"/>
      <c r="L3989" s="3"/>
      <c r="N3989" s="3"/>
      <c r="O3989" s="3"/>
      <c r="P3989" s="3"/>
      <c r="R3989" s="3"/>
    </row>
    <row r="3990" spans="2:18" x14ac:dyDescent="0.2">
      <c r="B3990" s="1"/>
      <c r="C3990" s="2"/>
      <c r="D3990" s="2"/>
      <c r="F3990" s="1"/>
      <c r="G3990" s="2"/>
      <c r="H3990" s="2"/>
      <c r="J3990" s="3"/>
      <c r="K3990" s="3"/>
      <c r="L3990" s="3"/>
      <c r="N3990" s="3"/>
      <c r="O3990" s="3"/>
      <c r="P3990" s="3"/>
      <c r="R3990" s="3"/>
    </row>
    <row r="3991" spans="2:18" x14ac:dyDescent="0.2">
      <c r="B3991" s="1"/>
      <c r="C3991" s="2"/>
      <c r="D3991" s="2"/>
      <c r="F3991" s="1"/>
      <c r="G3991" s="2"/>
      <c r="H3991" s="2"/>
      <c r="J3991" s="3"/>
      <c r="K3991" s="3"/>
      <c r="L3991" s="3"/>
      <c r="N3991" s="3"/>
      <c r="O3991" s="3"/>
      <c r="P3991" s="3"/>
      <c r="R3991" s="3"/>
    </row>
    <row r="3992" spans="2:18" x14ac:dyDescent="0.2">
      <c r="B3992" s="1"/>
      <c r="C3992" s="2"/>
      <c r="D3992" s="2"/>
      <c r="F3992" s="1"/>
      <c r="G3992" s="2"/>
      <c r="H3992" s="2"/>
      <c r="J3992" s="3"/>
      <c r="K3992" s="3"/>
      <c r="L3992" s="3"/>
      <c r="N3992" s="3"/>
      <c r="O3992" s="3"/>
      <c r="P3992" s="3"/>
      <c r="R3992" s="3"/>
    </row>
    <row r="3993" spans="2:18" x14ac:dyDescent="0.2">
      <c r="B3993" s="1"/>
      <c r="C3993" s="2"/>
      <c r="D3993" s="2"/>
      <c r="F3993" s="1"/>
      <c r="G3993" s="2"/>
      <c r="H3993" s="2"/>
      <c r="J3993" s="3"/>
      <c r="K3993" s="3"/>
      <c r="L3993" s="3"/>
      <c r="N3993" s="3"/>
      <c r="O3993" s="3"/>
      <c r="P3993" s="3"/>
      <c r="R3993" s="3"/>
    </row>
    <row r="3994" spans="2:18" x14ac:dyDescent="0.2">
      <c r="B3994" s="1"/>
      <c r="C3994" s="2"/>
      <c r="D3994" s="2"/>
      <c r="F3994" s="1"/>
      <c r="G3994" s="2"/>
      <c r="H3994" s="2"/>
      <c r="J3994" s="3"/>
      <c r="K3994" s="3"/>
      <c r="L3994" s="3"/>
      <c r="N3994" s="3"/>
      <c r="O3994" s="3"/>
      <c r="P3994" s="3"/>
      <c r="R3994" s="3"/>
    </row>
    <row r="3995" spans="2:18" x14ac:dyDescent="0.2">
      <c r="B3995" s="1"/>
      <c r="C3995" s="2"/>
      <c r="D3995" s="2"/>
      <c r="F3995" s="1"/>
      <c r="G3995" s="2"/>
      <c r="H3995" s="2"/>
      <c r="J3995" s="3"/>
      <c r="K3995" s="3"/>
      <c r="L3995" s="3"/>
      <c r="N3995" s="3"/>
      <c r="O3995" s="3"/>
      <c r="P3995" s="3"/>
      <c r="R3995" s="3"/>
    </row>
    <row r="3996" spans="2:18" x14ac:dyDescent="0.2">
      <c r="B3996" s="1"/>
      <c r="C3996" s="2"/>
      <c r="D3996" s="2"/>
      <c r="F3996" s="1"/>
      <c r="G3996" s="2"/>
      <c r="H3996" s="2"/>
      <c r="J3996" s="3"/>
      <c r="K3996" s="3"/>
      <c r="L3996" s="3"/>
      <c r="N3996" s="3"/>
      <c r="O3996" s="3"/>
      <c r="P3996" s="3"/>
      <c r="R3996" s="3"/>
    </row>
    <row r="3997" spans="2:18" x14ac:dyDescent="0.2">
      <c r="B3997" s="1"/>
      <c r="C3997" s="2"/>
      <c r="D3997" s="2"/>
      <c r="F3997" s="1"/>
      <c r="G3997" s="2"/>
      <c r="H3997" s="2"/>
      <c r="J3997" s="3"/>
      <c r="K3997" s="3"/>
      <c r="L3997" s="3"/>
      <c r="N3997" s="3"/>
      <c r="O3997" s="3"/>
      <c r="P3997" s="3"/>
      <c r="R3997" s="3"/>
    </row>
    <row r="3998" spans="2:18" x14ac:dyDescent="0.2">
      <c r="B3998" s="1"/>
      <c r="C3998" s="2"/>
      <c r="D3998" s="2"/>
      <c r="F3998" s="1"/>
      <c r="G3998" s="2"/>
      <c r="H3998" s="2"/>
      <c r="J3998" s="3"/>
      <c r="K3998" s="3"/>
      <c r="L3998" s="3"/>
      <c r="N3998" s="3"/>
      <c r="O3998" s="3"/>
      <c r="P3998" s="3"/>
      <c r="R3998" s="3"/>
    </row>
    <row r="3999" spans="2:18" x14ac:dyDescent="0.2">
      <c r="B3999" s="1"/>
      <c r="C3999" s="2"/>
      <c r="D3999" s="2"/>
      <c r="F3999" s="1"/>
      <c r="G3999" s="2"/>
      <c r="H3999" s="2"/>
      <c r="J3999" s="3"/>
      <c r="K3999" s="3"/>
      <c r="L3999" s="3"/>
      <c r="N3999" s="3"/>
      <c r="O3999" s="3"/>
      <c r="P3999" s="3"/>
      <c r="R3999" s="3"/>
    </row>
    <row r="4000" spans="2:18" x14ac:dyDescent="0.2">
      <c r="B4000" s="1"/>
      <c r="C4000" s="2"/>
      <c r="D4000" s="2"/>
      <c r="F4000" s="1"/>
      <c r="G4000" s="2"/>
      <c r="H4000" s="2"/>
      <c r="J4000" s="3"/>
      <c r="K4000" s="3"/>
      <c r="L4000" s="3"/>
      <c r="N4000" s="3"/>
      <c r="O4000" s="3"/>
      <c r="P4000" s="3"/>
      <c r="R4000" s="3"/>
    </row>
    <row r="4001" spans="2:18" x14ac:dyDescent="0.2">
      <c r="B4001" s="1"/>
      <c r="C4001" s="2"/>
      <c r="D4001" s="2"/>
      <c r="F4001" s="1"/>
      <c r="G4001" s="2"/>
      <c r="H4001" s="2"/>
      <c r="J4001" s="3"/>
      <c r="K4001" s="3"/>
      <c r="L4001" s="3"/>
      <c r="N4001" s="3"/>
      <c r="O4001" s="3"/>
      <c r="P4001" s="3"/>
      <c r="R4001" s="3"/>
    </row>
    <row r="4002" spans="2:18" x14ac:dyDescent="0.2">
      <c r="B4002" s="1"/>
      <c r="C4002" s="2"/>
      <c r="D4002" s="2"/>
      <c r="F4002" s="1"/>
      <c r="G4002" s="2"/>
      <c r="H4002" s="2"/>
      <c r="J4002" s="3"/>
      <c r="K4002" s="3"/>
      <c r="L4002" s="3"/>
      <c r="N4002" s="3"/>
      <c r="O4002" s="3"/>
      <c r="P4002" s="3"/>
      <c r="R4002" s="3"/>
    </row>
    <row r="4003" spans="2:18" x14ac:dyDescent="0.2">
      <c r="B4003" s="1"/>
      <c r="C4003" s="2"/>
      <c r="D4003" s="2"/>
      <c r="F4003" s="1"/>
      <c r="G4003" s="2"/>
      <c r="H4003" s="2"/>
      <c r="J4003" s="3"/>
      <c r="K4003" s="3"/>
      <c r="L4003" s="3"/>
      <c r="N4003" s="3"/>
      <c r="O4003" s="3"/>
      <c r="P4003" s="3"/>
      <c r="R4003" s="3"/>
    </row>
    <row r="4004" spans="2:18" x14ac:dyDescent="0.2">
      <c r="B4004" s="1"/>
      <c r="C4004" s="2"/>
      <c r="D4004" s="2"/>
      <c r="F4004" s="1"/>
      <c r="G4004" s="2"/>
      <c r="H4004" s="2"/>
      <c r="J4004" s="3"/>
      <c r="K4004" s="3"/>
      <c r="L4004" s="3"/>
      <c r="N4004" s="3"/>
      <c r="O4004" s="3"/>
      <c r="P4004" s="3"/>
      <c r="R4004" s="3"/>
    </row>
    <row r="4005" spans="2:18" x14ac:dyDescent="0.2">
      <c r="B4005" s="1"/>
      <c r="C4005" s="2"/>
      <c r="D4005" s="2"/>
      <c r="F4005" s="1"/>
      <c r="G4005" s="2"/>
      <c r="H4005" s="2"/>
      <c r="J4005" s="3"/>
      <c r="K4005" s="3"/>
      <c r="L4005" s="3"/>
      <c r="N4005" s="3"/>
      <c r="O4005" s="3"/>
      <c r="P4005" s="3"/>
      <c r="R4005" s="3"/>
    </row>
    <row r="4006" spans="2:18" x14ac:dyDescent="0.2">
      <c r="B4006" s="1"/>
      <c r="C4006" s="2"/>
      <c r="D4006" s="2"/>
      <c r="F4006" s="1"/>
      <c r="G4006" s="2"/>
      <c r="H4006" s="2"/>
      <c r="J4006" s="3"/>
      <c r="K4006" s="3"/>
      <c r="L4006" s="3"/>
      <c r="N4006" s="3"/>
      <c r="O4006" s="3"/>
      <c r="P4006" s="3"/>
      <c r="R4006" s="3"/>
    </row>
    <row r="4007" spans="2:18" x14ac:dyDescent="0.2">
      <c r="B4007" s="1"/>
      <c r="C4007" s="2"/>
      <c r="D4007" s="2"/>
      <c r="F4007" s="1"/>
      <c r="G4007" s="2"/>
      <c r="H4007" s="2"/>
      <c r="J4007" s="3"/>
      <c r="K4007" s="3"/>
      <c r="L4007" s="3"/>
      <c r="N4007" s="3"/>
      <c r="O4007" s="3"/>
      <c r="P4007" s="3"/>
      <c r="R4007" s="3"/>
    </row>
    <row r="4008" spans="2:18" x14ac:dyDescent="0.2">
      <c r="B4008" s="1"/>
      <c r="C4008" s="2"/>
      <c r="D4008" s="2"/>
      <c r="F4008" s="1"/>
      <c r="G4008" s="2"/>
      <c r="H4008" s="2"/>
      <c r="J4008" s="3"/>
      <c r="K4008" s="3"/>
      <c r="L4008" s="3"/>
      <c r="N4008" s="3"/>
      <c r="O4008" s="3"/>
      <c r="P4008" s="3"/>
      <c r="R4008" s="3"/>
    </row>
    <row r="4009" spans="2:18" x14ac:dyDescent="0.2">
      <c r="B4009" s="1"/>
      <c r="C4009" s="2"/>
      <c r="D4009" s="2"/>
      <c r="F4009" s="1"/>
      <c r="G4009" s="2"/>
      <c r="H4009" s="2"/>
      <c r="J4009" s="3"/>
      <c r="K4009" s="3"/>
      <c r="L4009" s="3"/>
      <c r="N4009" s="3"/>
      <c r="O4009" s="3"/>
      <c r="P4009" s="3"/>
      <c r="R4009" s="3"/>
    </row>
    <row r="4010" spans="2:18" x14ac:dyDescent="0.2">
      <c r="B4010" s="1"/>
      <c r="C4010" s="2"/>
      <c r="D4010" s="2"/>
      <c r="F4010" s="1"/>
      <c r="G4010" s="2"/>
      <c r="H4010" s="2"/>
      <c r="J4010" s="3"/>
      <c r="K4010" s="3"/>
      <c r="L4010" s="3"/>
      <c r="N4010" s="3"/>
      <c r="O4010" s="3"/>
      <c r="P4010" s="3"/>
      <c r="R4010" s="3"/>
    </row>
    <row r="4011" spans="2:18" x14ac:dyDescent="0.2">
      <c r="B4011" s="1"/>
      <c r="C4011" s="2"/>
      <c r="D4011" s="2"/>
      <c r="F4011" s="1"/>
      <c r="G4011" s="2"/>
      <c r="H4011" s="2"/>
      <c r="J4011" s="3"/>
      <c r="K4011" s="3"/>
      <c r="L4011" s="3"/>
      <c r="N4011" s="3"/>
      <c r="O4011" s="3"/>
      <c r="P4011" s="3"/>
      <c r="R4011" s="3"/>
    </row>
    <row r="4012" spans="2:18" x14ac:dyDescent="0.2">
      <c r="B4012" s="1"/>
      <c r="C4012" s="2"/>
      <c r="D4012" s="2"/>
      <c r="F4012" s="1"/>
      <c r="G4012" s="2"/>
      <c r="H4012" s="2"/>
      <c r="J4012" s="3"/>
      <c r="K4012" s="3"/>
      <c r="L4012" s="3"/>
      <c r="N4012" s="3"/>
      <c r="O4012" s="3"/>
      <c r="P4012" s="3"/>
      <c r="R4012" s="3"/>
    </row>
    <row r="4013" spans="2:18" x14ac:dyDescent="0.2">
      <c r="B4013" s="1"/>
      <c r="C4013" s="2"/>
      <c r="D4013" s="2"/>
      <c r="F4013" s="1"/>
      <c r="G4013" s="2"/>
      <c r="H4013" s="2"/>
      <c r="J4013" s="3"/>
      <c r="K4013" s="3"/>
      <c r="L4013" s="3"/>
      <c r="N4013" s="3"/>
      <c r="O4013" s="3"/>
      <c r="P4013" s="3"/>
      <c r="R4013" s="3"/>
    </row>
    <row r="4014" spans="2:18" x14ac:dyDescent="0.2">
      <c r="B4014" s="1"/>
      <c r="C4014" s="2"/>
      <c r="D4014" s="2"/>
      <c r="F4014" s="1"/>
      <c r="G4014" s="2"/>
      <c r="H4014" s="2"/>
      <c r="J4014" s="3"/>
      <c r="K4014" s="3"/>
      <c r="L4014" s="3"/>
      <c r="N4014" s="3"/>
      <c r="O4014" s="3"/>
      <c r="P4014" s="3"/>
      <c r="R4014" s="3"/>
    </row>
    <row r="4015" spans="2:18" x14ac:dyDescent="0.2">
      <c r="B4015" s="1"/>
      <c r="C4015" s="2"/>
      <c r="D4015" s="2"/>
      <c r="F4015" s="1"/>
      <c r="G4015" s="2"/>
      <c r="H4015" s="2"/>
      <c r="J4015" s="3"/>
      <c r="K4015" s="3"/>
      <c r="L4015" s="3"/>
      <c r="N4015" s="3"/>
      <c r="O4015" s="3"/>
      <c r="P4015" s="3"/>
      <c r="R4015" s="3"/>
    </row>
    <row r="4016" spans="2:18" x14ac:dyDescent="0.2">
      <c r="B4016" s="1"/>
      <c r="C4016" s="2"/>
      <c r="D4016" s="2"/>
      <c r="F4016" s="1"/>
      <c r="G4016" s="2"/>
      <c r="H4016" s="2"/>
      <c r="J4016" s="3"/>
      <c r="K4016" s="3"/>
      <c r="L4016" s="3"/>
      <c r="N4016" s="3"/>
      <c r="O4016" s="3"/>
      <c r="P4016" s="3"/>
      <c r="R4016" s="3"/>
    </row>
    <row r="4017" spans="2:18" x14ac:dyDescent="0.2">
      <c r="B4017" s="1"/>
      <c r="C4017" s="2"/>
      <c r="D4017" s="2"/>
      <c r="F4017" s="1"/>
      <c r="G4017" s="2"/>
      <c r="H4017" s="2"/>
      <c r="J4017" s="3"/>
      <c r="K4017" s="3"/>
      <c r="L4017" s="3"/>
      <c r="N4017" s="3"/>
      <c r="O4017" s="3"/>
      <c r="P4017" s="3"/>
      <c r="R4017" s="3"/>
    </row>
    <row r="4018" spans="2:18" x14ac:dyDescent="0.2">
      <c r="B4018" s="1"/>
      <c r="C4018" s="2"/>
      <c r="D4018" s="2"/>
      <c r="F4018" s="1"/>
      <c r="G4018" s="2"/>
      <c r="H4018" s="2"/>
      <c r="J4018" s="3"/>
      <c r="K4018" s="3"/>
      <c r="L4018" s="3"/>
      <c r="N4018" s="3"/>
      <c r="O4018" s="3"/>
      <c r="P4018" s="3"/>
      <c r="R4018" s="3"/>
    </row>
    <row r="4019" spans="2:18" x14ac:dyDescent="0.2">
      <c r="B4019" s="1"/>
      <c r="C4019" s="2"/>
      <c r="D4019" s="2"/>
      <c r="F4019" s="1"/>
      <c r="G4019" s="2"/>
      <c r="H4019" s="2"/>
      <c r="J4019" s="3"/>
      <c r="K4019" s="3"/>
      <c r="L4019" s="3"/>
      <c r="N4019" s="3"/>
      <c r="O4019" s="3"/>
      <c r="P4019" s="3"/>
      <c r="R4019" s="3"/>
    </row>
    <row r="4020" spans="2:18" x14ac:dyDescent="0.2">
      <c r="B4020" s="1"/>
      <c r="C4020" s="2"/>
      <c r="D4020" s="2"/>
      <c r="F4020" s="1"/>
      <c r="G4020" s="2"/>
      <c r="H4020" s="2"/>
      <c r="J4020" s="3"/>
      <c r="K4020" s="3"/>
      <c r="L4020" s="3"/>
      <c r="N4020" s="3"/>
      <c r="O4020" s="3"/>
      <c r="P4020" s="3"/>
      <c r="R4020" s="3"/>
    </row>
    <row r="4021" spans="2:18" x14ac:dyDescent="0.2">
      <c r="B4021" s="1"/>
      <c r="C4021" s="2"/>
      <c r="D4021" s="2"/>
      <c r="F4021" s="1"/>
      <c r="G4021" s="2"/>
      <c r="H4021" s="2"/>
      <c r="J4021" s="3"/>
      <c r="K4021" s="3"/>
      <c r="L4021" s="3"/>
      <c r="N4021" s="3"/>
      <c r="O4021" s="3"/>
      <c r="P4021" s="3"/>
      <c r="R4021" s="3"/>
    </row>
    <row r="4022" spans="2:18" x14ac:dyDescent="0.2">
      <c r="B4022" s="1"/>
      <c r="C4022" s="2"/>
      <c r="D4022" s="2"/>
      <c r="F4022" s="1"/>
      <c r="G4022" s="2"/>
      <c r="H4022" s="2"/>
      <c r="J4022" s="3"/>
      <c r="K4022" s="3"/>
      <c r="L4022" s="3"/>
      <c r="N4022" s="3"/>
      <c r="O4022" s="3"/>
      <c r="P4022" s="3"/>
      <c r="R4022" s="3"/>
    </row>
    <row r="4023" spans="2:18" x14ac:dyDescent="0.2">
      <c r="B4023" s="1"/>
      <c r="C4023" s="2"/>
      <c r="D4023" s="2"/>
      <c r="F4023" s="1"/>
      <c r="G4023" s="2"/>
      <c r="H4023" s="2"/>
      <c r="J4023" s="3"/>
      <c r="K4023" s="3"/>
      <c r="L4023" s="3"/>
      <c r="N4023" s="3"/>
      <c r="O4023" s="3"/>
      <c r="P4023" s="3"/>
      <c r="R4023" s="3"/>
    </row>
    <row r="4024" spans="2:18" x14ac:dyDescent="0.2">
      <c r="B4024" s="1"/>
      <c r="C4024" s="2"/>
      <c r="D4024" s="2"/>
      <c r="F4024" s="1"/>
      <c r="G4024" s="2"/>
      <c r="H4024" s="2"/>
      <c r="J4024" s="3"/>
      <c r="K4024" s="3"/>
      <c r="L4024" s="3"/>
      <c r="N4024" s="3"/>
      <c r="O4024" s="3"/>
      <c r="P4024" s="3"/>
      <c r="R4024" s="3"/>
    </row>
    <row r="4025" spans="2:18" x14ac:dyDescent="0.2">
      <c r="B4025" s="1"/>
      <c r="C4025" s="2"/>
      <c r="D4025" s="2"/>
      <c r="F4025" s="1"/>
      <c r="G4025" s="2"/>
      <c r="H4025" s="2"/>
      <c r="J4025" s="3"/>
      <c r="K4025" s="3"/>
      <c r="L4025" s="3"/>
      <c r="N4025" s="3"/>
      <c r="O4025" s="3"/>
      <c r="P4025" s="3"/>
      <c r="R4025" s="3"/>
    </row>
    <row r="4026" spans="2:18" x14ac:dyDescent="0.2">
      <c r="B4026" s="1"/>
      <c r="C4026" s="2"/>
      <c r="D4026" s="2"/>
      <c r="F4026" s="1"/>
      <c r="G4026" s="2"/>
      <c r="H4026" s="2"/>
      <c r="J4026" s="3"/>
      <c r="K4026" s="3"/>
      <c r="L4026" s="3"/>
      <c r="N4026" s="3"/>
      <c r="O4026" s="3"/>
      <c r="P4026" s="3"/>
      <c r="R4026" s="3"/>
    </row>
    <row r="4027" spans="2:18" x14ac:dyDescent="0.2">
      <c r="B4027" s="1"/>
      <c r="C4027" s="2"/>
      <c r="D4027" s="2"/>
      <c r="F4027" s="1"/>
      <c r="G4027" s="2"/>
      <c r="H4027" s="2"/>
      <c r="J4027" s="3"/>
      <c r="K4027" s="3"/>
      <c r="L4027" s="3"/>
      <c r="N4027" s="3"/>
      <c r="O4027" s="3"/>
      <c r="P4027" s="3"/>
      <c r="R4027" s="3"/>
    </row>
    <row r="4028" spans="2:18" x14ac:dyDescent="0.2">
      <c r="B4028" s="1"/>
      <c r="C4028" s="2"/>
      <c r="D4028" s="2"/>
      <c r="F4028" s="1"/>
      <c r="G4028" s="2"/>
      <c r="H4028" s="2"/>
      <c r="J4028" s="3"/>
      <c r="K4028" s="3"/>
      <c r="L4028" s="3"/>
      <c r="N4028" s="3"/>
      <c r="O4028" s="3"/>
      <c r="P4028" s="3"/>
      <c r="R4028" s="3"/>
    </row>
    <row r="4029" spans="2:18" x14ac:dyDescent="0.2">
      <c r="B4029" s="1"/>
      <c r="C4029" s="2"/>
      <c r="D4029" s="2"/>
      <c r="F4029" s="1"/>
      <c r="G4029" s="2"/>
      <c r="H4029" s="2"/>
      <c r="J4029" s="3"/>
      <c r="K4029" s="3"/>
      <c r="L4029" s="3"/>
      <c r="N4029" s="3"/>
      <c r="O4029" s="3"/>
      <c r="P4029" s="3"/>
      <c r="R4029" s="3"/>
    </row>
    <row r="4030" spans="2:18" x14ac:dyDescent="0.2">
      <c r="B4030" s="1"/>
      <c r="C4030" s="2"/>
      <c r="D4030" s="2"/>
      <c r="F4030" s="1"/>
      <c r="G4030" s="2"/>
      <c r="H4030" s="2"/>
      <c r="J4030" s="3"/>
      <c r="K4030" s="3"/>
      <c r="L4030" s="3"/>
      <c r="N4030" s="3"/>
      <c r="O4030" s="3"/>
      <c r="P4030" s="3"/>
      <c r="R4030" s="3"/>
    </row>
    <row r="4031" spans="2:18" x14ac:dyDescent="0.2">
      <c r="B4031" s="1"/>
      <c r="C4031" s="2"/>
      <c r="D4031" s="2"/>
      <c r="F4031" s="1"/>
      <c r="G4031" s="2"/>
      <c r="H4031" s="2"/>
      <c r="J4031" s="3"/>
      <c r="K4031" s="3"/>
      <c r="L4031" s="3"/>
      <c r="N4031" s="3"/>
      <c r="O4031" s="3"/>
      <c r="P4031" s="3"/>
      <c r="R4031" s="3"/>
    </row>
    <row r="4032" spans="2:18" x14ac:dyDescent="0.2">
      <c r="B4032" s="1"/>
      <c r="C4032" s="2"/>
      <c r="D4032" s="2"/>
      <c r="F4032" s="1"/>
      <c r="G4032" s="2"/>
      <c r="H4032" s="2"/>
      <c r="J4032" s="3"/>
      <c r="K4032" s="3"/>
      <c r="L4032" s="3"/>
      <c r="N4032" s="3"/>
      <c r="O4032" s="3"/>
      <c r="P4032" s="3"/>
      <c r="R4032" s="3"/>
    </row>
    <row r="4033" spans="2:18" x14ac:dyDescent="0.2">
      <c r="B4033" s="1"/>
      <c r="C4033" s="2"/>
      <c r="D4033" s="2"/>
      <c r="F4033" s="1"/>
      <c r="G4033" s="2"/>
      <c r="H4033" s="2"/>
      <c r="J4033" s="3"/>
      <c r="K4033" s="3"/>
      <c r="L4033" s="3"/>
      <c r="N4033" s="3"/>
      <c r="O4033" s="3"/>
      <c r="P4033" s="3"/>
      <c r="R4033" s="3"/>
    </row>
    <row r="4034" spans="2:18" x14ac:dyDescent="0.2">
      <c r="B4034" s="1"/>
      <c r="C4034" s="2"/>
      <c r="D4034" s="2"/>
      <c r="F4034" s="1"/>
      <c r="G4034" s="2"/>
      <c r="H4034" s="2"/>
      <c r="J4034" s="3"/>
      <c r="K4034" s="3"/>
      <c r="L4034" s="3"/>
      <c r="N4034" s="3"/>
      <c r="O4034" s="3"/>
      <c r="P4034" s="3"/>
      <c r="R4034" s="3"/>
    </row>
    <row r="4035" spans="2:18" x14ac:dyDescent="0.2">
      <c r="B4035" s="1"/>
      <c r="C4035" s="2"/>
      <c r="D4035" s="2"/>
      <c r="F4035" s="1"/>
      <c r="G4035" s="2"/>
      <c r="H4035" s="2"/>
      <c r="J4035" s="3"/>
      <c r="K4035" s="3"/>
      <c r="L4035" s="3"/>
      <c r="N4035" s="3"/>
      <c r="O4035" s="3"/>
      <c r="P4035" s="3"/>
      <c r="R4035" s="3"/>
    </row>
    <row r="4036" spans="2:18" x14ac:dyDescent="0.2">
      <c r="B4036" s="1"/>
      <c r="C4036" s="2"/>
      <c r="D4036" s="2"/>
      <c r="F4036" s="1"/>
      <c r="G4036" s="2"/>
      <c r="H4036" s="2"/>
      <c r="J4036" s="3"/>
      <c r="K4036" s="3"/>
      <c r="L4036" s="3"/>
      <c r="N4036" s="3"/>
      <c r="O4036" s="3"/>
      <c r="P4036" s="3"/>
      <c r="R4036" s="3"/>
    </row>
    <row r="4037" spans="2:18" x14ac:dyDescent="0.2">
      <c r="B4037" s="1"/>
      <c r="C4037" s="2"/>
      <c r="D4037" s="2"/>
      <c r="F4037" s="1"/>
      <c r="G4037" s="2"/>
      <c r="H4037" s="2"/>
      <c r="J4037" s="3"/>
      <c r="K4037" s="3"/>
      <c r="L4037" s="3"/>
      <c r="N4037" s="3"/>
      <c r="O4037" s="3"/>
      <c r="P4037" s="3"/>
      <c r="R4037" s="3"/>
    </row>
    <row r="4038" spans="2:18" x14ac:dyDescent="0.2">
      <c r="B4038" s="1"/>
      <c r="C4038" s="2"/>
      <c r="D4038" s="2"/>
      <c r="F4038" s="1"/>
      <c r="G4038" s="2"/>
      <c r="H4038" s="2"/>
      <c r="J4038" s="3"/>
      <c r="K4038" s="3"/>
      <c r="L4038" s="3"/>
      <c r="N4038" s="3"/>
      <c r="O4038" s="3"/>
      <c r="P4038" s="3"/>
      <c r="R4038" s="3"/>
    </row>
    <row r="4039" spans="2:18" x14ac:dyDescent="0.2">
      <c r="B4039" s="1"/>
      <c r="C4039" s="2"/>
      <c r="D4039" s="2"/>
      <c r="F4039" s="1"/>
      <c r="G4039" s="2"/>
      <c r="H4039" s="2"/>
      <c r="J4039" s="3"/>
      <c r="K4039" s="3"/>
      <c r="L4039" s="3"/>
      <c r="N4039" s="3"/>
      <c r="O4039" s="3"/>
      <c r="P4039" s="3"/>
      <c r="R4039" s="3"/>
    </row>
    <row r="4040" spans="2:18" x14ac:dyDescent="0.2">
      <c r="B4040" s="1"/>
      <c r="C4040" s="2"/>
      <c r="D4040" s="2"/>
      <c r="F4040" s="1"/>
      <c r="G4040" s="2"/>
      <c r="H4040" s="2"/>
      <c r="J4040" s="3"/>
      <c r="K4040" s="3"/>
      <c r="L4040" s="3"/>
      <c r="N4040" s="3"/>
      <c r="O4040" s="3"/>
      <c r="P4040" s="3"/>
      <c r="R4040" s="3"/>
    </row>
    <row r="4041" spans="2:18" x14ac:dyDescent="0.2">
      <c r="B4041" s="1"/>
      <c r="C4041" s="2"/>
      <c r="D4041" s="2"/>
      <c r="F4041" s="1"/>
      <c r="G4041" s="2"/>
      <c r="H4041" s="2"/>
      <c r="J4041" s="3"/>
      <c r="K4041" s="3"/>
      <c r="L4041" s="3"/>
      <c r="N4041" s="3"/>
      <c r="O4041" s="3"/>
      <c r="P4041" s="3"/>
      <c r="R4041" s="3"/>
    </row>
    <row r="4042" spans="2:18" x14ac:dyDescent="0.2">
      <c r="B4042" s="1"/>
      <c r="C4042" s="2"/>
      <c r="D4042" s="2"/>
      <c r="F4042" s="1"/>
      <c r="G4042" s="2"/>
      <c r="H4042" s="2"/>
      <c r="J4042" s="3"/>
      <c r="K4042" s="3"/>
      <c r="L4042" s="3"/>
      <c r="N4042" s="3"/>
      <c r="O4042" s="3"/>
      <c r="P4042" s="3"/>
      <c r="R4042" s="3"/>
    </row>
    <row r="4043" spans="2:18" x14ac:dyDescent="0.2">
      <c r="B4043" s="1"/>
      <c r="C4043" s="2"/>
      <c r="D4043" s="2"/>
      <c r="F4043" s="1"/>
      <c r="G4043" s="2"/>
      <c r="H4043" s="2"/>
      <c r="J4043" s="3"/>
      <c r="K4043" s="3"/>
      <c r="L4043" s="3"/>
      <c r="N4043" s="3"/>
      <c r="O4043" s="3"/>
      <c r="P4043" s="3"/>
      <c r="R4043" s="3"/>
    </row>
    <row r="4044" spans="2:18" x14ac:dyDescent="0.2">
      <c r="B4044" s="1"/>
      <c r="C4044" s="2"/>
      <c r="D4044" s="2"/>
      <c r="F4044" s="1"/>
      <c r="G4044" s="2"/>
      <c r="H4044" s="2"/>
      <c r="J4044" s="3"/>
      <c r="K4044" s="3"/>
      <c r="L4044" s="3"/>
      <c r="N4044" s="3"/>
      <c r="O4044" s="3"/>
      <c r="P4044" s="3"/>
      <c r="R4044" s="3"/>
    </row>
    <row r="4045" spans="2:18" x14ac:dyDescent="0.2">
      <c r="B4045" s="1"/>
      <c r="C4045" s="2"/>
      <c r="D4045" s="2"/>
      <c r="F4045" s="1"/>
      <c r="G4045" s="2"/>
      <c r="H4045" s="2"/>
      <c r="J4045" s="3"/>
      <c r="K4045" s="3"/>
      <c r="L4045" s="3"/>
      <c r="N4045" s="3"/>
      <c r="O4045" s="3"/>
      <c r="P4045" s="3"/>
      <c r="R4045" s="3"/>
    </row>
    <row r="4046" spans="2:18" x14ac:dyDescent="0.2">
      <c r="B4046" s="1"/>
      <c r="C4046" s="2"/>
      <c r="D4046" s="2"/>
      <c r="F4046" s="1"/>
      <c r="G4046" s="2"/>
      <c r="H4046" s="2"/>
      <c r="J4046" s="3"/>
      <c r="K4046" s="3"/>
      <c r="L4046" s="3"/>
      <c r="N4046" s="3"/>
      <c r="O4046" s="3"/>
      <c r="P4046" s="3"/>
      <c r="R4046" s="3"/>
    </row>
    <row r="4047" spans="2:18" x14ac:dyDescent="0.2">
      <c r="B4047" s="1"/>
      <c r="C4047" s="2"/>
      <c r="D4047" s="2"/>
      <c r="F4047" s="1"/>
      <c r="G4047" s="2"/>
      <c r="H4047" s="2"/>
      <c r="J4047" s="3"/>
      <c r="K4047" s="3"/>
      <c r="L4047" s="3"/>
      <c r="N4047" s="3"/>
      <c r="O4047" s="3"/>
      <c r="P4047" s="3"/>
      <c r="R4047" s="3"/>
    </row>
    <row r="4048" spans="2:18" x14ac:dyDescent="0.2">
      <c r="B4048" s="1"/>
      <c r="C4048" s="2"/>
      <c r="D4048" s="2"/>
      <c r="F4048" s="1"/>
      <c r="G4048" s="2"/>
      <c r="H4048" s="2"/>
      <c r="J4048" s="3"/>
      <c r="K4048" s="3"/>
      <c r="L4048" s="3"/>
      <c r="N4048" s="3"/>
      <c r="O4048" s="3"/>
      <c r="P4048" s="3"/>
      <c r="R4048" s="3"/>
    </row>
    <row r="4049" spans="2:18" x14ac:dyDescent="0.2">
      <c r="B4049" s="1"/>
      <c r="C4049" s="2"/>
      <c r="D4049" s="2"/>
      <c r="F4049" s="1"/>
      <c r="G4049" s="2"/>
      <c r="H4049" s="2"/>
      <c r="J4049" s="3"/>
      <c r="K4049" s="3"/>
      <c r="L4049" s="3"/>
      <c r="N4049" s="3"/>
      <c r="O4049" s="3"/>
      <c r="P4049" s="3"/>
      <c r="R4049" s="3"/>
    </row>
    <row r="4050" spans="2:18" x14ac:dyDescent="0.2">
      <c r="B4050" s="1"/>
      <c r="C4050" s="2"/>
      <c r="D4050" s="2"/>
      <c r="F4050" s="1"/>
      <c r="G4050" s="2"/>
      <c r="H4050" s="2"/>
      <c r="J4050" s="3"/>
      <c r="K4050" s="3"/>
      <c r="L4050" s="3"/>
      <c r="N4050" s="3"/>
      <c r="O4050" s="3"/>
      <c r="P4050" s="3"/>
      <c r="R4050" s="3"/>
    </row>
    <row r="4051" spans="2:18" x14ac:dyDescent="0.2">
      <c r="B4051" s="1"/>
      <c r="C4051" s="2"/>
      <c r="D4051" s="2"/>
      <c r="F4051" s="1"/>
      <c r="G4051" s="2"/>
      <c r="H4051" s="2"/>
      <c r="J4051" s="3"/>
      <c r="K4051" s="3"/>
      <c r="L4051" s="3"/>
      <c r="N4051" s="3"/>
      <c r="O4051" s="3"/>
      <c r="P4051" s="3"/>
      <c r="R4051" s="3"/>
    </row>
    <row r="4052" spans="2:18" x14ac:dyDescent="0.2">
      <c r="B4052" s="1"/>
      <c r="C4052" s="2"/>
      <c r="D4052" s="2"/>
      <c r="F4052" s="1"/>
      <c r="G4052" s="2"/>
      <c r="H4052" s="2"/>
      <c r="J4052" s="3"/>
      <c r="K4052" s="3"/>
      <c r="L4052" s="3"/>
      <c r="N4052" s="3"/>
      <c r="O4052" s="3"/>
      <c r="P4052" s="3"/>
      <c r="R4052" s="3"/>
    </row>
    <row r="4053" spans="2:18" x14ac:dyDescent="0.2">
      <c r="B4053" s="1"/>
      <c r="C4053" s="2"/>
      <c r="D4053" s="2"/>
      <c r="F4053" s="1"/>
      <c r="G4053" s="2"/>
      <c r="H4053" s="2"/>
      <c r="J4053" s="3"/>
      <c r="K4053" s="3"/>
      <c r="L4053" s="3"/>
      <c r="N4053" s="3"/>
      <c r="O4053" s="3"/>
      <c r="P4053" s="3"/>
      <c r="R4053" s="3"/>
    </row>
    <row r="4054" spans="2:18" x14ac:dyDescent="0.2">
      <c r="B4054" s="1"/>
      <c r="C4054" s="2"/>
      <c r="D4054" s="2"/>
      <c r="F4054" s="1"/>
      <c r="G4054" s="2"/>
      <c r="H4054" s="2"/>
      <c r="J4054" s="3"/>
      <c r="K4054" s="3"/>
      <c r="L4054" s="3"/>
      <c r="N4054" s="3"/>
      <c r="O4054" s="3"/>
      <c r="P4054" s="3"/>
      <c r="R4054" s="3"/>
    </row>
    <row r="4055" spans="2:18" x14ac:dyDescent="0.2">
      <c r="B4055" s="1"/>
      <c r="C4055" s="2"/>
      <c r="D4055" s="2"/>
      <c r="F4055" s="1"/>
      <c r="G4055" s="2"/>
      <c r="H4055" s="2"/>
      <c r="J4055" s="3"/>
      <c r="K4055" s="3"/>
      <c r="L4055" s="3"/>
      <c r="N4055" s="3"/>
      <c r="O4055" s="3"/>
      <c r="P4055" s="3"/>
      <c r="R4055" s="3"/>
    </row>
    <row r="4056" spans="2:18" x14ac:dyDescent="0.2">
      <c r="B4056" s="1"/>
      <c r="C4056" s="2"/>
      <c r="D4056" s="2"/>
      <c r="F4056" s="1"/>
      <c r="G4056" s="2"/>
      <c r="H4056" s="2"/>
      <c r="J4056" s="3"/>
      <c r="K4056" s="3"/>
      <c r="L4056" s="3"/>
      <c r="N4056" s="3"/>
      <c r="O4056" s="3"/>
      <c r="P4056" s="3"/>
      <c r="R4056" s="3"/>
    </row>
    <row r="4057" spans="2:18" x14ac:dyDescent="0.2">
      <c r="B4057" s="1"/>
      <c r="C4057" s="2"/>
      <c r="D4057" s="2"/>
      <c r="F4057" s="1"/>
      <c r="G4057" s="2"/>
      <c r="H4057" s="2"/>
      <c r="J4057" s="3"/>
      <c r="K4057" s="3"/>
      <c r="L4057" s="3"/>
      <c r="N4057" s="3"/>
      <c r="O4057" s="3"/>
      <c r="P4057" s="3"/>
      <c r="R4057" s="3"/>
    </row>
    <row r="4058" spans="2:18" x14ac:dyDescent="0.2">
      <c r="B4058" s="1"/>
      <c r="C4058" s="2"/>
      <c r="D4058" s="2"/>
      <c r="F4058" s="1"/>
      <c r="G4058" s="2"/>
      <c r="H4058" s="2"/>
      <c r="J4058" s="3"/>
      <c r="K4058" s="3"/>
      <c r="L4058" s="3"/>
      <c r="N4058" s="3"/>
      <c r="O4058" s="3"/>
      <c r="P4058" s="3"/>
      <c r="R4058" s="3"/>
    </row>
    <row r="4059" spans="2:18" x14ac:dyDescent="0.2">
      <c r="B4059" s="1"/>
      <c r="C4059" s="2"/>
      <c r="D4059" s="2"/>
      <c r="F4059" s="1"/>
      <c r="G4059" s="2"/>
      <c r="H4059" s="2"/>
      <c r="J4059" s="3"/>
      <c r="K4059" s="3"/>
      <c r="L4059" s="3"/>
      <c r="N4059" s="3"/>
      <c r="O4059" s="3"/>
      <c r="P4059" s="3"/>
      <c r="R4059" s="3"/>
    </row>
    <row r="4060" spans="2:18" x14ac:dyDescent="0.2">
      <c r="B4060" s="1"/>
      <c r="C4060" s="2"/>
      <c r="D4060" s="2"/>
      <c r="F4060" s="1"/>
      <c r="G4060" s="2"/>
      <c r="H4060" s="2"/>
      <c r="J4060" s="3"/>
      <c r="K4060" s="3"/>
      <c r="L4060" s="3"/>
      <c r="N4060" s="3"/>
      <c r="O4060" s="3"/>
      <c r="P4060" s="3"/>
      <c r="R4060" s="3"/>
    </row>
    <row r="4061" spans="2:18" x14ac:dyDescent="0.2">
      <c r="B4061" s="1"/>
      <c r="C4061" s="2"/>
      <c r="D4061" s="2"/>
      <c r="F4061" s="1"/>
      <c r="G4061" s="2"/>
      <c r="H4061" s="2"/>
      <c r="J4061" s="3"/>
      <c r="K4061" s="3"/>
      <c r="L4061" s="3"/>
      <c r="N4061" s="3"/>
      <c r="O4061" s="3"/>
      <c r="P4061" s="3"/>
      <c r="R4061" s="3"/>
    </row>
    <row r="4062" spans="2:18" x14ac:dyDescent="0.2">
      <c r="B4062" s="1"/>
      <c r="C4062" s="2"/>
      <c r="D4062" s="2"/>
      <c r="F4062" s="1"/>
      <c r="G4062" s="2"/>
      <c r="H4062" s="2"/>
      <c r="J4062" s="3"/>
      <c r="K4062" s="3"/>
      <c r="L4062" s="3"/>
      <c r="N4062" s="3"/>
      <c r="O4062" s="3"/>
      <c r="P4062" s="3"/>
      <c r="R4062" s="3"/>
    </row>
    <row r="4063" spans="2:18" x14ac:dyDescent="0.2">
      <c r="B4063" s="1"/>
      <c r="C4063" s="2"/>
      <c r="D4063" s="2"/>
      <c r="F4063" s="1"/>
      <c r="G4063" s="2"/>
      <c r="H4063" s="2"/>
      <c r="J4063" s="3"/>
      <c r="K4063" s="3"/>
      <c r="L4063" s="3"/>
      <c r="N4063" s="3"/>
      <c r="O4063" s="3"/>
      <c r="P4063" s="3"/>
      <c r="R4063" s="3"/>
    </row>
    <row r="4064" spans="2:18" x14ac:dyDescent="0.2">
      <c r="B4064" s="1"/>
      <c r="C4064" s="2"/>
      <c r="D4064" s="2"/>
      <c r="F4064" s="1"/>
      <c r="G4064" s="2"/>
      <c r="H4064" s="2"/>
      <c r="J4064" s="3"/>
      <c r="K4064" s="3"/>
      <c r="L4064" s="3"/>
      <c r="N4064" s="3"/>
      <c r="O4064" s="3"/>
      <c r="P4064" s="3"/>
      <c r="R4064" s="3"/>
    </row>
    <row r="4065" spans="2:18" x14ac:dyDescent="0.2">
      <c r="B4065" s="1"/>
      <c r="C4065" s="2"/>
      <c r="D4065" s="2"/>
      <c r="F4065" s="1"/>
      <c r="G4065" s="2"/>
      <c r="H4065" s="2"/>
      <c r="J4065" s="3"/>
      <c r="K4065" s="3"/>
      <c r="L4065" s="3"/>
      <c r="N4065" s="3"/>
      <c r="O4065" s="3"/>
      <c r="P4065" s="3"/>
      <c r="R4065" s="3"/>
    </row>
    <row r="4066" spans="2:18" x14ac:dyDescent="0.2">
      <c r="B4066" s="1"/>
      <c r="C4066" s="2"/>
      <c r="D4066" s="2"/>
      <c r="F4066" s="1"/>
      <c r="G4066" s="2"/>
      <c r="H4066" s="2"/>
      <c r="J4066" s="3"/>
      <c r="K4066" s="3"/>
      <c r="L4066" s="3"/>
      <c r="N4066" s="3"/>
      <c r="O4066" s="3"/>
      <c r="P4066" s="3"/>
      <c r="R4066" s="3"/>
    </row>
    <row r="4067" spans="2:18" x14ac:dyDescent="0.2">
      <c r="B4067" s="1"/>
      <c r="C4067" s="2"/>
      <c r="D4067" s="2"/>
      <c r="F4067" s="1"/>
      <c r="G4067" s="2"/>
      <c r="H4067" s="2"/>
      <c r="J4067" s="3"/>
      <c r="K4067" s="3"/>
      <c r="L4067" s="3"/>
      <c r="N4067" s="3"/>
      <c r="O4067" s="3"/>
      <c r="P4067" s="3"/>
      <c r="R4067" s="3"/>
    </row>
    <row r="4068" spans="2:18" x14ac:dyDescent="0.2">
      <c r="B4068" s="1"/>
      <c r="C4068" s="2"/>
      <c r="D4068" s="2"/>
      <c r="F4068" s="1"/>
      <c r="G4068" s="2"/>
      <c r="H4068" s="2"/>
      <c r="J4068" s="3"/>
      <c r="K4068" s="3"/>
      <c r="L4068" s="3"/>
      <c r="N4068" s="3"/>
      <c r="O4068" s="3"/>
      <c r="P4068" s="3"/>
      <c r="R4068" s="3"/>
    </row>
    <row r="4069" spans="2:18" x14ac:dyDescent="0.2">
      <c r="B4069" s="1"/>
      <c r="C4069" s="2"/>
      <c r="D4069" s="2"/>
      <c r="F4069" s="1"/>
      <c r="G4069" s="2"/>
      <c r="H4069" s="2"/>
      <c r="J4069" s="3"/>
      <c r="K4069" s="3"/>
      <c r="L4069" s="3"/>
      <c r="N4069" s="3"/>
      <c r="O4069" s="3"/>
      <c r="P4069" s="3"/>
      <c r="R4069" s="3"/>
    </row>
    <row r="4070" spans="2:18" x14ac:dyDescent="0.2">
      <c r="B4070" s="1"/>
      <c r="C4070" s="2"/>
      <c r="D4070" s="2"/>
      <c r="F4070" s="1"/>
      <c r="G4070" s="2"/>
      <c r="H4070" s="2"/>
      <c r="J4070" s="3"/>
      <c r="K4070" s="3"/>
      <c r="L4070" s="3"/>
      <c r="N4070" s="3"/>
      <c r="O4070" s="3"/>
      <c r="P4070" s="3"/>
      <c r="R4070" s="3"/>
    </row>
    <row r="4071" spans="2:18" x14ac:dyDescent="0.2">
      <c r="B4071" s="1"/>
      <c r="C4071" s="2"/>
      <c r="D4071" s="2"/>
      <c r="F4071" s="1"/>
      <c r="G4071" s="2"/>
      <c r="H4071" s="2"/>
      <c r="J4071" s="3"/>
      <c r="K4071" s="3"/>
      <c r="L4071" s="3"/>
      <c r="N4071" s="3"/>
      <c r="O4071" s="3"/>
      <c r="P4071" s="3"/>
      <c r="R4071" s="3"/>
    </row>
    <row r="4072" spans="2:18" x14ac:dyDescent="0.2">
      <c r="B4072" s="1"/>
      <c r="C4072" s="2"/>
      <c r="D4072" s="2"/>
      <c r="F4072" s="1"/>
      <c r="G4072" s="2"/>
      <c r="H4072" s="2"/>
      <c r="J4072" s="3"/>
      <c r="K4072" s="3"/>
      <c r="L4072" s="3"/>
      <c r="N4072" s="3"/>
      <c r="O4072" s="3"/>
      <c r="P4072" s="3"/>
      <c r="R4072" s="3"/>
    </row>
    <row r="4073" spans="2:18" x14ac:dyDescent="0.2">
      <c r="B4073" s="1"/>
      <c r="C4073" s="2"/>
      <c r="D4073" s="2"/>
      <c r="F4073" s="1"/>
      <c r="G4073" s="2"/>
      <c r="H4073" s="2"/>
      <c r="J4073" s="3"/>
      <c r="K4073" s="3"/>
      <c r="L4073" s="3"/>
      <c r="N4073" s="3"/>
      <c r="O4073" s="3"/>
      <c r="P4073" s="3"/>
      <c r="R4073" s="3"/>
    </row>
    <row r="4074" spans="2:18" x14ac:dyDescent="0.2">
      <c r="B4074" s="1"/>
      <c r="C4074" s="2"/>
      <c r="D4074" s="2"/>
      <c r="F4074" s="1"/>
      <c r="G4074" s="2"/>
      <c r="H4074" s="2"/>
      <c r="J4074" s="3"/>
      <c r="K4074" s="3"/>
      <c r="L4074" s="3"/>
      <c r="N4074" s="3"/>
      <c r="O4074" s="3"/>
      <c r="P4074" s="3"/>
      <c r="R4074" s="3"/>
    </row>
    <row r="4075" spans="2:18" x14ac:dyDescent="0.2">
      <c r="B4075" s="1"/>
      <c r="C4075" s="2"/>
      <c r="D4075" s="2"/>
      <c r="F4075" s="1"/>
      <c r="G4075" s="2"/>
      <c r="H4075" s="2"/>
      <c r="J4075" s="3"/>
      <c r="K4075" s="3"/>
      <c r="L4075" s="3"/>
      <c r="N4075" s="3"/>
      <c r="O4075" s="3"/>
      <c r="P4075" s="3"/>
      <c r="R4075" s="3"/>
    </row>
    <row r="4076" spans="2:18" x14ac:dyDescent="0.2">
      <c r="B4076" s="1"/>
      <c r="C4076" s="2"/>
      <c r="D4076" s="2"/>
      <c r="F4076" s="1"/>
      <c r="G4076" s="2"/>
      <c r="H4076" s="2"/>
      <c r="J4076" s="3"/>
      <c r="K4076" s="3"/>
      <c r="L4076" s="3"/>
      <c r="N4076" s="3"/>
      <c r="O4076" s="3"/>
      <c r="P4076" s="3"/>
      <c r="R4076" s="3"/>
    </row>
    <row r="4077" spans="2:18" x14ac:dyDescent="0.2">
      <c r="B4077" s="1"/>
      <c r="C4077" s="2"/>
      <c r="D4077" s="2"/>
      <c r="F4077" s="1"/>
      <c r="G4077" s="2"/>
      <c r="H4077" s="2"/>
      <c r="J4077" s="3"/>
      <c r="K4077" s="3"/>
      <c r="L4077" s="3"/>
      <c r="N4077" s="3"/>
      <c r="O4077" s="3"/>
      <c r="P4077" s="3"/>
      <c r="R4077" s="3"/>
    </row>
    <row r="4078" spans="2:18" x14ac:dyDescent="0.2">
      <c r="B4078" s="1"/>
      <c r="C4078" s="2"/>
      <c r="D4078" s="2"/>
      <c r="F4078" s="1"/>
      <c r="G4078" s="2"/>
      <c r="H4078" s="2"/>
      <c r="J4078" s="3"/>
      <c r="K4078" s="3"/>
      <c r="L4078" s="3"/>
      <c r="N4078" s="3"/>
      <c r="O4078" s="3"/>
      <c r="P4078" s="3"/>
      <c r="R4078" s="3"/>
    </row>
    <row r="4079" spans="2:18" x14ac:dyDescent="0.2">
      <c r="B4079" s="1"/>
      <c r="C4079" s="2"/>
      <c r="D4079" s="2"/>
      <c r="F4079" s="1"/>
      <c r="G4079" s="2"/>
      <c r="H4079" s="2"/>
      <c r="J4079" s="3"/>
      <c r="K4079" s="3"/>
      <c r="L4079" s="3"/>
      <c r="N4079" s="3"/>
      <c r="O4079" s="3"/>
      <c r="P4079" s="3"/>
      <c r="R4079" s="3"/>
    </row>
    <row r="4080" spans="2:18" x14ac:dyDescent="0.2">
      <c r="B4080" s="1"/>
      <c r="C4080" s="2"/>
      <c r="D4080" s="2"/>
      <c r="F4080" s="1"/>
      <c r="G4080" s="2"/>
      <c r="H4080" s="2"/>
      <c r="J4080" s="3"/>
      <c r="K4080" s="3"/>
      <c r="L4080" s="3"/>
      <c r="N4080" s="3"/>
      <c r="O4080" s="3"/>
      <c r="P4080" s="3"/>
      <c r="R4080" s="3"/>
    </row>
    <row r="4081" spans="2:18" x14ac:dyDescent="0.2">
      <c r="B4081" s="1"/>
      <c r="C4081" s="2"/>
      <c r="D4081" s="2"/>
      <c r="F4081" s="1"/>
      <c r="G4081" s="2"/>
      <c r="H4081" s="2"/>
      <c r="J4081" s="3"/>
      <c r="K4081" s="3"/>
      <c r="L4081" s="3"/>
      <c r="N4081" s="3"/>
      <c r="O4081" s="3"/>
      <c r="P4081" s="3"/>
      <c r="R4081" s="3"/>
    </row>
    <row r="4082" spans="2:18" x14ac:dyDescent="0.2">
      <c r="B4082" s="1"/>
      <c r="C4082" s="2"/>
      <c r="D4082" s="2"/>
      <c r="F4082" s="1"/>
      <c r="G4082" s="2"/>
      <c r="H4082" s="2"/>
      <c r="J4082" s="3"/>
      <c r="K4082" s="3"/>
      <c r="L4082" s="3"/>
      <c r="N4082" s="3"/>
      <c r="O4082" s="3"/>
      <c r="P4082" s="3"/>
      <c r="R4082" s="3"/>
    </row>
    <row r="4083" spans="2:18" x14ac:dyDescent="0.2">
      <c r="B4083" s="1"/>
      <c r="C4083" s="2"/>
      <c r="D4083" s="2"/>
      <c r="F4083" s="1"/>
      <c r="G4083" s="2"/>
      <c r="H4083" s="2"/>
      <c r="J4083" s="3"/>
      <c r="K4083" s="3"/>
      <c r="L4083" s="3"/>
      <c r="N4083" s="3"/>
      <c r="O4083" s="3"/>
      <c r="P4083" s="3"/>
      <c r="R4083" s="3"/>
    </row>
    <row r="4084" spans="2:18" x14ac:dyDescent="0.2">
      <c r="B4084" s="1"/>
      <c r="C4084" s="2"/>
      <c r="D4084" s="2"/>
      <c r="F4084" s="1"/>
      <c r="G4084" s="2"/>
      <c r="H4084" s="2"/>
      <c r="J4084" s="3"/>
      <c r="K4084" s="3"/>
      <c r="L4084" s="3"/>
      <c r="N4084" s="3"/>
      <c r="O4084" s="3"/>
      <c r="P4084" s="3"/>
      <c r="R4084" s="3"/>
    </row>
    <row r="4085" spans="2:18" x14ac:dyDescent="0.2">
      <c r="B4085" s="1"/>
      <c r="C4085" s="2"/>
      <c r="D4085" s="2"/>
      <c r="F4085" s="1"/>
      <c r="G4085" s="2"/>
      <c r="H4085" s="2"/>
      <c r="J4085" s="3"/>
      <c r="K4085" s="3"/>
      <c r="L4085" s="3"/>
      <c r="N4085" s="3"/>
      <c r="O4085" s="3"/>
      <c r="P4085" s="3"/>
      <c r="R4085" s="3"/>
    </row>
    <row r="4086" spans="2:18" x14ac:dyDescent="0.2">
      <c r="B4086" s="1"/>
      <c r="C4086" s="2"/>
      <c r="D4086" s="2"/>
      <c r="F4086" s="1"/>
      <c r="G4086" s="2"/>
      <c r="H4086" s="2"/>
      <c r="J4086" s="3"/>
      <c r="K4086" s="3"/>
      <c r="L4086" s="3"/>
      <c r="N4086" s="3"/>
      <c r="O4086" s="3"/>
      <c r="P4086" s="3"/>
      <c r="R4086" s="3"/>
    </row>
    <row r="4087" spans="2:18" x14ac:dyDescent="0.2">
      <c r="B4087" s="1"/>
      <c r="C4087" s="2"/>
      <c r="D4087" s="2"/>
      <c r="F4087" s="1"/>
      <c r="G4087" s="2"/>
      <c r="H4087" s="2"/>
      <c r="J4087" s="3"/>
      <c r="K4087" s="3"/>
      <c r="L4087" s="3"/>
      <c r="N4087" s="3"/>
      <c r="O4087" s="3"/>
      <c r="P4087" s="3"/>
      <c r="R4087" s="3"/>
    </row>
    <row r="4088" spans="2:18" x14ac:dyDescent="0.2">
      <c r="B4088" s="1"/>
      <c r="C4088" s="2"/>
      <c r="D4088" s="2"/>
      <c r="F4088" s="1"/>
      <c r="G4088" s="2"/>
      <c r="H4088" s="2"/>
      <c r="J4088" s="3"/>
      <c r="K4088" s="3"/>
      <c r="L4088" s="3"/>
      <c r="N4088" s="3"/>
      <c r="O4088" s="3"/>
      <c r="P4088" s="3"/>
      <c r="R4088" s="3"/>
    </row>
    <row r="4089" spans="2:18" x14ac:dyDescent="0.2">
      <c r="B4089" s="1"/>
      <c r="C4089" s="2"/>
      <c r="D4089" s="2"/>
      <c r="F4089" s="1"/>
      <c r="G4089" s="2"/>
      <c r="H4089" s="2"/>
      <c r="J4089" s="3"/>
      <c r="K4089" s="3"/>
      <c r="L4089" s="3"/>
      <c r="N4089" s="3"/>
      <c r="O4089" s="3"/>
      <c r="P4089" s="3"/>
      <c r="R4089" s="3"/>
    </row>
    <row r="4090" spans="2:18" x14ac:dyDescent="0.2">
      <c r="B4090" s="1"/>
      <c r="C4090" s="2"/>
      <c r="D4090" s="2"/>
      <c r="F4090" s="1"/>
      <c r="G4090" s="2"/>
      <c r="H4090" s="2"/>
      <c r="J4090" s="3"/>
      <c r="K4090" s="3"/>
      <c r="L4090" s="3"/>
      <c r="N4090" s="3"/>
      <c r="O4090" s="3"/>
      <c r="P4090" s="3"/>
      <c r="R4090" s="3"/>
    </row>
    <row r="4091" spans="2:18" x14ac:dyDescent="0.2">
      <c r="B4091" s="1"/>
      <c r="C4091" s="2"/>
      <c r="D4091" s="2"/>
      <c r="F4091" s="1"/>
      <c r="G4091" s="2"/>
      <c r="H4091" s="2"/>
      <c r="J4091" s="3"/>
      <c r="K4091" s="3"/>
      <c r="L4091" s="3"/>
      <c r="N4091" s="3"/>
      <c r="O4091" s="3"/>
      <c r="P4091" s="3"/>
      <c r="R4091" s="3"/>
    </row>
    <row r="4092" spans="2:18" x14ac:dyDescent="0.2">
      <c r="B4092" s="1"/>
      <c r="C4092" s="2"/>
      <c r="D4092" s="2"/>
      <c r="F4092" s="1"/>
      <c r="G4092" s="2"/>
      <c r="H4092" s="2"/>
      <c r="J4092" s="3"/>
      <c r="K4092" s="3"/>
      <c r="L4092" s="3"/>
      <c r="N4092" s="3"/>
      <c r="O4092" s="3"/>
      <c r="P4092" s="3"/>
      <c r="R4092" s="3"/>
    </row>
    <row r="4093" spans="2:18" x14ac:dyDescent="0.2">
      <c r="B4093" s="1"/>
      <c r="C4093" s="2"/>
      <c r="D4093" s="2"/>
      <c r="F4093" s="1"/>
      <c r="G4093" s="2"/>
      <c r="H4093" s="2"/>
      <c r="J4093" s="3"/>
      <c r="K4093" s="3"/>
      <c r="L4093" s="3"/>
      <c r="N4093" s="3"/>
      <c r="O4093" s="3"/>
      <c r="P4093" s="3"/>
      <c r="R4093" s="3"/>
    </row>
    <row r="4094" spans="2:18" x14ac:dyDescent="0.2">
      <c r="B4094" s="1"/>
      <c r="C4094" s="2"/>
      <c r="D4094" s="2"/>
      <c r="F4094" s="1"/>
      <c r="G4094" s="2"/>
      <c r="H4094" s="2"/>
      <c r="J4094" s="3"/>
      <c r="K4094" s="3"/>
      <c r="L4094" s="3"/>
      <c r="N4094" s="3"/>
      <c r="O4094" s="3"/>
      <c r="P4094" s="3"/>
      <c r="R4094" s="3"/>
    </row>
    <row r="4095" spans="2:18" x14ac:dyDescent="0.2">
      <c r="B4095" s="1"/>
      <c r="C4095" s="2"/>
      <c r="D4095" s="2"/>
      <c r="F4095" s="1"/>
      <c r="G4095" s="2"/>
      <c r="H4095" s="2"/>
      <c r="J4095" s="3"/>
      <c r="K4095" s="3"/>
      <c r="L4095" s="3"/>
      <c r="N4095" s="3"/>
      <c r="O4095" s="3"/>
      <c r="P4095" s="3"/>
      <c r="R4095" s="3"/>
    </row>
    <row r="4096" spans="2:18" x14ac:dyDescent="0.2">
      <c r="B4096" s="1"/>
      <c r="C4096" s="2"/>
      <c r="D4096" s="2"/>
      <c r="F4096" s="1"/>
      <c r="G4096" s="2"/>
      <c r="H4096" s="2"/>
      <c r="J4096" s="3"/>
      <c r="K4096" s="3"/>
      <c r="L4096" s="3"/>
      <c r="N4096" s="3"/>
      <c r="O4096" s="3"/>
      <c r="P4096" s="3"/>
      <c r="R4096" s="3"/>
    </row>
    <row r="4097" spans="2:18" x14ac:dyDescent="0.2">
      <c r="B4097" s="1"/>
      <c r="C4097" s="2"/>
      <c r="D4097" s="2"/>
      <c r="F4097" s="1"/>
      <c r="G4097" s="2"/>
      <c r="H4097" s="2"/>
      <c r="J4097" s="3"/>
      <c r="K4097" s="3"/>
      <c r="L4097" s="3"/>
      <c r="N4097" s="3"/>
      <c r="O4097" s="3"/>
      <c r="P4097" s="3"/>
      <c r="R4097" s="3"/>
    </row>
    <row r="4098" spans="2:18" x14ac:dyDescent="0.2">
      <c r="B4098" s="1"/>
      <c r="C4098" s="2"/>
      <c r="D4098" s="2"/>
      <c r="F4098" s="1"/>
      <c r="G4098" s="2"/>
      <c r="H4098" s="2"/>
      <c r="J4098" s="3"/>
      <c r="K4098" s="3"/>
      <c r="L4098" s="3"/>
      <c r="N4098" s="3"/>
      <c r="O4098" s="3"/>
      <c r="P4098" s="3"/>
      <c r="R4098" s="3"/>
    </row>
    <row r="4099" spans="2:18" x14ac:dyDescent="0.2">
      <c r="B4099" s="1"/>
      <c r="C4099" s="2"/>
      <c r="D4099" s="2"/>
      <c r="F4099" s="1"/>
      <c r="G4099" s="2"/>
      <c r="H4099" s="2"/>
      <c r="J4099" s="3"/>
      <c r="K4099" s="3"/>
      <c r="L4099" s="3"/>
      <c r="N4099" s="3"/>
      <c r="O4099" s="3"/>
      <c r="P4099" s="3"/>
      <c r="R4099" s="3"/>
    </row>
    <row r="4100" spans="2:18" x14ac:dyDescent="0.2">
      <c r="B4100" s="1"/>
      <c r="C4100" s="2"/>
      <c r="D4100" s="2"/>
      <c r="F4100" s="1"/>
      <c r="G4100" s="2"/>
      <c r="H4100" s="2"/>
      <c r="J4100" s="3"/>
      <c r="K4100" s="3"/>
      <c r="L4100" s="3"/>
      <c r="N4100" s="3"/>
      <c r="O4100" s="3"/>
      <c r="P4100" s="3"/>
      <c r="R4100" s="3"/>
    </row>
    <row r="4101" spans="2:18" x14ac:dyDescent="0.2">
      <c r="B4101" s="1"/>
      <c r="C4101" s="2"/>
      <c r="D4101" s="2"/>
      <c r="F4101" s="1"/>
      <c r="G4101" s="2"/>
      <c r="H4101" s="2"/>
      <c r="J4101" s="3"/>
      <c r="K4101" s="3"/>
      <c r="L4101" s="3"/>
      <c r="N4101" s="3"/>
      <c r="O4101" s="3"/>
      <c r="P4101" s="3"/>
      <c r="R4101" s="3"/>
    </row>
    <row r="4102" spans="2:18" x14ac:dyDescent="0.2">
      <c r="B4102" s="1"/>
      <c r="C4102" s="2"/>
      <c r="D4102" s="2"/>
      <c r="F4102" s="1"/>
      <c r="G4102" s="2"/>
      <c r="H4102" s="2"/>
      <c r="J4102" s="3"/>
      <c r="K4102" s="3"/>
      <c r="L4102" s="3"/>
      <c r="N4102" s="3"/>
      <c r="O4102" s="3"/>
      <c r="P4102" s="3"/>
      <c r="R4102" s="3"/>
    </row>
    <row r="4103" spans="2:18" x14ac:dyDescent="0.2">
      <c r="B4103" s="1"/>
      <c r="C4103" s="2"/>
      <c r="D4103" s="2"/>
      <c r="F4103" s="1"/>
      <c r="G4103" s="2"/>
      <c r="H4103" s="2"/>
      <c r="J4103" s="3"/>
      <c r="K4103" s="3"/>
      <c r="L4103" s="3"/>
      <c r="N4103" s="3"/>
      <c r="O4103" s="3"/>
      <c r="P4103" s="3"/>
      <c r="R4103" s="3"/>
    </row>
    <row r="4104" spans="2:18" x14ac:dyDescent="0.2">
      <c r="B4104" s="1"/>
      <c r="C4104" s="2"/>
      <c r="D4104" s="2"/>
      <c r="F4104" s="1"/>
      <c r="G4104" s="2"/>
      <c r="H4104" s="2"/>
      <c r="J4104" s="3"/>
      <c r="K4104" s="3"/>
      <c r="L4104" s="3"/>
      <c r="N4104" s="3"/>
      <c r="O4104" s="3"/>
      <c r="P4104" s="3"/>
      <c r="R4104" s="3"/>
    </row>
    <row r="4105" spans="2:18" x14ac:dyDescent="0.2">
      <c r="B4105" s="1"/>
      <c r="C4105" s="2"/>
      <c r="D4105" s="2"/>
      <c r="F4105" s="1"/>
      <c r="G4105" s="2"/>
      <c r="H4105" s="2"/>
      <c r="J4105" s="3"/>
      <c r="K4105" s="3"/>
      <c r="L4105" s="3"/>
      <c r="N4105" s="3"/>
      <c r="O4105" s="3"/>
      <c r="P4105" s="3"/>
      <c r="R4105" s="3"/>
    </row>
    <row r="4106" spans="2:18" x14ac:dyDescent="0.2">
      <c r="B4106" s="1"/>
      <c r="C4106" s="2"/>
      <c r="D4106" s="2"/>
      <c r="F4106" s="1"/>
      <c r="G4106" s="2"/>
      <c r="H4106" s="2"/>
      <c r="J4106" s="3"/>
      <c r="K4106" s="3"/>
      <c r="L4106" s="3"/>
      <c r="N4106" s="3"/>
      <c r="O4106" s="3"/>
      <c r="P4106" s="3"/>
      <c r="R4106" s="3"/>
    </row>
    <row r="4107" spans="2:18" x14ac:dyDescent="0.2">
      <c r="B4107" s="1"/>
      <c r="C4107" s="2"/>
      <c r="D4107" s="2"/>
      <c r="F4107" s="1"/>
      <c r="G4107" s="2"/>
      <c r="H4107" s="2"/>
      <c r="J4107" s="3"/>
      <c r="K4107" s="3"/>
      <c r="L4107" s="3"/>
      <c r="N4107" s="3"/>
      <c r="O4107" s="3"/>
      <c r="P4107" s="3"/>
      <c r="R4107" s="3"/>
    </row>
    <row r="4108" spans="2:18" x14ac:dyDescent="0.2">
      <c r="B4108" s="1"/>
      <c r="C4108" s="2"/>
      <c r="D4108" s="2"/>
      <c r="F4108" s="1"/>
      <c r="G4108" s="2"/>
      <c r="H4108" s="2"/>
      <c r="J4108" s="3"/>
      <c r="K4108" s="3"/>
      <c r="L4108" s="3"/>
      <c r="N4108" s="3"/>
      <c r="O4108" s="3"/>
      <c r="P4108" s="3"/>
      <c r="R4108" s="3"/>
    </row>
    <row r="4109" spans="2:18" x14ac:dyDescent="0.2">
      <c r="B4109" s="1"/>
      <c r="C4109" s="2"/>
      <c r="D4109" s="2"/>
      <c r="F4109" s="1"/>
      <c r="G4109" s="2"/>
      <c r="H4109" s="2"/>
      <c r="J4109" s="3"/>
      <c r="K4109" s="3"/>
      <c r="L4109" s="3"/>
      <c r="N4109" s="3"/>
      <c r="O4109" s="3"/>
      <c r="P4109" s="3"/>
      <c r="R4109" s="3"/>
    </row>
    <row r="4110" spans="2:18" x14ac:dyDescent="0.2">
      <c r="B4110" s="1"/>
      <c r="C4110" s="2"/>
      <c r="D4110" s="2"/>
      <c r="F4110" s="1"/>
      <c r="G4110" s="2"/>
      <c r="H4110" s="2"/>
      <c r="J4110" s="3"/>
      <c r="K4110" s="3"/>
      <c r="L4110" s="3"/>
      <c r="N4110" s="3"/>
      <c r="O4110" s="3"/>
      <c r="P4110" s="3"/>
      <c r="R4110" s="3"/>
    </row>
    <row r="4111" spans="2:18" x14ac:dyDescent="0.2">
      <c r="B4111" s="1"/>
      <c r="C4111" s="2"/>
      <c r="D4111" s="2"/>
      <c r="F4111" s="1"/>
      <c r="G4111" s="2"/>
      <c r="H4111" s="2"/>
      <c r="J4111" s="3"/>
      <c r="K4111" s="3"/>
      <c r="L4111" s="3"/>
      <c r="N4111" s="3"/>
      <c r="O4111" s="3"/>
      <c r="P4111" s="3"/>
      <c r="R4111" s="3"/>
    </row>
    <row r="4112" spans="2:18" x14ac:dyDescent="0.2">
      <c r="B4112" s="1"/>
      <c r="C4112" s="2"/>
      <c r="D4112" s="2"/>
      <c r="F4112" s="1"/>
      <c r="G4112" s="2"/>
      <c r="H4112" s="2"/>
      <c r="J4112" s="3"/>
      <c r="K4112" s="3"/>
      <c r="L4112" s="3"/>
      <c r="N4112" s="3"/>
      <c r="O4112" s="3"/>
      <c r="P4112" s="3"/>
      <c r="R4112" s="3"/>
    </row>
    <row r="4113" spans="2:18" x14ac:dyDescent="0.2">
      <c r="B4113" s="1"/>
      <c r="C4113" s="2"/>
      <c r="D4113" s="2"/>
      <c r="F4113" s="1"/>
      <c r="G4113" s="2"/>
      <c r="H4113" s="2"/>
      <c r="J4113" s="3"/>
      <c r="K4113" s="3"/>
      <c r="L4113" s="3"/>
      <c r="N4113" s="3"/>
      <c r="O4113" s="3"/>
      <c r="P4113" s="3"/>
      <c r="R4113" s="3"/>
    </row>
    <row r="4114" spans="2:18" x14ac:dyDescent="0.2">
      <c r="B4114" s="1"/>
      <c r="C4114" s="2"/>
      <c r="D4114" s="2"/>
      <c r="F4114" s="1"/>
      <c r="G4114" s="2"/>
      <c r="H4114" s="2"/>
      <c r="J4114" s="3"/>
      <c r="K4114" s="3"/>
      <c r="L4114" s="3"/>
      <c r="N4114" s="3"/>
      <c r="O4114" s="3"/>
      <c r="P4114" s="3"/>
      <c r="R4114" s="3"/>
    </row>
    <row r="4115" spans="2:18" x14ac:dyDescent="0.2">
      <c r="B4115" s="1"/>
      <c r="C4115" s="2"/>
      <c r="D4115" s="2"/>
      <c r="F4115" s="1"/>
      <c r="G4115" s="2"/>
      <c r="H4115" s="2"/>
      <c r="J4115" s="3"/>
      <c r="K4115" s="3"/>
      <c r="L4115" s="3"/>
      <c r="N4115" s="3"/>
      <c r="O4115" s="3"/>
      <c r="P4115" s="3"/>
      <c r="R4115" s="3"/>
    </row>
    <row r="4116" spans="2:18" x14ac:dyDescent="0.2">
      <c r="B4116" s="1"/>
      <c r="C4116" s="2"/>
      <c r="D4116" s="2"/>
      <c r="F4116" s="1"/>
      <c r="G4116" s="2"/>
      <c r="H4116" s="2"/>
      <c r="J4116" s="3"/>
      <c r="K4116" s="3"/>
      <c r="L4116" s="3"/>
      <c r="N4116" s="3"/>
      <c r="O4116" s="3"/>
      <c r="P4116" s="3"/>
      <c r="R4116" s="3"/>
    </row>
    <row r="4117" spans="2:18" x14ac:dyDescent="0.2">
      <c r="B4117" s="1"/>
      <c r="C4117" s="2"/>
      <c r="D4117" s="2"/>
      <c r="F4117" s="1"/>
      <c r="G4117" s="2"/>
      <c r="H4117" s="2"/>
      <c r="J4117" s="3"/>
      <c r="K4117" s="3"/>
      <c r="L4117" s="3"/>
      <c r="N4117" s="3"/>
      <c r="O4117" s="3"/>
      <c r="P4117" s="3"/>
      <c r="R4117" s="3"/>
    </row>
    <row r="4118" spans="2:18" x14ac:dyDescent="0.2">
      <c r="B4118" s="1"/>
      <c r="C4118" s="2"/>
      <c r="D4118" s="2"/>
      <c r="F4118" s="1"/>
      <c r="G4118" s="2"/>
      <c r="H4118" s="2"/>
      <c r="J4118" s="3"/>
      <c r="K4118" s="3"/>
      <c r="L4118" s="3"/>
      <c r="N4118" s="3"/>
      <c r="O4118" s="3"/>
      <c r="P4118" s="3"/>
      <c r="R4118" s="3"/>
    </row>
    <row r="4119" spans="2:18" x14ac:dyDescent="0.2">
      <c r="B4119" s="1"/>
      <c r="C4119" s="2"/>
      <c r="D4119" s="2"/>
      <c r="F4119" s="1"/>
      <c r="G4119" s="2"/>
      <c r="H4119" s="2"/>
      <c r="J4119" s="3"/>
      <c r="K4119" s="3"/>
      <c r="L4119" s="3"/>
      <c r="N4119" s="3"/>
      <c r="O4119" s="3"/>
      <c r="P4119" s="3"/>
      <c r="R4119" s="3"/>
    </row>
    <row r="4120" spans="2:18" x14ac:dyDescent="0.2">
      <c r="B4120" s="1"/>
      <c r="C4120" s="2"/>
      <c r="D4120" s="2"/>
      <c r="F4120" s="1"/>
      <c r="G4120" s="2"/>
      <c r="H4120" s="2"/>
      <c r="J4120" s="3"/>
      <c r="K4120" s="3"/>
      <c r="L4120" s="3"/>
      <c r="N4120" s="3"/>
      <c r="O4120" s="3"/>
      <c r="P4120" s="3"/>
      <c r="R4120" s="3"/>
    </row>
    <row r="4121" spans="2:18" x14ac:dyDescent="0.2">
      <c r="B4121" s="1"/>
      <c r="C4121" s="2"/>
      <c r="D4121" s="2"/>
      <c r="F4121" s="1"/>
      <c r="G4121" s="2"/>
      <c r="H4121" s="2"/>
      <c r="J4121" s="3"/>
      <c r="K4121" s="3"/>
      <c r="L4121" s="3"/>
      <c r="N4121" s="3"/>
      <c r="O4121" s="3"/>
      <c r="P4121" s="3"/>
      <c r="R4121" s="3"/>
    </row>
    <row r="4122" spans="2:18" x14ac:dyDescent="0.2">
      <c r="B4122" s="1"/>
      <c r="C4122" s="2"/>
      <c r="D4122" s="2"/>
      <c r="F4122" s="1"/>
      <c r="G4122" s="2"/>
      <c r="H4122" s="2"/>
      <c r="J4122" s="3"/>
      <c r="K4122" s="3"/>
      <c r="L4122" s="3"/>
      <c r="N4122" s="3"/>
      <c r="O4122" s="3"/>
      <c r="P4122" s="3"/>
      <c r="R4122" s="3"/>
    </row>
    <row r="4123" spans="2:18" x14ac:dyDescent="0.2">
      <c r="B4123" s="1"/>
      <c r="C4123" s="2"/>
      <c r="D4123" s="2"/>
      <c r="F4123" s="1"/>
      <c r="G4123" s="2"/>
      <c r="H4123" s="2"/>
      <c r="J4123" s="3"/>
      <c r="K4123" s="3"/>
      <c r="L4123" s="3"/>
      <c r="N4123" s="3"/>
      <c r="O4123" s="3"/>
      <c r="P4123" s="3"/>
      <c r="R4123" s="3"/>
    </row>
    <row r="4124" spans="2:18" x14ac:dyDescent="0.2">
      <c r="B4124" s="1"/>
      <c r="C4124" s="2"/>
      <c r="D4124" s="2"/>
      <c r="F4124" s="1"/>
      <c r="G4124" s="2"/>
      <c r="H4124" s="2"/>
      <c r="J4124" s="3"/>
      <c r="K4124" s="3"/>
      <c r="L4124" s="3"/>
      <c r="N4124" s="3"/>
      <c r="O4124" s="3"/>
      <c r="P4124" s="3"/>
      <c r="R4124" s="3"/>
    </row>
    <row r="4125" spans="2:18" x14ac:dyDescent="0.2">
      <c r="B4125" s="1"/>
      <c r="C4125" s="2"/>
      <c r="D4125" s="2"/>
      <c r="F4125" s="1"/>
      <c r="G4125" s="2"/>
      <c r="H4125" s="2"/>
      <c r="J4125" s="3"/>
      <c r="K4125" s="3"/>
      <c r="L4125" s="3"/>
      <c r="N4125" s="3"/>
      <c r="O4125" s="3"/>
      <c r="P4125" s="3"/>
      <c r="R4125" s="3"/>
    </row>
    <row r="4126" spans="2:18" x14ac:dyDescent="0.2">
      <c r="B4126" s="1"/>
      <c r="C4126" s="2"/>
      <c r="D4126" s="2"/>
      <c r="F4126" s="1"/>
      <c r="G4126" s="2"/>
      <c r="H4126" s="2"/>
      <c r="J4126" s="3"/>
      <c r="K4126" s="3"/>
      <c r="L4126" s="3"/>
      <c r="N4126" s="3"/>
      <c r="O4126" s="3"/>
      <c r="P4126" s="3"/>
      <c r="R4126" s="3"/>
    </row>
    <row r="4127" spans="2:18" x14ac:dyDescent="0.2">
      <c r="B4127" s="1"/>
      <c r="C4127" s="2"/>
      <c r="D4127" s="2"/>
      <c r="F4127" s="1"/>
      <c r="G4127" s="2"/>
      <c r="H4127" s="2"/>
      <c r="J4127" s="3"/>
      <c r="K4127" s="3"/>
      <c r="L4127" s="3"/>
      <c r="N4127" s="3"/>
      <c r="O4127" s="3"/>
      <c r="P4127" s="3"/>
      <c r="R4127" s="3"/>
    </row>
    <row r="4128" spans="2:18" x14ac:dyDescent="0.2">
      <c r="B4128" s="1"/>
      <c r="C4128" s="2"/>
      <c r="D4128" s="2"/>
      <c r="F4128" s="1"/>
      <c r="G4128" s="2"/>
      <c r="H4128" s="2"/>
      <c r="J4128" s="3"/>
      <c r="K4128" s="3"/>
      <c r="L4128" s="3"/>
      <c r="N4128" s="3"/>
      <c r="O4128" s="3"/>
      <c r="P4128" s="3"/>
      <c r="R4128" s="3"/>
    </row>
    <row r="4129" spans="2:18" x14ac:dyDescent="0.2">
      <c r="B4129" s="1"/>
      <c r="C4129" s="2"/>
      <c r="D4129" s="2"/>
      <c r="F4129" s="1"/>
      <c r="G4129" s="2"/>
      <c r="H4129" s="2"/>
      <c r="J4129" s="3"/>
      <c r="K4129" s="3"/>
      <c r="L4129" s="3"/>
      <c r="N4129" s="3"/>
      <c r="O4129" s="3"/>
      <c r="P4129" s="3"/>
      <c r="R4129" s="3"/>
    </row>
    <row r="4130" spans="2:18" x14ac:dyDescent="0.2">
      <c r="B4130" s="1"/>
      <c r="C4130" s="2"/>
      <c r="D4130" s="2"/>
      <c r="F4130" s="1"/>
      <c r="G4130" s="2"/>
      <c r="H4130" s="2"/>
      <c r="J4130" s="3"/>
      <c r="K4130" s="3"/>
      <c r="L4130" s="3"/>
      <c r="N4130" s="3"/>
      <c r="O4130" s="3"/>
      <c r="P4130" s="3"/>
      <c r="R4130" s="3"/>
    </row>
    <row r="4131" spans="2:18" x14ac:dyDescent="0.2">
      <c r="B4131" s="1"/>
      <c r="C4131" s="2"/>
      <c r="D4131" s="2"/>
      <c r="F4131" s="1"/>
      <c r="G4131" s="2"/>
      <c r="H4131" s="2"/>
      <c r="J4131" s="3"/>
      <c r="K4131" s="3"/>
      <c r="L4131" s="3"/>
      <c r="N4131" s="3"/>
      <c r="O4131" s="3"/>
      <c r="P4131" s="3"/>
      <c r="R4131" s="3"/>
    </row>
    <row r="4132" spans="2:18" x14ac:dyDescent="0.2">
      <c r="B4132" s="1"/>
      <c r="C4132" s="2"/>
      <c r="D4132" s="2"/>
      <c r="F4132" s="1"/>
      <c r="G4132" s="2"/>
      <c r="H4132" s="2"/>
      <c r="J4132" s="3"/>
      <c r="K4132" s="3"/>
      <c r="L4132" s="3"/>
      <c r="N4132" s="3"/>
      <c r="O4132" s="3"/>
      <c r="P4132" s="3"/>
      <c r="R4132" s="3"/>
    </row>
    <row r="4133" spans="2:18" x14ac:dyDescent="0.2">
      <c r="B4133" s="1"/>
      <c r="C4133" s="2"/>
      <c r="D4133" s="2"/>
      <c r="F4133" s="1"/>
      <c r="G4133" s="2"/>
      <c r="H4133" s="2"/>
      <c r="J4133" s="3"/>
      <c r="K4133" s="3"/>
      <c r="L4133" s="3"/>
      <c r="N4133" s="3"/>
      <c r="O4133" s="3"/>
      <c r="P4133" s="3"/>
      <c r="R4133" s="3"/>
    </row>
    <row r="4134" spans="2:18" x14ac:dyDescent="0.2">
      <c r="B4134" s="1"/>
      <c r="C4134" s="2"/>
      <c r="D4134" s="2"/>
      <c r="F4134" s="1"/>
      <c r="G4134" s="2"/>
      <c r="H4134" s="2"/>
      <c r="J4134" s="3"/>
      <c r="K4134" s="3"/>
      <c r="L4134" s="3"/>
      <c r="N4134" s="3"/>
      <c r="O4134" s="3"/>
      <c r="P4134" s="3"/>
      <c r="R4134" s="3"/>
    </row>
    <row r="4135" spans="2:18" x14ac:dyDescent="0.2">
      <c r="B4135" s="1"/>
      <c r="C4135" s="2"/>
      <c r="D4135" s="2"/>
      <c r="F4135" s="1"/>
      <c r="G4135" s="2"/>
      <c r="H4135" s="2"/>
      <c r="J4135" s="3"/>
      <c r="K4135" s="3"/>
      <c r="L4135" s="3"/>
      <c r="N4135" s="3"/>
      <c r="O4135" s="3"/>
      <c r="P4135" s="3"/>
      <c r="R4135" s="3"/>
    </row>
    <row r="4136" spans="2:18" x14ac:dyDescent="0.2">
      <c r="B4136" s="1"/>
      <c r="C4136" s="2"/>
      <c r="D4136" s="2"/>
      <c r="F4136" s="1"/>
      <c r="G4136" s="2"/>
      <c r="H4136" s="2"/>
      <c r="J4136" s="3"/>
      <c r="K4136" s="3"/>
      <c r="L4136" s="3"/>
      <c r="N4136" s="3"/>
      <c r="O4136" s="3"/>
      <c r="P4136" s="3"/>
      <c r="R4136" s="3"/>
    </row>
    <row r="4137" spans="2:18" x14ac:dyDescent="0.2">
      <c r="B4137" s="1"/>
      <c r="C4137" s="2"/>
      <c r="D4137" s="2"/>
      <c r="F4137" s="1"/>
      <c r="G4137" s="2"/>
      <c r="H4137" s="2"/>
      <c r="J4137" s="3"/>
      <c r="K4137" s="3"/>
      <c r="L4137" s="3"/>
      <c r="N4137" s="3"/>
      <c r="O4137" s="3"/>
      <c r="P4137" s="3"/>
      <c r="R4137" s="3"/>
    </row>
    <row r="4138" spans="2:18" x14ac:dyDescent="0.2">
      <c r="B4138" s="1"/>
      <c r="C4138" s="2"/>
      <c r="D4138" s="2"/>
      <c r="F4138" s="1"/>
      <c r="G4138" s="2"/>
      <c r="H4138" s="2"/>
      <c r="J4138" s="3"/>
      <c r="K4138" s="3"/>
      <c r="L4138" s="3"/>
      <c r="N4138" s="3"/>
      <c r="O4138" s="3"/>
      <c r="P4138" s="3"/>
      <c r="R4138" s="3"/>
    </row>
    <row r="4139" spans="2:18" x14ac:dyDescent="0.2">
      <c r="B4139" s="1"/>
      <c r="C4139" s="2"/>
      <c r="D4139" s="2"/>
      <c r="F4139" s="1"/>
      <c r="G4139" s="2"/>
      <c r="H4139" s="2"/>
      <c r="J4139" s="3"/>
      <c r="K4139" s="3"/>
      <c r="L4139" s="3"/>
      <c r="N4139" s="3"/>
      <c r="O4139" s="3"/>
      <c r="P4139" s="3"/>
      <c r="R4139" s="3"/>
    </row>
    <row r="4140" spans="2:18" x14ac:dyDescent="0.2">
      <c r="B4140" s="1"/>
      <c r="C4140" s="2"/>
      <c r="D4140" s="2"/>
      <c r="F4140" s="1"/>
      <c r="G4140" s="2"/>
      <c r="H4140" s="2"/>
      <c r="J4140" s="3"/>
      <c r="K4140" s="3"/>
      <c r="L4140" s="3"/>
      <c r="N4140" s="3"/>
      <c r="O4140" s="3"/>
      <c r="P4140" s="3"/>
      <c r="R4140" s="3"/>
    </row>
    <row r="4141" spans="2:18" x14ac:dyDescent="0.2">
      <c r="B4141" s="1"/>
      <c r="C4141" s="2"/>
      <c r="D4141" s="2"/>
      <c r="F4141" s="1"/>
      <c r="G4141" s="2"/>
      <c r="H4141" s="2"/>
      <c r="J4141" s="3"/>
      <c r="K4141" s="3"/>
      <c r="L4141" s="3"/>
      <c r="N4141" s="3"/>
      <c r="O4141" s="3"/>
      <c r="P4141" s="3"/>
      <c r="R4141" s="3"/>
    </row>
    <row r="4142" spans="2:18" x14ac:dyDescent="0.2">
      <c r="B4142" s="1"/>
      <c r="C4142" s="2"/>
      <c r="D4142" s="2"/>
      <c r="F4142" s="1"/>
      <c r="G4142" s="2"/>
      <c r="H4142" s="2"/>
      <c r="J4142" s="3"/>
      <c r="K4142" s="3"/>
      <c r="L4142" s="3"/>
      <c r="N4142" s="3"/>
      <c r="O4142" s="3"/>
      <c r="P4142" s="3"/>
      <c r="R4142" s="3"/>
    </row>
    <row r="4143" spans="2:18" x14ac:dyDescent="0.2">
      <c r="B4143" s="1"/>
      <c r="C4143" s="2"/>
      <c r="D4143" s="2"/>
      <c r="F4143" s="1"/>
      <c r="G4143" s="2"/>
      <c r="H4143" s="2"/>
      <c r="J4143" s="3"/>
      <c r="K4143" s="3"/>
      <c r="L4143" s="3"/>
      <c r="N4143" s="3"/>
      <c r="O4143" s="3"/>
      <c r="P4143" s="3"/>
      <c r="R4143" s="3"/>
    </row>
    <row r="4144" spans="2:18" x14ac:dyDescent="0.2">
      <c r="B4144" s="1"/>
      <c r="C4144" s="2"/>
      <c r="D4144" s="2"/>
      <c r="F4144" s="1"/>
      <c r="G4144" s="2"/>
      <c r="H4144" s="2"/>
      <c r="J4144" s="3"/>
      <c r="K4144" s="3"/>
      <c r="L4144" s="3"/>
      <c r="N4144" s="3"/>
      <c r="O4144" s="3"/>
      <c r="P4144" s="3"/>
      <c r="R4144" s="3"/>
    </row>
    <row r="4145" spans="2:18" x14ac:dyDescent="0.2">
      <c r="B4145" s="1"/>
      <c r="C4145" s="2"/>
      <c r="D4145" s="2"/>
      <c r="F4145" s="1"/>
      <c r="G4145" s="2"/>
      <c r="H4145" s="2"/>
      <c r="J4145" s="3"/>
      <c r="K4145" s="3"/>
      <c r="L4145" s="3"/>
      <c r="N4145" s="3"/>
      <c r="O4145" s="3"/>
      <c r="P4145" s="3"/>
      <c r="R4145" s="3"/>
    </row>
    <row r="4146" spans="2:18" x14ac:dyDescent="0.2">
      <c r="B4146" s="1"/>
      <c r="C4146" s="2"/>
      <c r="D4146" s="2"/>
      <c r="F4146" s="1"/>
      <c r="G4146" s="2"/>
      <c r="H4146" s="2"/>
      <c r="J4146" s="3"/>
      <c r="K4146" s="3"/>
      <c r="L4146" s="3"/>
      <c r="N4146" s="3"/>
      <c r="O4146" s="3"/>
      <c r="P4146" s="3"/>
      <c r="R4146" s="3"/>
    </row>
    <row r="4147" spans="2:18" x14ac:dyDescent="0.2">
      <c r="B4147" s="1"/>
      <c r="C4147" s="2"/>
      <c r="D4147" s="2"/>
      <c r="F4147" s="1"/>
      <c r="G4147" s="2"/>
      <c r="H4147" s="2"/>
      <c r="J4147" s="3"/>
      <c r="K4147" s="3"/>
      <c r="L4147" s="3"/>
      <c r="N4147" s="3"/>
      <c r="O4147" s="3"/>
      <c r="P4147" s="3"/>
      <c r="R4147" s="3"/>
    </row>
    <row r="4148" spans="2:18" x14ac:dyDescent="0.2">
      <c r="B4148" s="1"/>
      <c r="C4148" s="2"/>
      <c r="D4148" s="2"/>
      <c r="F4148" s="1"/>
      <c r="G4148" s="2"/>
      <c r="H4148" s="2"/>
      <c r="J4148" s="3"/>
      <c r="K4148" s="3"/>
      <c r="L4148" s="3"/>
      <c r="N4148" s="3"/>
      <c r="O4148" s="3"/>
      <c r="P4148" s="3"/>
      <c r="R4148" s="3"/>
    </row>
    <row r="4149" spans="2:18" x14ac:dyDescent="0.2">
      <c r="B4149" s="1"/>
      <c r="C4149" s="2"/>
      <c r="D4149" s="2"/>
      <c r="F4149" s="1"/>
      <c r="G4149" s="2"/>
      <c r="H4149" s="2"/>
      <c r="J4149" s="3"/>
      <c r="K4149" s="3"/>
      <c r="L4149" s="3"/>
      <c r="N4149" s="3"/>
      <c r="O4149" s="3"/>
      <c r="P4149" s="3"/>
      <c r="R4149" s="3"/>
    </row>
    <row r="4150" spans="2:18" x14ac:dyDescent="0.2">
      <c r="B4150" s="1"/>
      <c r="C4150" s="2"/>
      <c r="D4150" s="2"/>
      <c r="F4150" s="1"/>
      <c r="G4150" s="2"/>
      <c r="H4150" s="2"/>
      <c r="J4150" s="3"/>
      <c r="K4150" s="3"/>
      <c r="L4150" s="3"/>
      <c r="N4150" s="3"/>
      <c r="O4150" s="3"/>
      <c r="P4150" s="3"/>
      <c r="R4150" s="3"/>
    </row>
    <row r="4151" spans="2:18" x14ac:dyDescent="0.2">
      <c r="B4151" s="1"/>
      <c r="C4151" s="2"/>
      <c r="D4151" s="2"/>
      <c r="F4151" s="1"/>
      <c r="G4151" s="2"/>
      <c r="H4151" s="2"/>
      <c r="J4151" s="3"/>
      <c r="K4151" s="3"/>
      <c r="L4151" s="3"/>
      <c r="N4151" s="3"/>
      <c r="O4151" s="3"/>
      <c r="P4151" s="3"/>
      <c r="R4151" s="3"/>
    </row>
    <row r="4152" spans="2:18" x14ac:dyDescent="0.2">
      <c r="B4152" s="1"/>
      <c r="C4152" s="2"/>
      <c r="D4152" s="2"/>
      <c r="F4152" s="1"/>
      <c r="G4152" s="2"/>
      <c r="H4152" s="2"/>
      <c r="J4152" s="3"/>
      <c r="K4152" s="3"/>
      <c r="L4152" s="3"/>
      <c r="N4152" s="3"/>
      <c r="O4152" s="3"/>
      <c r="P4152" s="3"/>
      <c r="R4152" s="3"/>
    </row>
    <row r="4153" spans="2:18" x14ac:dyDescent="0.2">
      <c r="B4153" s="1"/>
      <c r="C4153" s="2"/>
      <c r="D4153" s="2"/>
      <c r="F4153" s="1"/>
      <c r="G4153" s="2"/>
      <c r="H4153" s="2"/>
      <c r="J4153" s="3"/>
      <c r="K4153" s="3"/>
      <c r="L4153" s="3"/>
      <c r="N4153" s="3"/>
      <c r="O4153" s="3"/>
      <c r="P4153" s="3"/>
      <c r="R4153" s="3"/>
    </row>
    <row r="4154" spans="2:18" x14ac:dyDescent="0.2">
      <c r="B4154" s="1"/>
      <c r="C4154" s="2"/>
      <c r="D4154" s="2"/>
      <c r="F4154" s="1"/>
      <c r="G4154" s="2"/>
      <c r="H4154" s="2"/>
      <c r="J4154" s="3"/>
      <c r="K4154" s="3"/>
      <c r="L4154" s="3"/>
      <c r="N4154" s="3"/>
      <c r="O4154" s="3"/>
      <c r="P4154" s="3"/>
      <c r="R4154" s="3"/>
    </row>
    <row r="4155" spans="2:18" x14ac:dyDescent="0.2">
      <c r="B4155" s="1"/>
      <c r="C4155" s="2"/>
      <c r="D4155" s="2"/>
      <c r="F4155" s="1"/>
      <c r="G4155" s="2"/>
      <c r="H4155" s="2"/>
      <c r="J4155" s="3"/>
      <c r="K4155" s="3"/>
      <c r="L4155" s="3"/>
      <c r="N4155" s="3"/>
      <c r="O4155" s="3"/>
      <c r="P4155" s="3"/>
      <c r="R4155" s="3"/>
    </row>
    <row r="4156" spans="2:18" x14ac:dyDescent="0.2">
      <c r="B4156" s="1"/>
      <c r="C4156" s="2"/>
      <c r="D4156" s="2"/>
      <c r="F4156" s="1"/>
      <c r="G4156" s="2"/>
      <c r="H4156" s="2"/>
      <c r="J4156" s="3"/>
      <c r="K4156" s="3"/>
      <c r="L4156" s="3"/>
      <c r="N4156" s="3"/>
      <c r="O4156" s="3"/>
      <c r="P4156" s="3"/>
      <c r="R4156" s="3"/>
    </row>
    <row r="4157" spans="2:18" x14ac:dyDescent="0.2">
      <c r="B4157" s="1"/>
      <c r="C4157" s="2"/>
      <c r="D4157" s="2"/>
      <c r="F4157" s="1"/>
      <c r="G4157" s="2"/>
      <c r="H4157" s="2"/>
      <c r="J4157" s="3"/>
      <c r="K4157" s="3"/>
      <c r="L4157" s="3"/>
      <c r="N4157" s="3"/>
      <c r="O4157" s="3"/>
      <c r="P4157" s="3"/>
      <c r="R4157" s="3"/>
    </row>
    <row r="4158" spans="2:18" x14ac:dyDescent="0.2">
      <c r="B4158" s="1"/>
      <c r="C4158" s="2"/>
      <c r="D4158" s="2"/>
      <c r="F4158" s="1"/>
      <c r="G4158" s="2"/>
      <c r="H4158" s="2"/>
      <c r="J4158" s="3"/>
      <c r="K4158" s="3"/>
      <c r="L4158" s="3"/>
      <c r="N4158" s="3"/>
      <c r="O4158" s="3"/>
      <c r="P4158" s="3"/>
      <c r="R4158" s="3"/>
    </row>
    <row r="4159" spans="2:18" x14ac:dyDescent="0.2">
      <c r="B4159" s="1"/>
      <c r="C4159" s="2"/>
      <c r="D4159" s="2"/>
      <c r="F4159" s="1"/>
      <c r="G4159" s="2"/>
      <c r="H4159" s="2"/>
      <c r="J4159" s="3"/>
      <c r="K4159" s="3"/>
      <c r="L4159" s="3"/>
      <c r="N4159" s="3"/>
      <c r="O4159" s="3"/>
      <c r="P4159" s="3"/>
      <c r="R4159" s="3"/>
    </row>
    <row r="4160" spans="2:18" x14ac:dyDescent="0.2">
      <c r="B4160" s="1"/>
      <c r="C4160" s="2"/>
      <c r="D4160" s="2"/>
      <c r="F4160" s="1"/>
      <c r="G4160" s="2"/>
      <c r="H4160" s="2"/>
      <c r="J4160" s="3"/>
      <c r="K4160" s="3"/>
      <c r="L4160" s="3"/>
      <c r="N4160" s="3"/>
      <c r="O4160" s="3"/>
      <c r="P4160" s="3"/>
      <c r="R4160" s="3"/>
    </row>
    <row r="4161" spans="2:18" x14ac:dyDescent="0.2">
      <c r="B4161" s="1"/>
      <c r="C4161" s="2"/>
      <c r="D4161" s="2"/>
      <c r="F4161" s="1"/>
      <c r="G4161" s="2"/>
      <c r="H4161" s="2"/>
      <c r="J4161" s="3"/>
      <c r="K4161" s="3"/>
      <c r="L4161" s="3"/>
      <c r="N4161" s="3"/>
      <c r="O4161" s="3"/>
      <c r="P4161" s="3"/>
      <c r="R4161" s="3"/>
    </row>
    <row r="4162" spans="2:18" x14ac:dyDescent="0.2">
      <c r="B4162" s="1"/>
      <c r="C4162" s="2"/>
      <c r="D4162" s="2"/>
      <c r="F4162" s="1"/>
      <c r="G4162" s="2"/>
      <c r="H4162" s="2"/>
      <c r="J4162" s="3"/>
      <c r="K4162" s="3"/>
      <c r="L4162" s="3"/>
      <c r="N4162" s="3"/>
      <c r="O4162" s="3"/>
      <c r="P4162" s="3"/>
      <c r="R4162" s="3"/>
    </row>
    <row r="4163" spans="2:18" x14ac:dyDescent="0.2">
      <c r="B4163" s="1"/>
      <c r="C4163" s="2"/>
      <c r="D4163" s="2"/>
      <c r="F4163" s="1"/>
      <c r="G4163" s="2"/>
      <c r="H4163" s="2"/>
      <c r="J4163" s="3"/>
      <c r="K4163" s="3"/>
      <c r="L4163" s="3"/>
      <c r="N4163" s="3"/>
      <c r="O4163" s="3"/>
      <c r="P4163" s="3"/>
      <c r="R4163" s="3"/>
    </row>
    <row r="4164" spans="2:18" x14ac:dyDescent="0.2">
      <c r="B4164" s="1"/>
      <c r="C4164" s="2"/>
      <c r="D4164" s="2"/>
      <c r="F4164" s="1"/>
      <c r="G4164" s="2"/>
      <c r="H4164" s="2"/>
      <c r="J4164" s="3"/>
      <c r="K4164" s="3"/>
      <c r="L4164" s="3"/>
      <c r="N4164" s="3"/>
      <c r="O4164" s="3"/>
      <c r="P4164" s="3"/>
      <c r="R4164" s="3"/>
    </row>
    <row r="4165" spans="2:18" x14ac:dyDescent="0.2">
      <c r="B4165" s="1"/>
      <c r="C4165" s="2"/>
      <c r="D4165" s="2"/>
      <c r="F4165" s="1"/>
      <c r="G4165" s="2"/>
      <c r="H4165" s="2"/>
      <c r="J4165" s="3"/>
      <c r="K4165" s="3"/>
      <c r="L4165" s="3"/>
      <c r="N4165" s="3"/>
      <c r="O4165" s="3"/>
      <c r="P4165" s="3"/>
      <c r="R4165" s="3"/>
    </row>
    <row r="4166" spans="2:18" x14ac:dyDescent="0.2">
      <c r="B4166" s="1"/>
      <c r="C4166" s="2"/>
      <c r="D4166" s="2"/>
      <c r="F4166" s="1"/>
      <c r="G4166" s="2"/>
      <c r="H4166" s="2"/>
      <c r="J4166" s="3"/>
      <c r="K4166" s="3"/>
      <c r="L4166" s="3"/>
      <c r="N4166" s="3"/>
      <c r="O4166" s="3"/>
      <c r="P4166" s="3"/>
      <c r="R4166" s="3"/>
    </row>
    <row r="4167" spans="2:18" x14ac:dyDescent="0.2">
      <c r="B4167" s="1"/>
      <c r="C4167" s="2"/>
      <c r="D4167" s="2"/>
      <c r="F4167" s="1"/>
      <c r="G4167" s="2"/>
      <c r="H4167" s="2"/>
      <c r="J4167" s="3"/>
      <c r="K4167" s="3"/>
      <c r="L4167" s="3"/>
      <c r="N4167" s="3"/>
      <c r="O4167" s="3"/>
      <c r="P4167" s="3"/>
      <c r="R4167" s="3"/>
    </row>
    <row r="4168" spans="2:18" x14ac:dyDescent="0.2">
      <c r="B4168" s="1"/>
      <c r="C4168" s="2"/>
      <c r="D4168" s="2"/>
      <c r="F4168" s="1"/>
      <c r="G4168" s="2"/>
      <c r="H4168" s="2"/>
      <c r="J4168" s="3"/>
      <c r="K4168" s="3"/>
      <c r="L4168" s="3"/>
      <c r="N4168" s="3"/>
      <c r="O4168" s="3"/>
      <c r="P4168" s="3"/>
      <c r="R4168" s="3"/>
    </row>
    <row r="4169" spans="2:18" x14ac:dyDescent="0.2">
      <c r="B4169" s="1"/>
      <c r="C4169" s="2"/>
      <c r="D4169" s="2"/>
      <c r="F4169" s="1"/>
      <c r="G4169" s="2"/>
      <c r="H4169" s="2"/>
      <c r="J4169" s="3"/>
      <c r="K4169" s="3"/>
      <c r="L4169" s="3"/>
      <c r="N4169" s="3"/>
      <c r="O4169" s="3"/>
      <c r="P4169" s="3"/>
      <c r="R4169" s="3"/>
    </row>
    <row r="4170" spans="2:18" x14ac:dyDescent="0.2">
      <c r="B4170" s="1"/>
      <c r="C4170" s="2"/>
      <c r="D4170" s="2"/>
      <c r="F4170" s="1"/>
      <c r="G4170" s="2"/>
      <c r="H4170" s="2"/>
      <c r="J4170" s="3"/>
      <c r="K4170" s="3"/>
      <c r="L4170" s="3"/>
      <c r="N4170" s="3"/>
      <c r="O4170" s="3"/>
      <c r="P4170" s="3"/>
      <c r="R4170" s="3"/>
    </row>
    <row r="4171" spans="2:18" x14ac:dyDescent="0.2">
      <c r="B4171" s="1"/>
      <c r="C4171" s="2"/>
      <c r="D4171" s="2"/>
      <c r="F4171" s="1"/>
      <c r="G4171" s="2"/>
      <c r="H4171" s="2"/>
      <c r="J4171" s="3"/>
      <c r="K4171" s="3"/>
      <c r="L4171" s="3"/>
      <c r="N4171" s="3"/>
      <c r="O4171" s="3"/>
      <c r="P4171" s="3"/>
      <c r="R4171" s="3"/>
    </row>
    <row r="4172" spans="2:18" x14ac:dyDescent="0.2">
      <c r="B4172" s="1"/>
      <c r="C4172" s="2"/>
      <c r="D4172" s="2"/>
      <c r="F4172" s="1"/>
      <c r="G4172" s="2"/>
      <c r="H4172" s="2"/>
      <c r="J4172" s="3"/>
      <c r="K4172" s="3"/>
      <c r="L4172" s="3"/>
      <c r="N4172" s="3"/>
      <c r="O4172" s="3"/>
      <c r="P4172" s="3"/>
      <c r="R4172" s="3"/>
    </row>
    <row r="4173" spans="2:18" x14ac:dyDescent="0.2">
      <c r="B4173" s="1"/>
      <c r="C4173" s="2"/>
      <c r="D4173" s="2"/>
      <c r="F4173" s="1"/>
      <c r="G4173" s="2"/>
      <c r="H4173" s="2"/>
      <c r="J4173" s="3"/>
      <c r="K4173" s="3"/>
      <c r="L4173" s="3"/>
      <c r="N4173" s="3"/>
      <c r="O4173" s="3"/>
      <c r="P4173" s="3"/>
      <c r="R4173" s="3"/>
    </row>
    <row r="4174" spans="2:18" x14ac:dyDescent="0.2">
      <c r="B4174" s="1"/>
      <c r="C4174" s="2"/>
      <c r="D4174" s="2"/>
      <c r="F4174" s="1"/>
      <c r="G4174" s="2"/>
      <c r="H4174" s="2"/>
      <c r="J4174" s="3"/>
      <c r="K4174" s="3"/>
      <c r="L4174" s="3"/>
      <c r="N4174" s="3"/>
      <c r="O4174" s="3"/>
      <c r="P4174" s="3"/>
      <c r="R4174" s="3"/>
    </row>
    <row r="4175" spans="2:18" x14ac:dyDescent="0.2">
      <c r="B4175" s="1"/>
      <c r="C4175" s="2"/>
      <c r="D4175" s="2"/>
      <c r="F4175" s="1"/>
      <c r="G4175" s="2"/>
      <c r="H4175" s="2"/>
      <c r="J4175" s="3"/>
      <c r="K4175" s="3"/>
      <c r="L4175" s="3"/>
      <c r="N4175" s="3"/>
      <c r="O4175" s="3"/>
      <c r="P4175" s="3"/>
      <c r="R4175" s="3"/>
    </row>
    <row r="4176" spans="2:18" x14ac:dyDescent="0.2">
      <c r="B4176" s="1"/>
      <c r="C4176" s="2"/>
      <c r="D4176" s="2"/>
      <c r="F4176" s="1"/>
      <c r="G4176" s="2"/>
      <c r="H4176" s="2"/>
      <c r="J4176" s="3"/>
      <c r="K4176" s="3"/>
      <c r="L4176" s="3"/>
      <c r="N4176" s="3"/>
      <c r="O4176" s="3"/>
      <c r="P4176" s="3"/>
      <c r="R4176" s="3"/>
    </row>
    <row r="4177" spans="2:18" x14ac:dyDescent="0.2">
      <c r="B4177" s="1"/>
      <c r="C4177" s="2"/>
      <c r="D4177" s="2"/>
      <c r="F4177" s="1"/>
      <c r="G4177" s="2"/>
      <c r="H4177" s="2"/>
      <c r="J4177" s="3"/>
      <c r="K4177" s="3"/>
      <c r="L4177" s="3"/>
      <c r="N4177" s="3"/>
      <c r="O4177" s="3"/>
      <c r="P4177" s="3"/>
      <c r="R4177" s="3"/>
    </row>
    <row r="4178" spans="2:18" x14ac:dyDescent="0.2">
      <c r="B4178" s="1"/>
      <c r="C4178" s="2"/>
      <c r="D4178" s="2"/>
      <c r="F4178" s="1"/>
      <c r="G4178" s="2"/>
      <c r="H4178" s="2"/>
      <c r="J4178" s="3"/>
      <c r="K4178" s="3"/>
      <c r="L4178" s="3"/>
      <c r="N4178" s="3"/>
      <c r="O4178" s="3"/>
      <c r="P4178" s="3"/>
      <c r="R4178" s="3"/>
    </row>
    <row r="4179" spans="2:18" x14ac:dyDescent="0.2">
      <c r="B4179" s="1"/>
      <c r="C4179" s="2"/>
      <c r="D4179" s="2"/>
      <c r="F4179" s="1"/>
      <c r="G4179" s="2"/>
      <c r="H4179" s="2"/>
      <c r="J4179" s="3"/>
      <c r="K4179" s="3"/>
      <c r="L4179" s="3"/>
      <c r="N4179" s="3"/>
      <c r="O4179" s="3"/>
      <c r="P4179" s="3"/>
      <c r="R4179" s="3"/>
    </row>
    <row r="4180" spans="2:18" x14ac:dyDescent="0.2">
      <c r="B4180" s="1"/>
      <c r="C4180" s="2"/>
      <c r="D4180" s="2"/>
      <c r="F4180" s="1"/>
      <c r="G4180" s="2"/>
      <c r="H4180" s="2"/>
      <c r="J4180" s="3"/>
      <c r="K4180" s="3"/>
      <c r="L4180" s="3"/>
      <c r="N4180" s="3"/>
      <c r="O4180" s="3"/>
      <c r="P4180" s="3"/>
      <c r="R4180" s="3"/>
    </row>
    <row r="4181" spans="2:18" x14ac:dyDescent="0.2">
      <c r="B4181" s="1"/>
      <c r="C4181" s="2"/>
      <c r="D4181" s="2"/>
      <c r="F4181" s="1"/>
      <c r="G4181" s="2"/>
      <c r="H4181" s="2"/>
      <c r="J4181" s="59"/>
      <c r="K4181" s="3"/>
      <c r="L4181" s="3"/>
      <c r="N4181" s="3"/>
      <c r="O4181" s="3"/>
      <c r="P4181" s="3"/>
      <c r="R4181" s="3"/>
    </row>
    <row r="4182" spans="2:18" x14ac:dyDescent="0.2">
      <c r="B4182" s="1"/>
      <c r="C4182" s="2"/>
      <c r="D4182" s="2"/>
      <c r="F4182" s="1"/>
      <c r="G4182" s="2"/>
      <c r="H4182" s="2"/>
      <c r="J4182" s="3"/>
      <c r="K4182" s="3"/>
      <c r="L4182" s="3"/>
      <c r="N4182" s="3"/>
      <c r="O4182" s="3"/>
      <c r="P4182" s="3"/>
      <c r="R4182" s="3"/>
    </row>
    <row r="4183" spans="2:18" x14ac:dyDescent="0.2">
      <c r="B4183" s="1"/>
      <c r="C4183" s="2"/>
      <c r="D4183" s="2"/>
      <c r="F4183" s="1"/>
      <c r="G4183" s="2"/>
      <c r="H4183" s="2"/>
      <c r="J4183" s="3"/>
      <c r="K4183" s="3"/>
      <c r="L4183" s="3"/>
      <c r="N4183" s="3"/>
      <c r="O4183" s="3"/>
      <c r="P4183" s="3"/>
      <c r="R4183" s="3"/>
    </row>
    <row r="4184" spans="2:18" x14ac:dyDescent="0.2">
      <c r="B4184" s="1"/>
      <c r="C4184" s="2"/>
      <c r="D4184" s="2"/>
      <c r="F4184" s="1"/>
      <c r="G4184" s="2"/>
      <c r="H4184" s="2"/>
      <c r="J4184" s="3"/>
      <c r="K4184" s="3"/>
      <c r="L4184" s="3"/>
      <c r="N4184" s="3"/>
      <c r="O4184" s="3"/>
      <c r="P4184" s="3"/>
      <c r="R4184" s="3"/>
    </row>
    <row r="4185" spans="2:18" x14ac:dyDescent="0.2">
      <c r="B4185" s="1"/>
      <c r="C4185" s="2"/>
      <c r="D4185" s="2"/>
      <c r="F4185" s="1"/>
      <c r="G4185" s="2"/>
      <c r="H4185" s="2"/>
      <c r="J4185" s="3"/>
      <c r="K4185" s="3"/>
      <c r="L4185" s="3"/>
      <c r="N4185" s="3"/>
      <c r="O4185" s="3"/>
      <c r="P4185" s="3"/>
      <c r="R4185" s="3"/>
    </row>
    <row r="4186" spans="2:18" x14ac:dyDescent="0.2">
      <c r="B4186" s="1"/>
      <c r="C4186" s="2"/>
      <c r="D4186" s="2"/>
      <c r="F4186" s="1"/>
      <c r="G4186" s="2"/>
      <c r="H4186" s="2"/>
      <c r="J4186" s="3"/>
      <c r="K4186" s="3"/>
      <c r="L4186" s="3"/>
      <c r="N4186" s="3"/>
      <c r="O4186" s="3"/>
      <c r="P4186" s="3"/>
      <c r="R4186" s="3"/>
    </row>
    <row r="4187" spans="2:18" x14ac:dyDescent="0.2">
      <c r="B4187" s="1"/>
      <c r="C4187" s="2"/>
      <c r="D4187" s="2"/>
      <c r="F4187" s="1"/>
      <c r="G4187" s="2"/>
      <c r="H4187" s="2"/>
      <c r="J4187" s="3"/>
      <c r="K4187" s="3"/>
      <c r="L4187" s="3"/>
      <c r="N4187" s="3"/>
      <c r="O4187" s="3"/>
      <c r="P4187" s="3"/>
      <c r="R4187" s="3"/>
    </row>
    <row r="4188" spans="2:18" x14ac:dyDescent="0.2">
      <c r="B4188" s="1"/>
      <c r="C4188" s="2"/>
      <c r="D4188" s="2"/>
      <c r="F4188" s="1"/>
      <c r="G4188" s="2"/>
      <c r="H4188" s="2"/>
      <c r="J4188" s="3"/>
      <c r="K4188" s="3"/>
      <c r="L4188" s="3"/>
      <c r="N4188" s="3"/>
      <c r="O4188" s="3"/>
      <c r="P4188" s="3"/>
      <c r="R4188" s="3"/>
    </row>
    <row r="4189" spans="2:18" x14ac:dyDescent="0.2">
      <c r="B4189" s="1"/>
      <c r="C4189" s="2"/>
      <c r="D4189" s="2"/>
      <c r="F4189" s="1"/>
      <c r="G4189" s="2"/>
      <c r="H4189" s="2"/>
      <c r="J4189" s="3"/>
      <c r="K4189" s="3"/>
      <c r="L4189" s="3"/>
      <c r="N4189" s="3"/>
      <c r="O4189" s="3"/>
      <c r="P4189" s="3"/>
      <c r="R4189" s="3"/>
    </row>
    <row r="4190" spans="2:18" x14ac:dyDescent="0.2">
      <c r="B4190" s="1"/>
      <c r="C4190" s="2"/>
      <c r="D4190" s="2"/>
      <c r="F4190" s="1"/>
      <c r="G4190" s="2"/>
      <c r="H4190" s="2"/>
      <c r="J4190" s="3"/>
      <c r="K4190" s="3"/>
      <c r="L4190" s="3"/>
      <c r="N4190" s="59"/>
      <c r="O4190" s="3"/>
      <c r="P4190" s="3"/>
      <c r="R4190" s="3"/>
    </row>
    <row r="4191" spans="2:18" x14ac:dyDescent="0.2">
      <c r="B4191" s="1"/>
      <c r="C4191" s="2"/>
      <c r="D4191" s="2"/>
      <c r="F4191" s="1"/>
      <c r="G4191" s="2"/>
      <c r="H4191" s="2"/>
      <c r="J4191" s="3"/>
      <c r="K4191" s="3"/>
      <c r="L4191" s="3"/>
      <c r="N4191" s="3"/>
      <c r="O4191" s="3"/>
      <c r="P4191" s="3"/>
      <c r="R4191" s="3"/>
    </row>
    <row r="4192" spans="2:18" x14ac:dyDescent="0.2">
      <c r="B4192" s="1"/>
      <c r="C4192" s="2"/>
      <c r="D4192" s="2"/>
      <c r="F4192" s="1"/>
      <c r="G4192" s="2"/>
      <c r="H4192" s="2"/>
      <c r="J4192" s="3"/>
      <c r="K4192" s="3"/>
      <c r="L4192" s="3"/>
      <c r="N4192" s="3"/>
      <c r="O4192" s="3"/>
      <c r="P4192" s="3"/>
      <c r="R4192" s="3"/>
    </row>
    <row r="4193" spans="2:18" x14ac:dyDescent="0.2">
      <c r="B4193" s="1"/>
      <c r="C4193" s="2"/>
      <c r="D4193" s="2"/>
      <c r="F4193" s="1"/>
      <c r="G4193" s="2"/>
      <c r="H4193" s="2"/>
      <c r="J4193" s="3"/>
      <c r="K4193" s="3"/>
      <c r="L4193" s="3"/>
      <c r="N4193" s="3"/>
      <c r="O4193" s="3"/>
      <c r="P4193" s="3"/>
      <c r="R4193" s="3"/>
    </row>
    <row r="4194" spans="2:18" x14ac:dyDescent="0.2">
      <c r="B4194" s="1"/>
      <c r="C4194" s="2"/>
      <c r="D4194" s="2"/>
      <c r="F4194" s="1"/>
      <c r="G4194" s="2"/>
      <c r="H4194" s="2"/>
      <c r="J4194" s="3"/>
      <c r="K4194" s="3"/>
      <c r="L4194" s="3"/>
      <c r="N4194" s="3"/>
      <c r="O4194" s="3"/>
      <c r="P4194" s="3"/>
      <c r="R4194" s="3"/>
    </row>
    <row r="4195" spans="2:18" x14ac:dyDescent="0.2">
      <c r="B4195" s="1"/>
      <c r="C4195" s="2"/>
      <c r="D4195" s="2"/>
      <c r="F4195" s="1"/>
      <c r="G4195" s="2"/>
      <c r="H4195" s="2"/>
      <c r="J4195" s="3"/>
      <c r="K4195" s="3"/>
      <c r="L4195" s="3"/>
      <c r="N4195" s="3"/>
      <c r="O4195" s="3"/>
      <c r="P4195" s="3"/>
      <c r="R4195" s="3"/>
    </row>
    <row r="4196" spans="2:18" x14ac:dyDescent="0.2">
      <c r="B4196" s="1"/>
      <c r="C4196" s="2"/>
      <c r="D4196" s="2"/>
      <c r="F4196" s="1"/>
      <c r="G4196" s="2"/>
      <c r="H4196" s="2"/>
      <c r="J4196" s="3"/>
      <c r="K4196" s="3"/>
      <c r="L4196" s="3"/>
      <c r="N4196" s="3"/>
      <c r="O4196" s="3"/>
      <c r="P4196" s="3"/>
      <c r="R4196" s="3"/>
    </row>
    <row r="4197" spans="2:18" x14ac:dyDescent="0.2">
      <c r="B4197" s="1"/>
      <c r="C4197" s="2"/>
      <c r="D4197" s="2"/>
      <c r="F4197" s="1"/>
      <c r="G4197" s="2"/>
      <c r="H4197" s="2"/>
      <c r="J4197" s="3"/>
      <c r="K4197" s="3"/>
      <c r="L4197" s="3"/>
      <c r="N4197" s="3"/>
      <c r="O4197" s="3"/>
      <c r="P4197" s="3"/>
      <c r="R4197" s="3"/>
    </row>
    <row r="4198" spans="2:18" x14ac:dyDescent="0.2">
      <c r="B4198" s="1"/>
      <c r="C4198" s="2"/>
      <c r="D4198" s="2"/>
      <c r="F4198" s="1"/>
      <c r="G4198" s="2"/>
      <c r="H4198" s="2"/>
      <c r="J4198" s="3"/>
      <c r="K4198" s="3"/>
      <c r="L4198" s="3"/>
      <c r="N4198" s="3"/>
      <c r="O4198" s="3"/>
      <c r="P4198" s="3"/>
      <c r="R4198" s="3"/>
    </row>
    <row r="4199" spans="2:18" x14ac:dyDescent="0.2">
      <c r="B4199" s="1"/>
      <c r="C4199" s="2"/>
      <c r="D4199" s="2"/>
      <c r="F4199" s="1"/>
      <c r="G4199" s="2"/>
      <c r="H4199" s="2"/>
      <c r="J4199" s="3"/>
      <c r="K4199" s="3"/>
      <c r="L4199" s="3"/>
      <c r="N4199" s="3"/>
      <c r="O4199" s="3"/>
      <c r="P4199" s="3"/>
      <c r="R4199" s="3"/>
    </row>
    <row r="4200" spans="2:18" x14ac:dyDescent="0.2">
      <c r="B4200" s="1"/>
      <c r="C4200" s="2"/>
      <c r="D4200" s="2"/>
      <c r="F4200" s="1"/>
      <c r="G4200" s="2"/>
      <c r="H4200" s="2"/>
      <c r="J4200" s="3"/>
      <c r="K4200" s="3"/>
      <c r="L4200" s="3"/>
      <c r="N4200" s="3"/>
      <c r="O4200" s="3"/>
      <c r="P4200" s="3"/>
      <c r="R4200" s="3"/>
    </row>
    <row r="4201" spans="2:18" x14ac:dyDescent="0.2">
      <c r="B4201" s="1"/>
      <c r="C4201" s="2"/>
      <c r="D4201" s="2"/>
      <c r="F4201" s="1"/>
      <c r="G4201" s="2"/>
      <c r="H4201" s="2"/>
      <c r="J4201" s="3"/>
      <c r="K4201" s="3"/>
      <c r="L4201" s="3"/>
      <c r="N4201" s="3"/>
      <c r="O4201" s="3"/>
      <c r="P4201" s="3"/>
      <c r="R4201" s="3"/>
    </row>
    <row r="4202" spans="2:18" x14ac:dyDescent="0.2">
      <c r="B4202" s="1"/>
      <c r="C4202" s="2"/>
      <c r="D4202" s="2"/>
      <c r="F4202" s="1"/>
      <c r="G4202" s="2"/>
      <c r="H4202" s="2"/>
      <c r="J4202" s="3"/>
      <c r="K4202" s="3"/>
      <c r="L4202" s="3"/>
      <c r="N4202" s="3"/>
      <c r="O4202" s="3"/>
      <c r="P4202" s="3"/>
      <c r="R4202" s="3"/>
    </row>
    <row r="4203" spans="2:18" x14ac:dyDescent="0.2">
      <c r="B4203" s="1"/>
      <c r="C4203" s="2"/>
      <c r="D4203" s="2"/>
      <c r="F4203" s="1"/>
      <c r="G4203" s="2"/>
      <c r="H4203" s="2"/>
      <c r="J4203" s="3"/>
      <c r="K4203" s="3"/>
      <c r="L4203" s="3"/>
      <c r="N4203" s="3"/>
      <c r="O4203" s="3"/>
      <c r="P4203" s="3"/>
      <c r="R4203" s="3"/>
    </row>
    <row r="4204" spans="2:18" x14ac:dyDescent="0.2">
      <c r="B4204" s="1"/>
      <c r="C4204" s="2"/>
      <c r="D4204" s="2"/>
      <c r="F4204" s="1"/>
      <c r="G4204" s="2"/>
      <c r="H4204" s="2"/>
      <c r="J4204" s="3"/>
      <c r="K4204" s="3"/>
      <c r="L4204" s="3"/>
      <c r="N4204" s="3"/>
      <c r="O4204" s="3"/>
      <c r="P4204" s="3"/>
      <c r="R4204" s="3"/>
    </row>
    <row r="4205" spans="2:18" x14ac:dyDescent="0.2">
      <c r="B4205" s="1"/>
      <c r="C4205" s="2"/>
      <c r="D4205" s="2"/>
      <c r="F4205" s="1"/>
      <c r="G4205" s="2"/>
      <c r="H4205" s="2"/>
      <c r="J4205" s="3"/>
      <c r="K4205" s="3"/>
      <c r="L4205" s="3"/>
      <c r="N4205" s="3"/>
      <c r="O4205" s="3"/>
      <c r="P4205" s="3"/>
      <c r="R4205" s="3"/>
    </row>
    <row r="4206" spans="2:18" x14ac:dyDescent="0.2">
      <c r="B4206" s="1"/>
      <c r="C4206" s="2"/>
      <c r="D4206" s="2"/>
      <c r="F4206" s="1"/>
      <c r="G4206" s="2"/>
      <c r="H4206" s="2"/>
      <c r="J4206" s="3"/>
      <c r="K4206" s="3"/>
      <c r="L4206" s="3"/>
      <c r="N4206" s="3"/>
      <c r="O4206" s="3"/>
      <c r="P4206" s="3"/>
      <c r="R4206" s="3"/>
    </row>
    <row r="4207" spans="2:18" x14ac:dyDescent="0.2">
      <c r="B4207" s="1"/>
      <c r="C4207" s="2"/>
      <c r="D4207" s="2"/>
      <c r="F4207" s="1"/>
      <c r="G4207" s="2"/>
      <c r="H4207" s="2"/>
      <c r="J4207" s="3"/>
      <c r="K4207" s="3"/>
      <c r="L4207" s="3"/>
      <c r="N4207" s="3"/>
      <c r="O4207" s="3"/>
      <c r="P4207" s="3"/>
      <c r="R4207" s="3"/>
    </row>
    <row r="4208" spans="2:18" x14ac:dyDescent="0.2">
      <c r="B4208" s="1"/>
      <c r="C4208" s="2"/>
      <c r="D4208" s="2"/>
      <c r="F4208" s="1"/>
      <c r="G4208" s="2"/>
      <c r="H4208" s="2"/>
      <c r="J4208" s="3"/>
      <c r="K4208" s="3"/>
      <c r="L4208" s="3"/>
      <c r="N4208" s="3"/>
      <c r="O4208" s="3"/>
      <c r="P4208" s="3"/>
      <c r="R4208" s="3"/>
    </row>
    <row r="4209" spans="2:18" x14ac:dyDescent="0.2">
      <c r="B4209" s="1"/>
      <c r="C4209" s="2"/>
      <c r="D4209" s="2"/>
      <c r="F4209" s="1"/>
      <c r="G4209" s="2"/>
      <c r="H4209" s="2"/>
      <c r="J4209" s="3"/>
      <c r="K4209" s="3"/>
      <c r="L4209" s="3"/>
      <c r="N4209" s="3"/>
      <c r="O4209" s="3"/>
      <c r="P4209" s="3"/>
      <c r="R4209" s="3"/>
    </row>
    <row r="4210" spans="2:18" x14ac:dyDescent="0.2">
      <c r="B4210" s="1"/>
      <c r="C4210" s="2"/>
      <c r="D4210" s="2"/>
      <c r="F4210" s="1"/>
      <c r="G4210" s="2"/>
      <c r="H4210" s="2"/>
      <c r="J4210" s="3"/>
      <c r="K4210" s="3"/>
      <c r="L4210" s="3"/>
      <c r="N4210" s="3"/>
      <c r="O4210" s="3"/>
      <c r="P4210" s="3"/>
      <c r="R4210" s="3"/>
    </row>
    <row r="4211" spans="2:18" x14ac:dyDescent="0.2">
      <c r="B4211" s="1"/>
      <c r="C4211" s="2"/>
      <c r="D4211" s="2"/>
      <c r="F4211" s="1"/>
      <c r="G4211" s="2"/>
      <c r="H4211" s="2"/>
      <c r="J4211" s="3"/>
      <c r="K4211" s="3"/>
      <c r="L4211" s="3"/>
      <c r="N4211" s="3"/>
      <c r="O4211" s="3"/>
      <c r="P4211" s="3"/>
      <c r="R4211" s="3"/>
    </row>
    <row r="4212" spans="2:18" x14ac:dyDescent="0.2">
      <c r="B4212" s="1"/>
      <c r="C4212" s="2"/>
      <c r="D4212" s="2"/>
      <c r="F4212" s="1"/>
      <c r="G4212" s="2"/>
      <c r="H4212" s="2"/>
      <c r="J4212" s="3"/>
      <c r="K4212" s="3"/>
      <c r="L4212" s="3"/>
      <c r="N4212" s="3"/>
      <c r="O4212" s="3"/>
      <c r="P4212" s="3"/>
      <c r="R4212" s="3"/>
    </row>
    <row r="4213" spans="2:18" x14ac:dyDescent="0.2">
      <c r="B4213" s="1"/>
      <c r="C4213" s="2"/>
      <c r="D4213" s="2"/>
      <c r="F4213" s="1"/>
      <c r="G4213" s="2"/>
      <c r="H4213" s="2"/>
      <c r="J4213" s="3"/>
      <c r="K4213" s="3"/>
      <c r="L4213" s="3"/>
      <c r="N4213" s="3"/>
      <c r="O4213" s="3"/>
      <c r="P4213" s="3"/>
      <c r="R4213" s="3"/>
    </row>
    <row r="4214" spans="2:18" x14ac:dyDescent="0.2">
      <c r="B4214" s="1"/>
      <c r="C4214" s="2"/>
      <c r="D4214" s="2"/>
      <c r="F4214" s="1"/>
      <c r="G4214" s="2"/>
      <c r="H4214" s="2"/>
      <c r="J4214" s="3"/>
      <c r="K4214" s="3"/>
      <c r="L4214" s="3"/>
      <c r="N4214" s="3"/>
      <c r="O4214" s="3"/>
      <c r="P4214" s="3"/>
      <c r="R4214" s="3"/>
    </row>
    <row r="4215" spans="2:18" x14ac:dyDescent="0.2">
      <c r="B4215" s="1"/>
      <c r="C4215" s="2"/>
      <c r="D4215" s="2"/>
      <c r="F4215" s="1"/>
      <c r="G4215" s="2"/>
      <c r="H4215" s="2"/>
      <c r="J4215" s="3"/>
      <c r="K4215" s="3"/>
      <c r="L4215" s="3"/>
      <c r="N4215" s="3"/>
      <c r="O4215" s="3"/>
      <c r="P4215" s="3"/>
      <c r="R4215" s="3"/>
    </row>
    <row r="4216" spans="2:18" x14ac:dyDescent="0.2">
      <c r="B4216" s="1"/>
      <c r="C4216" s="2"/>
      <c r="D4216" s="2"/>
      <c r="F4216" s="1"/>
      <c r="G4216" s="2"/>
      <c r="H4216" s="2"/>
      <c r="J4216" s="3"/>
      <c r="K4216" s="3"/>
      <c r="L4216" s="3"/>
      <c r="N4216" s="3"/>
      <c r="O4216" s="3"/>
      <c r="P4216" s="3"/>
      <c r="R4216" s="3"/>
    </row>
    <row r="4217" spans="2:18" x14ac:dyDescent="0.2">
      <c r="B4217" s="1"/>
      <c r="C4217" s="2"/>
      <c r="D4217" s="2"/>
      <c r="F4217" s="1"/>
      <c r="G4217" s="2"/>
      <c r="H4217" s="2"/>
      <c r="J4217" s="3"/>
      <c r="K4217" s="3"/>
      <c r="L4217" s="3"/>
      <c r="N4217" s="3"/>
      <c r="O4217" s="3"/>
      <c r="P4217" s="3"/>
      <c r="R4217" s="3"/>
    </row>
    <row r="4218" spans="2:18" x14ac:dyDescent="0.2">
      <c r="B4218" s="1"/>
      <c r="C4218" s="2"/>
      <c r="D4218" s="2"/>
      <c r="F4218" s="1"/>
      <c r="G4218" s="2"/>
      <c r="H4218" s="2"/>
      <c r="J4218" s="3"/>
      <c r="K4218" s="3"/>
      <c r="L4218" s="3"/>
      <c r="N4218" s="3"/>
      <c r="O4218" s="3"/>
      <c r="P4218" s="3"/>
      <c r="R4218" s="3"/>
    </row>
    <row r="4219" spans="2:18" x14ac:dyDescent="0.2">
      <c r="B4219" s="1"/>
      <c r="C4219" s="2"/>
      <c r="D4219" s="2"/>
      <c r="F4219" s="1"/>
      <c r="G4219" s="2"/>
      <c r="H4219" s="2"/>
      <c r="J4219" s="3"/>
      <c r="K4219" s="3"/>
      <c r="L4219" s="3"/>
      <c r="N4219" s="3"/>
      <c r="O4219" s="3"/>
      <c r="P4219" s="3"/>
      <c r="R4219" s="3"/>
    </row>
    <row r="4220" spans="2:18" x14ac:dyDescent="0.2">
      <c r="B4220" s="1"/>
      <c r="C4220" s="2"/>
      <c r="D4220" s="2"/>
      <c r="F4220" s="1"/>
      <c r="G4220" s="2"/>
      <c r="H4220" s="2"/>
      <c r="J4220" s="3"/>
      <c r="K4220" s="3"/>
      <c r="L4220" s="3"/>
      <c r="N4220" s="3"/>
      <c r="O4220" s="3"/>
      <c r="P4220" s="3"/>
      <c r="R4220" s="3"/>
    </row>
    <row r="4221" spans="2:18" x14ac:dyDescent="0.2">
      <c r="B4221" s="1"/>
      <c r="C4221" s="2"/>
      <c r="D4221" s="2"/>
      <c r="F4221" s="1"/>
      <c r="G4221" s="2"/>
      <c r="H4221" s="2"/>
      <c r="J4221" s="3"/>
      <c r="K4221" s="3"/>
      <c r="L4221" s="3"/>
      <c r="N4221" s="3"/>
      <c r="O4221" s="3"/>
      <c r="P4221" s="3"/>
      <c r="R4221" s="3"/>
    </row>
    <row r="4222" spans="2:18" x14ac:dyDescent="0.2">
      <c r="B4222" s="1"/>
      <c r="C4222" s="2"/>
      <c r="D4222" s="2"/>
      <c r="F4222" s="1"/>
      <c r="G4222" s="2"/>
      <c r="H4222" s="2"/>
      <c r="J4222" s="3"/>
      <c r="K4222" s="3"/>
      <c r="L4222" s="3"/>
      <c r="N4222" s="3"/>
      <c r="O4222" s="3"/>
      <c r="P4222" s="3"/>
      <c r="R4222" s="3"/>
    </row>
    <row r="4223" spans="2:18" x14ac:dyDescent="0.2">
      <c r="B4223" s="1"/>
      <c r="C4223" s="2"/>
      <c r="D4223" s="2"/>
      <c r="F4223" s="1"/>
      <c r="G4223" s="2"/>
      <c r="H4223" s="2"/>
      <c r="J4223" s="3"/>
      <c r="K4223" s="3"/>
      <c r="L4223" s="3"/>
      <c r="N4223" s="3"/>
      <c r="O4223" s="3"/>
      <c r="P4223" s="3"/>
      <c r="R4223" s="3"/>
    </row>
    <row r="4224" spans="2:18" x14ac:dyDescent="0.2">
      <c r="B4224" s="1"/>
      <c r="C4224" s="2"/>
      <c r="D4224" s="2"/>
      <c r="F4224" s="1"/>
      <c r="G4224" s="2"/>
      <c r="H4224" s="2"/>
      <c r="J4224" s="3"/>
      <c r="K4224" s="3"/>
      <c r="L4224" s="3"/>
      <c r="N4224" s="3"/>
      <c r="O4224" s="3"/>
      <c r="P4224" s="3"/>
      <c r="R4224" s="3"/>
    </row>
    <row r="4225" spans="2:18" x14ac:dyDescent="0.2">
      <c r="B4225" s="1"/>
      <c r="C4225" s="2"/>
      <c r="D4225" s="2"/>
      <c r="F4225" s="1"/>
      <c r="G4225" s="2"/>
      <c r="H4225" s="2"/>
      <c r="J4225" s="3"/>
      <c r="K4225" s="3"/>
      <c r="L4225" s="3"/>
      <c r="N4225" s="3"/>
      <c r="O4225" s="3"/>
      <c r="P4225" s="3"/>
      <c r="R4225" s="3"/>
    </row>
    <row r="4226" spans="2:18" x14ac:dyDescent="0.2">
      <c r="B4226" s="1"/>
      <c r="C4226" s="2"/>
      <c r="D4226" s="2"/>
      <c r="F4226" s="1"/>
      <c r="G4226" s="2"/>
      <c r="H4226" s="2"/>
      <c r="J4226" s="3"/>
      <c r="K4226" s="3"/>
      <c r="L4226" s="3"/>
      <c r="N4226" s="3"/>
      <c r="O4226" s="3"/>
      <c r="P4226" s="3"/>
      <c r="R4226" s="3"/>
    </row>
    <row r="4227" spans="2:18" x14ac:dyDescent="0.2">
      <c r="B4227" s="1"/>
      <c r="C4227" s="2"/>
      <c r="D4227" s="2"/>
      <c r="F4227" s="1"/>
      <c r="G4227" s="2"/>
      <c r="H4227" s="2"/>
      <c r="J4227" s="3"/>
      <c r="K4227" s="3"/>
      <c r="L4227" s="3"/>
      <c r="N4227" s="3"/>
      <c r="O4227" s="3"/>
      <c r="P4227" s="3"/>
      <c r="R4227" s="3"/>
    </row>
    <row r="4228" spans="2:18" x14ac:dyDescent="0.2">
      <c r="B4228" s="1"/>
      <c r="C4228" s="2"/>
      <c r="D4228" s="2"/>
      <c r="F4228" s="1"/>
      <c r="G4228" s="2"/>
      <c r="H4228" s="2"/>
      <c r="J4228" s="3"/>
      <c r="K4228" s="3"/>
      <c r="L4228" s="3"/>
      <c r="N4228" s="3"/>
      <c r="O4228" s="3"/>
      <c r="P4228" s="3"/>
      <c r="R4228" s="3"/>
    </row>
    <row r="4229" spans="2:18" x14ac:dyDescent="0.2">
      <c r="B4229" s="1"/>
      <c r="C4229" s="2"/>
      <c r="D4229" s="2"/>
      <c r="F4229" s="1"/>
      <c r="G4229" s="2"/>
      <c r="H4229" s="2"/>
      <c r="J4229" s="3"/>
      <c r="K4229" s="3"/>
      <c r="L4229" s="3"/>
      <c r="N4229" s="3"/>
      <c r="O4229" s="3"/>
      <c r="P4229" s="3"/>
      <c r="R4229" s="3"/>
    </row>
    <row r="4230" spans="2:18" x14ac:dyDescent="0.2">
      <c r="B4230" s="1"/>
      <c r="C4230" s="2"/>
      <c r="D4230" s="2"/>
      <c r="F4230" s="1"/>
      <c r="G4230" s="2"/>
      <c r="H4230" s="2"/>
      <c r="J4230" s="3"/>
      <c r="K4230" s="3"/>
      <c r="L4230" s="3"/>
      <c r="N4230" s="3"/>
      <c r="O4230" s="3"/>
      <c r="P4230" s="3"/>
      <c r="R4230" s="3"/>
    </row>
    <row r="4231" spans="2:18" x14ac:dyDescent="0.2">
      <c r="B4231" s="1"/>
      <c r="C4231" s="2"/>
      <c r="D4231" s="2"/>
      <c r="F4231" s="1"/>
      <c r="G4231" s="2"/>
      <c r="H4231" s="2"/>
      <c r="J4231" s="3"/>
      <c r="K4231" s="3"/>
      <c r="L4231" s="3"/>
      <c r="N4231" s="3"/>
      <c r="O4231" s="3"/>
      <c r="P4231" s="3"/>
      <c r="R4231" s="3"/>
    </row>
    <row r="4232" spans="2:18" x14ac:dyDescent="0.2">
      <c r="B4232" s="1"/>
      <c r="C4232" s="2"/>
      <c r="D4232" s="2"/>
      <c r="F4232" s="1"/>
      <c r="G4232" s="2"/>
      <c r="H4232" s="2"/>
      <c r="J4232" s="3"/>
      <c r="K4232" s="3"/>
      <c r="L4232" s="3"/>
      <c r="N4232" s="3"/>
      <c r="O4232" s="3"/>
      <c r="P4232" s="3"/>
      <c r="R4232" s="3"/>
    </row>
    <row r="4233" spans="2:18" x14ac:dyDescent="0.2">
      <c r="B4233" s="1"/>
      <c r="C4233" s="2"/>
      <c r="D4233" s="2"/>
      <c r="F4233" s="1"/>
      <c r="G4233" s="2"/>
      <c r="H4233" s="2"/>
      <c r="J4233" s="3"/>
      <c r="K4233" s="3"/>
      <c r="L4233" s="3"/>
      <c r="N4233" s="3"/>
      <c r="O4233" s="3"/>
      <c r="P4233" s="3"/>
      <c r="R4233" s="3"/>
    </row>
    <row r="4234" spans="2:18" x14ac:dyDescent="0.2">
      <c r="B4234" s="1"/>
      <c r="C4234" s="2"/>
      <c r="D4234" s="2"/>
      <c r="F4234" s="1"/>
      <c r="G4234" s="2"/>
      <c r="H4234" s="2"/>
      <c r="J4234" s="3"/>
      <c r="K4234" s="3"/>
      <c r="L4234" s="3"/>
      <c r="N4234" s="3"/>
      <c r="O4234" s="3"/>
      <c r="P4234" s="3"/>
      <c r="R4234" s="3"/>
    </row>
    <row r="4235" spans="2:18" x14ac:dyDescent="0.2">
      <c r="B4235" s="1"/>
      <c r="C4235" s="2"/>
      <c r="D4235" s="2"/>
      <c r="F4235" s="1"/>
      <c r="G4235" s="2"/>
      <c r="H4235" s="2"/>
      <c r="J4235" s="3"/>
      <c r="K4235" s="3"/>
      <c r="L4235" s="3"/>
      <c r="N4235" s="3"/>
      <c r="O4235" s="3"/>
      <c r="P4235" s="3"/>
      <c r="R4235" s="3"/>
    </row>
    <row r="4236" spans="2:18" x14ac:dyDescent="0.2">
      <c r="B4236" s="1"/>
      <c r="C4236" s="2"/>
      <c r="D4236" s="2"/>
      <c r="F4236" s="1"/>
      <c r="G4236" s="2"/>
      <c r="H4236" s="2"/>
      <c r="J4236" s="3"/>
      <c r="K4236" s="3"/>
      <c r="L4236" s="3"/>
      <c r="N4236" s="3"/>
      <c r="O4236" s="3"/>
      <c r="P4236" s="3"/>
      <c r="R4236" s="3"/>
    </row>
    <row r="4237" spans="2:18" x14ac:dyDescent="0.2">
      <c r="B4237" s="1"/>
      <c r="C4237" s="2"/>
      <c r="D4237" s="2"/>
      <c r="F4237" s="1"/>
      <c r="G4237" s="2"/>
      <c r="H4237" s="2"/>
      <c r="J4237" s="3"/>
      <c r="K4237" s="3"/>
      <c r="L4237" s="3"/>
      <c r="N4237" s="3"/>
      <c r="O4237" s="3"/>
      <c r="P4237" s="3"/>
      <c r="R4237" s="3"/>
    </row>
    <row r="4238" spans="2:18" x14ac:dyDescent="0.2">
      <c r="B4238" s="1"/>
      <c r="C4238" s="2"/>
      <c r="D4238" s="2"/>
      <c r="F4238" s="1"/>
      <c r="G4238" s="2"/>
      <c r="H4238" s="2"/>
      <c r="J4238" s="3"/>
      <c r="K4238" s="3"/>
      <c r="L4238" s="3"/>
      <c r="N4238" s="3"/>
      <c r="O4238" s="3"/>
      <c r="P4238" s="3"/>
      <c r="R4238" s="3"/>
    </row>
    <row r="4239" spans="2:18" x14ac:dyDescent="0.2">
      <c r="B4239" s="1"/>
      <c r="C4239" s="2"/>
      <c r="D4239" s="2"/>
      <c r="F4239" s="1"/>
      <c r="G4239" s="2"/>
      <c r="H4239" s="2"/>
      <c r="J4239" s="3"/>
      <c r="K4239" s="3"/>
      <c r="L4239" s="3"/>
      <c r="N4239" s="3"/>
      <c r="O4239" s="3"/>
      <c r="P4239" s="3"/>
      <c r="R4239" s="3"/>
    </row>
    <row r="4240" spans="2:18" x14ac:dyDescent="0.2">
      <c r="B4240" s="1"/>
      <c r="C4240" s="2"/>
      <c r="D4240" s="2"/>
      <c r="F4240" s="1"/>
      <c r="G4240" s="2"/>
      <c r="H4240" s="2"/>
      <c r="J4240" s="3"/>
      <c r="K4240" s="3"/>
      <c r="L4240" s="3"/>
      <c r="N4240" s="3"/>
      <c r="O4240" s="3"/>
      <c r="P4240" s="3"/>
      <c r="R4240" s="3"/>
    </row>
    <row r="4241" spans="2:18" x14ac:dyDescent="0.2">
      <c r="B4241" s="1"/>
      <c r="C4241" s="2"/>
      <c r="D4241" s="2"/>
      <c r="F4241" s="1"/>
      <c r="G4241" s="2"/>
      <c r="H4241" s="2"/>
      <c r="J4241" s="3"/>
      <c r="K4241" s="3"/>
      <c r="L4241" s="3"/>
      <c r="N4241" s="3"/>
      <c r="O4241" s="3"/>
      <c r="P4241" s="3"/>
      <c r="R4241" s="3"/>
    </row>
    <row r="4242" spans="2:18" x14ac:dyDescent="0.2">
      <c r="B4242" s="1"/>
      <c r="C4242" s="2"/>
      <c r="D4242" s="2"/>
      <c r="F4242" s="1"/>
      <c r="G4242" s="2"/>
      <c r="H4242" s="2"/>
      <c r="J4242" s="3"/>
      <c r="K4242" s="3"/>
      <c r="L4242" s="3"/>
      <c r="N4242" s="3"/>
      <c r="O4242" s="3"/>
      <c r="P4242" s="3"/>
      <c r="R4242" s="3"/>
    </row>
    <row r="4243" spans="2:18" x14ac:dyDescent="0.2">
      <c r="B4243" s="1"/>
      <c r="C4243" s="2"/>
      <c r="D4243" s="2"/>
      <c r="F4243" s="1"/>
      <c r="G4243" s="2"/>
      <c r="H4243" s="2"/>
      <c r="J4243" s="3"/>
      <c r="K4243" s="3"/>
      <c r="L4243" s="3"/>
      <c r="N4243" s="3"/>
      <c r="O4243" s="3"/>
      <c r="P4243" s="3"/>
      <c r="R4243" s="3"/>
    </row>
    <row r="4244" spans="2:18" x14ac:dyDescent="0.2">
      <c r="B4244" s="1"/>
      <c r="C4244" s="2"/>
      <c r="D4244" s="2"/>
      <c r="F4244" s="1"/>
      <c r="G4244" s="2"/>
      <c r="H4244" s="2"/>
      <c r="J4244" s="3"/>
      <c r="K4244" s="3"/>
      <c r="L4244" s="3"/>
      <c r="N4244" s="3"/>
      <c r="O4244" s="3"/>
      <c r="P4244" s="3"/>
      <c r="R4244" s="3"/>
    </row>
    <row r="4245" spans="2:18" x14ac:dyDescent="0.2">
      <c r="B4245" s="1"/>
      <c r="C4245" s="2"/>
      <c r="D4245" s="2"/>
      <c r="F4245" s="1"/>
      <c r="G4245" s="2"/>
      <c r="H4245" s="2"/>
      <c r="J4245" s="3"/>
      <c r="K4245" s="3"/>
      <c r="L4245" s="3"/>
      <c r="N4245" s="3"/>
      <c r="O4245" s="3"/>
      <c r="P4245" s="3"/>
      <c r="R4245" s="3"/>
    </row>
    <row r="4246" spans="2:18" x14ac:dyDescent="0.2">
      <c r="B4246" s="1"/>
      <c r="C4246" s="2"/>
      <c r="D4246" s="2"/>
      <c r="F4246" s="1"/>
      <c r="G4246" s="2"/>
      <c r="H4246" s="2"/>
      <c r="J4246" s="3"/>
      <c r="K4246" s="3"/>
      <c r="L4246" s="3"/>
      <c r="N4246" s="3"/>
      <c r="O4246" s="3"/>
      <c r="P4246" s="3"/>
      <c r="R4246" s="3"/>
    </row>
    <row r="4247" spans="2:18" x14ac:dyDescent="0.2">
      <c r="B4247" s="1"/>
      <c r="C4247" s="2"/>
      <c r="D4247" s="2"/>
      <c r="F4247" s="1"/>
      <c r="G4247" s="2"/>
      <c r="H4247" s="2"/>
      <c r="J4247" s="3"/>
      <c r="K4247" s="3"/>
      <c r="L4247" s="3"/>
      <c r="N4247" s="3"/>
      <c r="O4247" s="3"/>
      <c r="P4247" s="3"/>
      <c r="R4247" s="3"/>
    </row>
    <row r="4248" spans="2:18" x14ac:dyDescent="0.2">
      <c r="B4248" s="1"/>
      <c r="C4248" s="2"/>
      <c r="D4248" s="2"/>
      <c r="F4248" s="1"/>
      <c r="G4248" s="2"/>
      <c r="H4248" s="2"/>
      <c r="J4248" s="3"/>
      <c r="K4248" s="3"/>
      <c r="L4248" s="3"/>
      <c r="N4248" s="3"/>
      <c r="O4248" s="3"/>
      <c r="P4248" s="3"/>
      <c r="R4248" s="3"/>
    </row>
    <row r="4249" spans="2:18" x14ac:dyDescent="0.2">
      <c r="B4249" s="1"/>
      <c r="C4249" s="2"/>
      <c r="D4249" s="2"/>
      <c r="F4249" s="1"/>
      <c r="G4249" s="2"/>
      <c r="H4249" s="2"/>
      <c r="J4249" s="3"/>
      <c r="K4249" s="3"/>
      <c r="L4249" s="3"/>
      <c r="N4249" s="3"/>
      <c r="O4249" s="3"/>
      <c r="P4249" s="3"/>
      <c r="R4249" s="3"/>
    </row>
    <row r="4250" spans="2:18" x14ac:dyDescent="0.2">
      <c r="B4250" s="1"/>
      <c r="C4250" s="2"/>
      <c r="D4250" s="2"/>
      <c r="F4250" s="1"/>
      <c r="G4250" s="2"/>
      <c r="H4250" s="2"/>
      <c r="J4250" s="3"/>
      <c r="K4250" s="3"/>
      <c r="L4250" s="3"/>
      <c r="N4250" s="3"/>
      <c r="O4250" s="3"/>
      <c r="P4250" s="3"/>
      <c r="R4250" s="3"/>
    </row>
    <row r="4251" spans="2:18" x14ac:dyDescent="0.2">
      <c r="B4251" s="1"/>
      <c r="C4251" s="2"/>
      <c r="D4251" s="2"/>
      <c r="F4251" s="1"/>
      <c r="G4251" s="2"/>
      <c r="H4251" s="2"/>
      <c r="J4251" s="3"/>
      <c r="K4251" s="3"/>
      <c r="L4251" s="3"/>
      <c r="N4251" s="3"/>
      <c r="O4251" s="3"/>
      <c r="P4251" s="3"/>
      <c r="R4251" s="3"/>
    </row>
    <row r="4252" spans="2:18" x14ac:dyDescent="0.2">
      <c r="B4252" s="1"/>
      <c r="C4252" s="2"/>
      <c r="D4252" s="2"/>
      <c r="F4252" s="1"/>
      <c r="G4252" s="2"/>
      <c r="H4252" s="2"/>
      <c r="J4252" s="3"/>
      <c r="K4252" s="3"/>
      <c r="L4252" s="3"/>
      <c r="N4252" s="3"/>
      <c r="O4252" s="3"/>
      <c r="P4252" s="3"/>
      <c r="R4252" s="3"/>
    </row>
    <row r="4253" spans="2:18" x14ac:dyDescent="0.2">
      <c r="B4253" s="1"/>
      <c r="C4253" s="2"/>
      <c r="D4253" s="2"/>
      <c r="F4253" s="1"/>
      <c r="G4253" s="2"/>
      <c r="H4253" s="2"/>
      <c r="J4253" s="3"/>
      <c r="K4253" s="3"/>
      <c r="L4253" s="3"/>
      <c r="N4253" s="3"/>
      <c r="O4253" s="3"/>
      <c r="P4253" s="3"/>
      <c r="R4253" s="3"/>
    </row>
    <row r="4254" spans="2:18" x14ac:dyDescent="0.2">
      <c r="B4254" s="1"/>
      <c r="C4254" s="2"/>
      <c r="D4254" s="2"/>
      <c r="F4254" s="1"/>
      <c r="G4254" s="2"/>
      <c r="H4254" s="2"/>
      <c r="J4254" s="3"/>
      <c r="K4254" s="3"/>
      <c r="L4254" s="3"/>
      <c r="N4254" s="3"/>
      <c r="O4254" s="3"/>
      <c r="P4254" s="3"/>
      <c r="R4254" s="3"/>
    </row>
    <row r="4255" spans="2:18" x14ac:dyDescent="0.2">
      <c r="B4255" s="1"/>
      <c r="C4255" s="2"/>
      <c r="D4255" s="2"/>
      <c r="F4255" s="1"/>
      <c r="G4255" s="2"/>
      <c r="H4255" s="2"/>
      <c r="J4255" s="3"/>
      <c r="K4255" s="3"/>
      <c r="L4255" s="3"/>
      <c r="N4255" s="3"/>
      <c r="O4255" s="3"/>
      <c r="P4255" s="3"/>
      <c r="R4255" s="3"/>
    </row>
    <row r="4256" spans="2:18" x14ac:dyDescent="0.2">
      <c r="B4256" s="1"/>
      <c r="C4256" s="2"/>
      <c r="D4256" s="2"/>
      <c r="F4256" s="1"/>
      <c r="G4256" s="2"/>
      <c r="H4256" s="2"/>
      <c r="J4256" s="3"/>
      <c r="K4256" s="3"/>
      <c r="L4256" s="3"/>
      <c r="N4256" s="3"/>
      <c r="O4256" s="3"/>
      <c r="P4256" s="3"/>
      <c r="R4256" s="3"/>
    </row>
    <row r="4257" spans="2:18" x14ac:dyDescent="0.2">
      <c r="B4257" s="1"/>
      <c r="C4257" s="2"/>
      <c r="D4257" s="2"/>
      <c r="F4257" s="1"/>
      <c r="G4257" s="2"/>
      <c r="H4257" s="2"/>
      <c r="J4257" s="3"/>
      <c r="K4257" s="3"/>
      <c r="L4257" s="3"/>
      <c r="N4257" s="3"/>
      <c r="O4257" s="3"/>
      <c r="P4257" s="3"/>
      <c r="R4257" s="3"/>
    </row>
    <row r="4258" spans="2:18" x14ac:dyDescent="0.2">
      <c r="B4258" s="1"/>
      <c r="C4258" s="2"/>
      <c r="D4258" s="2"/>
      <c r="F4258" s="1"/>
      <c r="G4258" s="2"/>
      <c r="H4258" s="2"/>
      <c r="J4258" s="3"/>
      <c r="K4258" s="3"/>
      <c r="L4258" s="3"/>
      <c r="N4258" s="3"/>
      <c r="O4258" s="3"/>
      <c r="P4258" s="3"/>
      <c r="R4258" s="3"/>
    </row>
    <row r="4259" spans="2:18" x14ac:dyDescent="0.2">
      <c r="B4259" s="1"/>
      <c r="C4259" s="2"/>
      <c r="D4259" s="2"/>
      <c r="F4259" s="1"/>
      <c r="G4259" s="2"/>
      <c r="H4259" s="2"/>
      <c r="J4259" s="3"/>
      <c r="K4259" s="3"/>
      <c r="L4259" s="3"/>
      <c r="N4259" s="3"/>
      <c r="O4259" s="3"/>
      <c r="P4259" s="3"/>
      <c r="R4259" s="3"/>
    </row>
    <row r="4260" spans="2:18" x14ac:dyDescent="0.2">
      <c r="B4260" s="1"/>
      <c r="C4260" s="2"/>
      <c r="D4260" s="2"/>
      <c r="F4260" s="1"/>
      <c r="G4260" s="2"/>
      <c r="H4260" s="2"/>
      <c r="J4260" s="3"/>
      <c r="K4260" s="3"/>
      <c r="L4260" s="3"/>
      <c r="N4260" s="3"/>
      <c r="O4260" s="3"/>
      <c r="P4260" s="3"/>
      <c r="R4260" s="3"/>
    </row>
    <row r="4261" spans="2:18" x14ac:dyDescent="0.2">
      <c r="B4261" s="1"/>
      <c r="C4261" s="2"/>
      <c r="D4261" s="2"/>
      <c r="F4261" s="1"/>
      <c r="G4261" s="2"/>
      <c r="H4261" s="2"/>
      <c r="J4261" s="3"/>
      <c r="K4261" s="3"/>
      <c r="L4261" s="3"/>
      <c r="N4261" s="3"/>
      <c r="O4261" s="3"/>
      <c r="P4261" s="3"/>
      <c r="R4261" s="3"/>
    </row>
    <row r="4262" spans="2:18" x14ac:dyDescent="0.2">
      <c r="B4262" s="1"/>
      <c r="C4262" s="2"/>
      <c r="D4262" s="2"/>
      <c r="F4262" s="1"/>
      <c r="G4262" s="2"/>
      <c r="H4262" s="2"/>
      <c r="J4262" s="3"/>
      <c r="K4262" s="3"/>
      <c r="L4262" s="3"/>
      <c r="N4262" s="3"/>
      <c r="O4262" s="3"/>
      <c r="P4262" s="3"/>
      <c r="R4262" s="3"/>
    </row>
    <row r="4263" spans="2:18" x14ac:dyDescent="0.2">
      <c r="B4263" s="1"/>
      <c r="C4263" s="2"/>
      <c r="D4263" s="2"/>
      <c r="F4263" s="1"/>
      <c r="G4263" s="2"/>
      <c r="H4263" s="2"/>
      <c r="J4263" s="3"/>
      <c r="K4263" s="3"/>
      <c r="L4263" s="3"/>
      <c r="N4263" s="3"/>
      <c r="O4263" s="3"/>
      <c r="P4263" s="3"/>
      <c r="R4263" s="3"/>
    </row>
    <row r="4264" spans="2:18" x14ac:dyDescent="0.2">
      <c r="B4264" s="1"/>
      <c r="C4264" s="2"/>
      <c r="D4264" s="2"/>
      <c r="F4264" s="1"/>
      <c r="G4264" s="2"/>
      <c r="H4264" s="2"/>
      <c r="J4264" s="3"/>
      <c r="K4264" s="3"/>
      <c r="L4264" s="3"/>
      <c r="N4264" s="3"/>
      <c r="O4264" s="3"/>
      <c r="P4264" s="3"/>
      <c r="R4264" s="3"/>
    </row>
    <row r="4265" spans="2:18" x14ac:dyDescent="0.2">
      <c r="B4265" s="1"/>
      <c r="C4265" s="2"/>
      <c r="D4265" s="2"/>
      <c r="F4265" s="1"/>
      <c r="G4265" s="2"/>
      <c r="H4265" s="2"/>
      <c r="J4265" s="3"/>
      <c r="K4265" s="3"/>
      <c r="L4265" s="3"/>
      <c r="N4265" s="3"/>
      <c r="O4265" s="3"/>
      <c r="P4265" s="3"/>
      <c r="R4265" s="3"/>
    </row>
    <row r="4266" spans="2:18" x14ac:dyDescent="0.2">
      <c r="B4266" s="1"/>
      <c r="C4266" s="2"/>
      <c r="D4266" s="2"/>
      <c r="F4266" s="1"/>
      <c r="G4266" s="2"/>
      <c r="H4266" s="2"/>
      <c r="J4266" s="3"/>
      <c r="K4266" s="3"/>
      <c r="L4266" s="3"/>
      <c r="N4266" s="3"/>
      <c r="O4266" s="3"/>
      <c r="P4266" s="3"/>
      <c r="R4266" s="3"/>
    </row>
    <row r="4267" spans="2:18" x14ac:dyDescent="0.2">
      <c r="B4267" s="1"/>
      <c r="C4267" s="2"/>
      <c r="D4267" s="2"/>
      <c r="F4267" s="1"/>
      <c r="G4267" s="2"/>
      <c r="H4267" s="2"/>
      <c r="J4267" s="3"/>
      <c r="K4267" s="3"/>
      <c r="L4267" s="3"/>
      <c r="N4267" s="3"/>
      <c r="O4267" s="3"/>
      <c r="P4267" s="3"/>
      <c r="R4267" s="3"/>
    </row>
    <row r="4268" spans="2:18" x14ac:dyDescent="0.2">
      <c r="B4268" s="1"/>
      <c r="C4268" s="2"/>
      <c r="D4268" s="2"/>
      <c r="F4268" s="1"/>
      <c r="G4268" s="2"/>
      <c r="H4268" s="2"/>
      <c r="J4268" s="3"/>
      <c r="K4268" s="3"/>
      <c r="L4268" s="3"/>
      <c r="N4268" s="3"/>
      <c r="O4268" s="3"/>
      <c r="P4268" s="3"/>
      <c r="R4268" s="3"/>
    </row>
    <row r="4269" spans="2:18" x14ac:dyDescent="0.2">
      <c r="B4269" s="1"/>
      <c r="C4269" s="2"/>
      <c r="D4269" s="2"/>
      <c r="F4269" s="1"/>
      <c r="G4269" s="2"/>
      <c r="H4269" s="2"/>
      <c r="J4269" s="3"/>
      <c r="K4269" s="3"/>
      <c r="L4269" s="3"/>
      <c r="N4269" s="3"/>
      <c r="O4269" s="3"/>
      <c r="P4269" s="3"/>
      <c r="R4269" s="3"/>
    </row>
    <row r="4270" spans="2:18" x14ac:dyDescent="0.2">
      <c r="B4270" s="1"/>
      <c r="C4270" s="2"/>
      <c r="D4270" s="2"/>
      <c r="F4270" s="1"/>
      <c r="G4270" s="2"/>
      <c r="H4270" s="2"/>
      <c r="J4270" s="3"/>
      <c r="K4270" s="3"/>
      <c r="L4270" s="3"/>
      <c r="N4270" s="3"/>
      <c r="O4270" s="3"/>
      <c r="P4270" s="3"/>
      <c r="R4270" s="3"/>
    </row>
    <row r="4271" spans="2:18" x14ac:dyDescent="0.2">
      <c r="B4271" s="1"/>
      <c r="C4271" s="2"/>
      <c r="D4271" s="2"/>
      <c r="F4271" s="1"/>
      <c r="G4271" s="2"/>
      <c r="H4271" s="2"/>
      <c r="J4271" s="3"/>
      <c r="K4271" s="3"/>
      <c r="L4271" s="3"/>
      <c r="N4271" s="3"/>
      <c r="O4271" s="3"/>
      <c r="P4271" s="3"/>
      <c r="R4271" s="3"/>
    </row>
    <row r="4272" spans="2:18" x14ac:dyDescent="0.2">
      <c r="B4272" s="1"/>
      <c r="C4272" s="2"/>
      <c r="D4272" s="2"/>
      <c r="F4272" s="1"/>
      <c r="G4272" s="2"/>
      <c r="H4272" s="2"/>
      <c r="J4272" s="3"/>
      <c r="K4272" s="3"/>
      <c r="L4272" s="3"/>
      <c r="N4272" s="3"/>
      <c r="O4272" s="3"/>
      <c r="P4272" s="3"/>
      <c r="R4272" s="3"/>
    </row>
    <row r="4273" spans="2:18" x14ac:dyDescent="0.2">
      <c r="B4273" s="1"/>
      <c r="C4273" s="2"/>
      <c r="D4273" s="2"/>
      <c r="F4273" s="1"/>
      <c r="G4273" s="2"/>
      <c r="H4273" s="2"/>
      <c r="J4273" s="3"/>
      <c r="K4273" s="3"/>
      <c r="L4273" s="3"/>
      <c r="N4273" s="3"/>
      <c r="O4273" s="3"/>
      <c r="P4273" s="3"/>
      <c r="R4273" s="3"/>
    </row>
    <row r="4274" spans="2:18" x14ac:dyDescent="0.2">
      <c r="B4274" s="1"/>
      <c r="C4274" s="2"/>
      <c r="D4274" s="2"/>
      <c r="F4274" s="1"/>
      <c r="G4274" s="2"/>
      <c r="H4274" s="2"/>
      <c r="J4274" s="3"/>
      <c r="K4274" s="3"/>
      <c r="L4274" s="3"/>
      <c r="N4274" s="3"/>
      <c r="O4274" s="3"/>
      <c r="P4274" s="3"/>
      <c r="R4274" s="3"/>
    </row>
    <row r="4275" spans="2:18" x14ac:dyDescent="0.2">
      <c r="B4275" s="1"/>
      <c r="C4275" s="2"/>
      <c r="D4275" s="2"/>
      <c r="F4275" s="1"/>
      <c r="G4275" s="2"/>
      <c r="H4275" s="2"/>
      <c r="J4275" s="3"/>
      <c r="K4275" s="3"/>
      <c r="L4275" s="3"/>
      <c r="N4275" s="3"/>
      <c r="O4275" s="3"/>
      <c r="P4275" s="3"/>
      <c r="R4275" s="3"/>
    </row>
    <row r="4276" spans="2:18" x14ac:dyDescent="0.2">
      <c r="B4276" s="1"/>
      <c r="C4276" s="2"/>
      <c r="D4276" s="2"/>
      <c r="F4276" s="1"/>
      <c r="G4276" s="2"/>
      <c r="H4276" s="2"/>
      <c r="J4276" s="3"/>
      <c r="K4276" s="3"/>
      <c r="L4276" s="3"/>
      <c r="N4276" s="3"/>
      <c r="O4276" s="3"/>
      <c r="P4276" s="3"/>
      <c r="R4276" s="3"/>
    </row>
    <row r="4277" spans="2:18" x14ac:dyDescent="0.2">
      <c r="B4277" s="1"/>
      <c r="C4277" s="2"/>
      <c r="D4277" s="2"/>
      <c r="F4277" s="1"/>
      <c r="G4277" s="2"/>
      <c r="H4277" s="2"/>
      <c r="J4277" s="3"/>
      <c r="K4277" s="3"/>
      <c r="L4277" s="3"/>
      <c r="N4277" s="3"/>
      <c r="O4277" s="3"/>
      <c r="P4277" s="3"/>
      <c r="R4277" s="3"/>
    </row>
    <row r="4278" spans="2:18" x14ac:dyDescent="0.2">
      <c r="B4278" s="1"/>
      <c r="C4278" s="2"/>
      <c r="D4278" s="2"/>
      <c r="F4278" s="1"/>
      <c r="G4278" s="2"/>
      <c r="H4278" s="2"/>
      <c r="J4278" s="3"/>
      <c r="K4278" s="3"/>
      <c r="L4278" s="3"/>
      <c r="N4278" s="3"/>
      <c r="O4278" s="3"/>
      <c r="P4278" s="3"/>
      <c r="R4278" s="3"/>
    </row>
    <row r="4279" spans="2:18" x14ac:dyDescent="0.2">
      <c r="B4279" s="1"/>
      <c r="C4279" s="2"/>
      <c r="D4279" s="2"/>
      <c r="F4279" s="1"/>
      <c r="G4279" s="2"/>
      <c r="H4279" s="2"/>
      <c r="J4279" s="3"/>
      <c r="K4279" s="3"/>
      <c r="L4279" s="3"/>
      <c r="N4279" s="3"/>
      <c r="O4279" s="3"/>
      <c r="P4279" s="3"/>
      <c r="R4279" s="3"/>
    </row>
    <row r="4280" spans="2:18" x14ac:dyDescent="0.2">
      <c r="B4280" s="1"/>
      <c r="C4280" s="2"/>
      <c r="D4280" s="2"/>
      <c r="F4280" s="1"/>
      <c r="G4280" s="2"/>
      <c r="H4280" s="2"/>
      <c r="J4280" s="3"/>
      <c r="K4280" s="3"/>
      <c r="L4280" s="3"/>
      <c r="N4280" s="3"/>
      <c r="O4280" s="3"/>
      <c r="P4280" s="3"/>
      <c r="R4280" s="3"/>
    </row>
    <row r="4281" spans="2:18" x14ac:dyDescent="0.2">
      <c r="B4281" s="1"/>
      <c r="C4281" s="2"/>
      <c r="D4281" s="2"/>
      <c r="F4281" s="1"/>
      <c r="G4281" s="2"/>
      <c r="H4281" s="2"/>
      <c r="J4281" s="3"/>
      <c r="K4281" s="3"/>
      <c r="L4281" s="3"/>
      <c r="N4281" s="3"/>
      <c r="O4281" s="3"/>
      <c r="P4281" s="3"/>
      <c r="R4281" s="3"/>
    </row>
    <row r="4282" spans="2:18" x14ac:dyDescent="0.2">
      <c r="B4282" s="1"/>
      <c r="C4282" s="2"/>
      <c r="D4282" s="2"/>
      <c r="F4282" s="1"/>
      <c r="G4282" s="2"/>
      <c r="H4282" s="2"/>
      <c r="J4282" s="3"/>
      <c r="K4282" s="3"/>
      <c r="L4282" s="3"/>
      <c r="N4282" s="3"/>
      <c r="O4282" s="3"/>
      <c r="P4282" s="3"/>
      <c r="R4282" s="3"/>
    </row>
    <row r="4283" spans="2:18" x14ac:dyDescent="0.2">
      <c r="B4283" s="1"/>
      <c r="C4283" s="2"/>
      <c r="D4283" s="2"/>
      <c r="F4283" s="1"/>
      <c r="G4283" s="2"/>
      <c r="H4283" s="2"/>
      <c r="J4283" s="3"/>
      <c r="K4283" s="3"/>
      <c r="L4283" s="3"/>
      <c r="N4283" s="3"/>
      <c r="O4283" s="3"/>
      <c r="P4283" s="3"/>
      <c r="R4283" s="3"/>
    </row>
    <row r="4284" spans="2:18" x14ac:dyDescent="0.2">
      <c r="B4284" s="1"/>
      <c r="C4284" s="2"/>
      <c r="D4284" s="2"/>
      <c r="F4284" s="1"/>
      <c r="G4284" s="2"/>
      <c r="H4284" s="2"/>
      <c r="J4284" s="3"/>
      <c r="K4284" s="3"/>
      <c r="L4284" s="3"/>
      <c r="N4284" s="3"/>
      <c r="O4284" s="3"/>
      <c r="P4284" s="3"/>
      <c r="R4284" s="3"/>
    </row>
    <row r="4285" spans="2:18" x14ac:dyDescent="0.2">
      <c r="B4285" s="1"/>
      <c r="C4285" s="2"/>
      <c r="D4285" s="2"/>
      <c r="F4285" s="1"/>
      <c r="G4285" s="2"/>
      <c r="H4285" s="2"/>
      <c r="J4285" s="3"/>
      <c r="K4285" s="3"/>
      <c r="L4285" s="3"/>
      <c r="N4285" s="3"/>
      <c r="O4285" s="3"/>
      <c r="P4285" s="3"/>
      <c r="R4285" s="3"/>
    </row>
    <row r="4286" spans="2:18" x14ac:dyDescent="0.2">
      <c r="B4286" s="1"/>
      <c r="C4286" s="2"/>
      <c r="D4286" s="2"/>
      <c r="F4286" s="1"/>
      <c r="G4286" s="2"/>
      <c r="H4286" s="2"/>
      <c r="J4286" s="3"/>
      <c r="K4286" s="3"/>
      <c r="L4286" s="3"/>
      <c r="N4286" s="3"/>
      <c r="O4286" s="3"/>
      <c r="P4286" s="3"/>
      <c r="R4286" s="3"/>
    </row>
    <row r="4287" spans="2:18" x14ac:dyDescent="0.2">
      <c r="B4287" s="1"/>
      <c r="C4287" s="2"/>
      <c r="D4287" s="2"/>
      <c r="F4287" s="1"/>
      <c r="G4287" s="2"/>
      <c r="H4287" s="2"/>
      <c r="J4287" s="3"/>
      <c r="K4287" s="3"/>
      <c r="L4287" s="3"/>
      <c r="N4287" s="3"/>
      <c r="O4287" s="3"/>
      <c r="P4287" s="3"/>
      <c r="R4287" s="3"/>
    </row>
    <row r="4288" spans="2:18" x14ac:dyDescent="0.2">
      <c r="B4288" s="1"/>
      <c r="C4288" s="2"/>
      <c r="D4288" s="2"/>
      <c r="F4288" s="1"/>
      <c r="G4288" s="2"/>
      <c r="H4288" s="2"/>
      <c r="J4288" s="3"/>
      <c r="K4288" s="3"/>
      <c r="L4288" s="3"/>
      <c r="N4288" s="3"/>
      <c r="O4288" s="3"/>
      <c r="P4288" s="3"/>
      <c r="R4288" s="3"/>
    </row>
    <row r="4289" spans="2:18" x14ac:dyDescent="0.2">
      <c r="B4289" s="1"/>
      <c r="C4289" s="2"/>
      <c r="D4289" s="2"/>
      <c r="F4289" s="1"/>
      <c r="G4289" s="2"/>
      <c r="H4289" s="2"/>
      <c r="J4289" s="3"/>
      <c r="K4289" s="3"/>
      <c r="L4289" s="3"/>
      <c r="N4289" s="3"/>
      <c r="O4289" s="3"/>
      <c r="P4289" s="3"/>
      <c r="R4289" s="3"/>
    </row>
    <row r="4290" spans="2:18" x14ac:dyDescent="0.2">
      <c r="B4290" s="1"/>
      <c r="C4290" s="2"/>
      <c r="D4290" s="2"/>
      <c r="F4290" s="1"/>
      <c r="G4290" s="2"/>
      <c r="H4290" s="2"/>
      <c r="J4290" s="3"/>
      <c r="K4290" s="3"/>
      <c r="L4290" s="3"/>
      <c r="N4290" s="3"/>
      <c r="O4290" s="3"/>
      <c r="P4290" s="3"/>
      <c r="R4290" s="3"/>
    </row>
    <row r="4291" spans="2:18" x14ac:dyDescent="0.2">
      <c r="B4291" s="1"/>
      <c r="C4291" s="2"/>
      <c r="D4291" s="2"/>
      <c r="F4291" s="1"/>
      <c r="G4291" s="2"/>
      <c r="H4291" s="2"/>
      <c r="J4291" s="3"/>
      <c r="K4291" s="3"/>
      <c r="L4291" s="3"/>
      <c r="N4291" s="3"/>
      <c r="O4291" s="3"/>
      <c r="P4291" s="3"/>
      <c r="R4291" s="3"/>
    </row>
    <row r="4292" spans="2:18" x14ac:dyDescent="0.2">
      <c r="B4292" s="1"/>
      <c r="C4292" s="2"/>
      <c r="D4292" s="2"/>
      <c r="F4292" s="1"/>
      <c r="G4292" s="2"/>
      <c r="H4292" s="2"/>
      <c r="J4292" s="3"/>
      <c r="K4292" s="3"/>
      <c r="L4292" s="3"/>
      <c r="N4292" s="3"/>
      <c r="O4292" s="3"/>
      <c r="P4292" s="3"/>
      <c r="R4292" s="3"/>
    </row>
    <row r="4293" spans="2:18" x14ac:dyDescent="0.2">
      <c r="B4293" s="1"/>
      <c r="C4293" s="2"/>
      <c r="D4293" s="2"/>
      <c r="F4293" s="1"/>
      <c r="G4293" s="2"/>
      <c r="H4293" s="2"/>
      <c r="J4293" s="3"/>
      <c r="K4293" s="3"/>
      <c r="L4293" s="3"/>
      <c r="N4293" s="3"/>
      <c r="O4293" s="3"/>
      <c r="P4293" s="3"/>
      <c r="R4293" s="3"/>
    </row>
    <row r="4294" spans="2:18" x14ac:dyDescent="0.2">
      <c r="B4294" s="1"/>
      <c r="C4294" s="2"/>
      <c r="D4294" s="2"/>
      <c r="F4294" s="1"/>
      <c r="G4294" s="2"/>
      <c r="H4294" s="2"/>
      <c r="J4294" s="3"/>
      <c r="K4294" s="3"/>
      <c r="L4294" s="3"/>
      <c r="N4294" s="3"/>
      <c r="O4294" s="3"/>
      <c r="P4294" s="3"/>
      <c r="R4294" s="3"/>
    </row>
    <row r="4295" spans="2:18" x14ac:dyDescent="0.2">
      <c r="B4295" s="1"/>
      <c r="C4295" s="2"/>
      <c r="D4295" s="2"/>
      <c r="F4295" s="1"/>
      <c r="G4295" s="2"/>
      <c r="H4295" s="2"/>
      <c r="J4295" s="3"/>
      <c r="K4295" s="3"/>
      <c r="L4295" s="3"/>
      <c r="N4295" s="3"/>
      <c r="O4295" s="3"/>
      <c r="P4295" s="3"/>
      <c r="R4295" s="3"/>
    </row>
    <row r="4296" spans="2:18" x14ac:dyDescent="0.2">
      <c r="B4296" s="1"/>
      <c r="C4296" s="2"/>
      <c r="D4296" s="2"/>
      <c r="F4296" s="1"/>
      <c r="G4296" s="2"/>
      <c r="H4296" s="2"/>
      <c r="J4296" s="3"/>
      <c r="K4296" s="3"/>
      <c r="L4296" s="3"/>
      <c r="N4296" s="3"/>
      <c r="O4296" s="3"/>
      <c r="P4296" s="3"/>
      <c r="R4296" s="3"/>
    </row>
    <row r="4297" spans="2:18" x14ac:dyDescent="0.2">
      <c r="B4297" s="1"/>
      <c r="C4297" s="2"/>
      <c r="D4297" s="2"/>
      <c r="F4297" s="1"/>
      <c r="G4297" s="2"/>
      <c r="H4297" s="2"/>
      <c r="J4297" s="3"/>
      <c r="K4297" s="3"/>
      <c r="L4297" s="3"/>
      <c r="N4297" s="3"/>
      <c r="O4297" s="3"/>
      <c r="P4297" s="3"/>
      <c r="R4297" s="3"/>
    </row>
    <row r="4298" spans="2:18" x14ac:dyDescent="0.2">
      <c r="B4298" s="1"/>
      <c r="C4298" s="2"/>
      <c r="D4298" s="2"/>
      <c r="F4298" s="1"/>
      <c r="G4298" s="2"/>
      <c r="H4298" s="2"/>
      <c r="J4298" s="3"/>
      <c r="K4298" s="3"/>
      <c r="L4298" s="3"/>
      <c r="N4298" s="3"/>
      <c r="O4298" s="3"/>
      <c r="P4298" s="3"/>
      <c r="R4298" s="3"/>
    </row>
    <row r="4299" spans="2:18" x14ac:dyDescent="0.2">
      <c r="B4299" s="1"/>
      <c r="C4299" s="2"/>
      <c r="D4299" s="2"/>
      <c r="F4299" s="1"/>
      <c r="G4299" s="2"/>
      <c r="H4299" s="2"/>
      <c r="J4299" s="3"/>
      <c r="K4299" s="3"/>
      <c r="L4299" s="3"/>
      <c r="N4299" s="3"/>
      <c r="O4299" s="3"/>
      <c r="P4299" s="3"/>
      <c r="R4299" s="3"/>
    </row>
    <row r="4300" spans="2:18" x14ac:dyDescent="0.2">
      <c r="B4300" s="1"/>
      <c r="C4300" s="2"/>
      <c r="D4300" s="2"/>
      <c r="F4300" s="1"/>
      <c r="G4300" s="2"/>
      <c r="H4300" s="2"/>
      <c r="J4300" s="3"/>
      <c r="K4300" s="3"/>
      <c r="L4300" s="3"/>
      <c r="N4300" s="3"/>
      <c r="O4300" s="3"/>
      <c r="P4300" s="3"/>
      <c r="R4300" s="3"/>
    </row>
    <row r="4301" spans="2:18" x14ac:dyDescent="0.2">
      <c r="B4301" s="1"/>
      <c r="C4301" s="2"/>
      <c r="D4301" s="2"/>
      <c r="F4301" s="1"/>
      <c r="G4301" s="2"/>
      <c r="H4301" s="2"/>
      <c r="J4301" s="3"/>
      <c r="K4301" s="3"/>
      <c r="L4301" s="3"/>
      <c r="N4301" s="3"/>
      <c r="O4301" s="3"/>
      <c r="P4301" s="3"/>
      <c r="R4301" s="3"/>
    </row>
    <row r="4302" spans="2:18" x14ac:dyDescent="0.2">
      <c r="B4302" s="1"/>
      <c r="C4302" s="2"/>
      <c r="D4302" s="2"/>
      <c r="F4302" s="1"/>
      <c r="G4302" s="2"/>
      <c r="H4302" s="2"/>
      <c r="J4302" s="3"/>
      <c r="K4302" s="3"/>
      <c r="L4302" s="3"/>
      <c r="N4302" s="3"/>
      <c r="O4302" s="3"/>
      <c r="P4302" s="3"/>
      <c r="R4302" s="3"/>
    </row>
    <row r="4303" spans="2:18" x14ac:dyDescent="0.2">
      <c r="B4303" s="1"/>
      <c r="C4303" s="2"/>
      <c r="D4303" s="2"/>
      <c r="F4303" s="1"/>
      <c r="G4303" s="2"/>
      <c r="H4303" s="2"/>
      <c r="J4303" s="3"/>
      <c r="K4303" s="3"/>
      <c r="L4303" s="3"/>
      <c r="N4303" s="3"/>
      <c r="O4303" s="3"/>
      <c r="P4303" s="3"/>
      <c r="R4303" s="3"/>
    </row>
    <row r="4304" spans="2:18" x14ac:dyDescent="0.2">
      <c r="B4304" s="1"/>
      <c r="C4304" s="2"/>
      <c r="D4304" s="2"/>
      <c r="F4304" s="1"/>
      <c r="G4304" s="2"/>
      <c r="H4304" s="2"/>
      <c r="J4304" s="3"/>
      <c r="K4304" s="3"/>
      <c r="L4304" s="3"/>
      <c r="N4304" s="3"/>
      <c r="O4304" s="3"/>
      <c r="P4304" s="3"/>
      <c r="R4304" s="3"/>
    </row>
    <row r="4305" spans="2:18" x14ac:dyDescent="0.2">
      <c r="B4305" s="1"/>
      <c r="C4305" s="2"/>
      <c r="D4305" s="2"/>
      <c r="F4305" s="1"/>
      <c r="G4305" s="2"/>
      <c r="H4305" s="2"/>
      <c r="J4305" s="3"/>
      <c r="K4305" s="3"/>
      <c r="L4305" s="3"/>
      <c r="N4305" s="3"/>
      <c r="O4305" s="3"/>
      <c r="P4305" s="3"/>
      <c r="R4305" s="3"/>
    </row>
    <row r="4306" spans="2:18" x14ac:dyDescent="0.2">
      <c r="B4306" s="1"/>
      <c r="C4306" s="2"/>
      <c r="D4306" s="2"/>
      <c r="F4306" s="1"/>
      <c r="G4306" s="2"/>
      <c r="H4306" s="2"/>
      <c r="J4306" s="3"/>
      <c r="K4306" s="3"/>
      <c r="L4306" s="3"/>
      <c r="N4306" s="3"/>
      <c r="O4306" s="3"/>
      <c r="P4306" s="3"/>
      <c r="R4306" s="3"/>
    </row>
    <row r="4307" spans="2:18" x14ac:dyDescent="0.2">
      <c r="B4307" s="1"/>
      <c r="C4307" s="2"/>
      <c r="D4307" s="2"/>
      <c r="F4307" s="1"/>
      <c r="G4307" s="2"/>
      <c r="H4307" s="2"/>
      <c r="J4307" s="3"/>
      <c r="K4307" s="3"/>
      <c r="L4307" s="3"/>
      <c r="N4307" s="3"/>
      <c r="O4307" s="3"/>
      <c r="P4307" s="3"/>
      <c r="R4307" s="3"/>
    </row>
    <row r="4308" spans="2:18" x14ac:dyDescent="0.2">
      <c r="B4308" s="1"/>
      <c r="C4308" s="2"/>
      <c r="D4308" s="2"/>
      <c r="F4308" s="1"/>
      <c r="G4308" s="2"/>
      <c r="H4308" s="2"/>
      <c r="J4308" s="3"/>
      <c r="K4308" s="3"/>
      <c r="L4308" s="3"/>
      <c r="N4308" s="3"/>
      <c r="O4308" s="3"/>
      <c r="P4308" s="3"/>
      <c r="R4308" s="3"/>
    </row>
    <row r="4309" spans="2:18" x14ac:dyDescent="0.2">
      <c r="B4309" s="1"/>
      <c r="C4309" s="2"/>
      <c r="D4309" s="2"/>
      <c r="F4309" s="1"/>
      <c r="G4309" s="2"/>
      <c r="H4309" s="2"/>
      <c r="J4309" s="3"/>
      <c r="K4309" s="3"/>
      <c r="L4309" s="3"/>
      <c r="N4309" s="3"/>
      <c r="O4309" s="3"/>
      <c r="P4309" s="3"/>
      <c r="R4309" s="3"/>
    </row>
    <row r="4310" spans="2:18" x14ac:dyDescent="0.2">
      <c r="B4310" s="1"/>
      <c r="C4310" s="2"/>
      <c r="D4310" s="2"/>
      <c r="F4310" s="1"/>
      <c r="G4310" s="2"/>
      <c r="H4310" s="2"/>
      <c r="J4310" s="3"/>
      <c r="K4310" s="3"/>
      <c r="L4310" s="3"/>
      <c r="N4310" s="3"/>
      <c r="O4310" s="3"/>
      <c r="P4310" s="3"/>
      <c r="R4310" s="3"/>
    </row>
    <row r="4311" spans="2:18" x14ac:dyDescent="0.2">
      <c r="B4311" s="1"/>
      <c r="C4311" s="2"/>
      <c r="D4311" s="2"/>
      <c r="F4311" s="1"/>
      <c r="G4311" s="2"/>
      <c r="H4311" s="2"/>
      <c r="J4311" s="3"/>
      <c r="K4311" s="3"/>
      <c r="L4311" s="3"/>
      <c r="N4311" s="3"/>
      <c r="O4311" s="3"/>
      <c r="P4311" s="3"/>
      <c r="R4311" s="3"/>
    </row>
    <row r="4312" spans="2:18" x14ac:dyDescent="0.2">
      <c r="B4312" s="1"/>
      <c r="C4312" s="2"/>
      <c r="D4312" s="2"/>
      <c r="F4312" s="1"/>
      <c r="G4312" s="2"/>
      <c r="H4312" s="2"/>
      <c r="J4312" s="3"/>
      <c r="K4312" s="3"/>
      <c r="L4312" s="3"/>
      <c r="N4312" s="3"/>
      <c r="O4312" s="3"/>
      <c r="P4312" s="3"/>
      <c r="R4312" s="3"/>
    </row>
    <row r="4313" spans="2:18" x14ac:dyDescent="0.2">
      <c r="B4313" s="1"/>
      <c r="C4313" s="2"/>
      <c r="D4313" s="2"/>
      <c r="F4313" s="1"/>
      <c r="G4313" s="2"/>
      <c r="H4313" s="2"/>
      <c r="J4313" s="3"/>
      <c r="K4313" s="3"/>
      <c r="L4313" s="3"/>
      <c r="N4313" s="3"/>
      <c r="O4313" s="3"/>
      <c r="P4313" s="3"/>
      <c r="R4313" s="3"/>
    </row>
    <row r="4314" spans="2:18" x14ac:dyDescent="0.2">
      <c r="B4314" s="1"/>
      <c r="C4314" s="2"/>
      <c r="D4314" s="2"/>
      <c r="F4314" s="1"/>
      <c r="G4314" s="2"/>
      <c r="H4314" s="2"/>
      <c r="J4314" s="3"/>
      <c r="K4314" s="3"/>
      <c r="L4314" s="3"/>
      <c r="N4314" s="3"/>
      <c r="O4314" s="3"/>
      <c r="P4314" s="3"/>
      <c r="R4314" s="3"/>
    </row>
    <row r="4315" spans="2:18" x14ac:dyDescent="0.2">
      <c r="B4315" s="1"/>
      <c r="C4315" s="2"/>
      <c r="D4315" s="2"/>
      <c r="F4315" s="1"/>
      <c r="G4315" s="2"/>
      <c r="H4315" s="2"/>
      <c r="J4315" s="3"/>
      <c r="K4315" s="3"/>
      <c r="L4315" s="3"/>
      <c r="N4315" s="3"/>
      <c r="O4315" s="3"/>
      <c r="P4315" s="3"/>
      <c r="R4315" s="3"/>
    </row>
    <row r="4316" spans="2:18" x14ac:dyDescent="0.2">
      <c r="B4316" s="1"/>
      <c r="C4316" s="2"/>
      <c r="D4316" s="2"/>
      <c r="F4316" s="1"/>
      <c r="G4316" s="2"/>
      <c r="H4316" s="2"/>
      <c r="J4316" s="3"/>
      <c r="K4316" s="3"/>
      <c r="L4316" s="3"/>
      <c r="N4316" s="3"/>
      <c r="O4316" s="3"/>
      <c r="P4316" s="3"/>
      <c r="R4316" s="3"/>
    </row>
    <row r="4317" spans="2:18" x14ac:dyDescent="0.2">
      <c r="B4317" s="1"/>
      <c r="C4317" s="2"/>
      <c r="D4317" s="2"/>
      <c r="F4317" s="1"/>
      <c r="G4317" s="2"/>
      <c r="H4317" s="2"/>
      <c r="J4317" s="3"/>
      <c r="K4317" s="3"/>
      <c r="L4317" s="3"/>
      <c r="N4317" s="3"/>
      <c r="O4317" s="3"/>
      <c r="P4317" s="3"/>
      <c r="R4317" s="3"/>
    </row>
    <row r="4318" spans="2:18" x14ac:dyDescent="0.2">
      <c r="B4318" s="1"/>
      <c r="C4318" s="2"/>
      <c r="D4318" s="2"/>
      <c r="F4318" s="1"/>
      <c r="G4318" s="2"/>
      <c r="H4318" s="2"/>
      <c r="J4318" s="3"/>
      <c r="K4318" s="3"/>
      <c r="L4318" s="3"/>
      <c r="N4318" s="3"/>
      <c r="O4318" s="3"/>
      <c r="P4318" s="3"/>
      <c r="R4318" s="3"/>
    </row>
    <row r="4319" spans="2:18" x14ac:dyDescent="0.2">
      <c r="B4319" s="1"/>
      <c r="C4319" s="2"/>
      <c r="D4319" s="2"/>
      <c r="F4319" s="1"/>
      <c r="G4319" s="2"/>
      <c r="H4319" s="2"/>
      <c r="J4319" s="3"/>
      <c r="K4319" s="3"/>
      <c r="L4319" s="3"/>
      <c r="N4319" s="3"/>
      <c r="O4319" s="3"/>
      <c r="P4319" s="3"/>
      <c r="R4319" s="3"/>
    </row>
    <row r="4320" spans="2:18" x14ac:dyDescent="0.2">
      <c r="B4320" s="1"/>
      <c r="C4320" s="2"/>
      <c r="D4320" s="2"/>
      <c r="F4320" s="1"/>
      <c r="G4320" s="2"/>
      <c r="H4320" s="2"/>
      <c r="J4320" s="3"/>
      <c r="K4320" s="3"/>
      <c r="L4320" s="3"/>
      <c r="N4320" s="3"/>
      <c r="O4320" s="3"/>
      <c r="P4320" s="3"/>
      <c r="R4320" s="3"/>
    </row>
    <row r="4321" spans="2:18" x14ac:dyDescent="0.2">
      <c r="B4321" s="1"/>
      <c r="C4321" s="2"/>
      <c r="D4321" s="2"/>
      <c r="F4321" s="1"/>
      <c r="G4321" s="2"/>
      <c r="H4321" s="2"/>
      <c r="J4321" s="3"/>
      <c r="K4321" s="3"/>
      <c r="L4321" s="3"/>
      <c r="N4321" s="3"/>
      <c r="O4321" s="3"/>
      <c r="P4321" s="3"/>
      <c r="R4321" s="3"/>
    </row>
    <row r="4322" spans="2:18" x14ac:dyDescent="0.2">
      <c r="B4322" s="1"/>
      <c r="C4322" s="2"/>
      <c r="D4322" s="2"/>
      <c r="F4322" s="1"/>
      <c r="G4322" s="2"/>
      <c r="H4322" s="2"/>
      <c r="J4322" s="3"/>
      <c r="K4322" s="3"/>
      <c r="L4322" s="3"/>
      <c r="N4322" s="3"/>
      <c r="O4322" s="3"/>
      <c r="P4322" s="3"/>
      <c r="R4322" s="3"/>
    </row>
    <row r="4323" spans="2:18" x14ac:dyDescent="0.2">
      <c r="B4323" s="1"/>
      <c r="C4323" s="2"/>
      <c r="D4323" s="2"/>
      <c r="F4323" s="1"/>
      <c r="G4323" s="2"/>
      <c r="H4323" s="2"/>
      <c r="J4323" s="3"/>
      <c r="K4323" s="3"/>
      <c r="L4323" s="3"/>
      <c r="N4323" s="3"/>
      <c r="O4323" s="3"/>
      <c r="P4323" s="3"/>
      <c r="R4323" s="3"/>
    </row>
    <row r="4324" spans="2:18" x14ac:dyDescent="0.2">
      <c r="B4324" s="1"/>
      <c r="C4324" s="2"/>
      <c r="D4324" s="2"/>
      <c r="F4324" s="1"/>
      <c r="G4324" s="2"/>
      <c r="H4324" s="2"/>
      <c r="J4324" s="3"/>
      <c r="K4324" s="3"/>
      <c r="L4324" s="3"/>
      <c r="N4324" s="3"/>
      <c r="O4324" s="3"/>
      <c r="P4324" s="3"/>
      <c r="R4324" s="3"/>
    </row>
    <row r="4325" spans="2:18" x14ac:dyDescent="0.2">
      <c r="B4325" s="1"/>
      <c r="C4325" s="2"/>
      <c r="D4325" s="2"/>
      <c r="F4325" s="1"/>
      <c r="G4325" s="2"/>
      <c r="H4325" s="2"/>
      <c r="J4325" s="3"/>
      <c r="K4325" s="3"/>
      <c r="L4325" s="3"/>
      <c r="N4325" s="3"/>
      <c r="O4325" s="3"/>
      <c r="P4325" s="3"/>
      <c r="R4325" s="3"/>
    </row>
    <row r="4326" spans="2:18" x14ac:dyDescent="0.2">
      <c r="B4326" s="1"/>
      <c r="C4326" s="2"/>
      <c r="D4326" s="2"/>
      <c r="F4326" s="1"/>
      <c r="G4326" s="2"/>
      <c r="H4326" s="2"/>
      <c r="J4326" s="3"/>
      <c r="K4326" s="3"/>
      <c r="L4326" s="3"/>
      <c r="N4326" s="3"/>
      <c r="O4326" s="3"/>
      <c r="P4326" s="3"/>
      <c r="R4326" s="3"/>
    </row>
    <row r="4327" spans="2:18" x14ac:dyDescent="0.2">
      <c r="B4327" s="1"/>
      <c r="C4327" s="2"/>
      <c r="D4327" s="2"/>
      <c r="F4327" s="1"/>
      <c r="G4327" s="2"/>
      <c r="H4327" s="2"/>
      <c r="J4327" s="3"/>
      <c r="K4327" s="3"/>
      <c r="L4327" s="3"/>
      <c r="N4327" s="3"/>
      <c r="O4327" s="3"/>
      <c r="P4327" s="3"/>
      <c r="R4327" s="3"/>
    </row>
    <row r="4328" spans="2:18" x14ac:dyDescent="0.2">
      <c r="B4328" s="1"/>
      <c r="C4328" s="2"/>
      <c r="D4328" s="2"/>
      <c r="F4328" s="1"/>
      <c r="G4328" s="2"/>
      <c r="H4328" s="2"/>
      <c r="J4328" s="3"/>
      <c r="K4328" s="3"/>
      <c r="L4328" s="3"/>
      <c r="N4328" s="3"/>
      <c r="O4328" s="3"/>
      <c r="P4328" s="3"/>
      <c r="R4328" s="3"/>
    </row>
    <row r="4329" spans="2:18" x14ac:dyDescent="0.2">
      <c r="B4329" s="1"/>
      <c r="C4329" s="2"/>
      <c r="D4329" s="2"/>
      <c r="F4329" s="1"/>
      <c r="G4329" s="2"/>
      <c r="H4329" s="2"/>
      <c r="J4329" s="3"/>
      <c r="K4329" s="3"/>
      <c r="L4329" s="3"/>
      <c r="N4329" s="3"/>
      <c r="O4329" s="3"/>
      <c r="P4329" s="3"/>
      <c r="R4329" s="3"/>
    </row>
    <row r="4330" spans="2:18" x14ac:dyDescent="0.2">
      <c r="B4330" s="1"/>
      <c r="C4330" s="2"/>
      <c r="D4330" s="2"/>
      <c r="F4330" s="1"/>
      <c r="G4330" s="2"/>
      <c r="H4330" s="2"/>
      <c r="J4330" s="3"/>
      <c r="K4330" s="3"/>
      <c r="L4330" s="3"/>
      <c r="N4330" s="3"/>
      <c r="O4330" s="3"/>
      <c r="P4330" s="3"/>
      <c r="R4330" s="3"/>
    </row>
    <row r="4331" spans="2:18" x14ac:dyDescent="0.2">
      <c r="B4331" s="1"/>
      <c r="C4331" s="2"/>
      <c r="D4331" s="2"/>
      <c r="F4331" s="1"/>
      <c r="G4331" s="2"/>
      <c r="H4331" s="2"/>
      <c r="J4331" s="3"/>
      <c r="K4331" s="3"/>
      <c r="L4331" s="3"/>
      <c r="N4331" s="3"/>
      <c r="O4331" s="3"/>
      <c r="P4331" s="3"/>
      <c r="R4331" s="3"/>
    </row>
    <row r="4332" spans="2:18" x14ac:dyDescent="0.2">
      <c r="B4332" s="1"/>
      <c r="C4332" s="2"/>
      <c r="D4332" s="2"/>
      <c r="F4332" s="1"/>
      <c r="G4332" s="2"/>
      <c r="H4332" s="2"/>
      <c r="J4332" s="3"/>
      <c r="K4332" s="3"/>
      <c r="L4332" s="3"/>
      <c r="N4332" s="3"/>
      <c r="O4332" s="3"/>
      <c r="P4332" s="3"/>
      <c r="R4332" s="3"/>
    </row>
    <row r="4333" spans="2:18" x14ac:dyDescent="0.2">
      <c r="B4333" s="1"/>
      <c r="C4333" s="2"/>
      <c r="D4333" s="2"/>
      <c r="F4333" s="1"/>
      <c r="G4333" s="2"/>
      <c r="H4333" s="2"/>
      <c r="J4333" s="3"/>
      <c r="K4333" s="3"/>
      <c r="L4333" s="3"/>
      <c r="N4333" s="3"/>
      <c r="O4333" s="3"/>
      <c r="P4333" s="3"/>
      <c r="R4333" s="3"/>
    </row>
    <row r="4334" spans="2:18" x14ac:dyDescent="0.2">
      <c r="B4334" s="1"/>
      <c r="C4334" s="2"/>
      <c r="D4334" s="2"/>
      <c r="F4334" s="1"/>
      <c r="G4334" s="2"/>
      <c r="H4334" s="2"/>
      <c r="J4334" s="3"/>
      <c r="K4334" s="3"/>
      <c r="L4334" s="3"/>
      <c r="N4334" s="3"/>
      <c r="O4334" s="3"/>
      <c r="P4334" s="3"/>
      <c r="R4334" s="3"/>
    </row>
    <row r="4335" spans="2:18" x14ac:dyDescent="0.2">
      <c r="B4335" s="1"/>
      <c r="C4335" s="2"/>
      <c r="D4335" s="2"/>
      <c r="F4335" s="1"/>
      <c r="G4335" s="2"/>
      <c r="H4335" s="2"/>
      <c r="J4335" s="3"/>
      <c r="K4335" s="3"/>
      <c r="L4335" s="3"/>
      <c r="N4335" s="3"/>
      <c r="O4335" s="3"/>
      <c r="P4335" s="3"/>
      <c r="R4335" s="3"/>
    </row>
    <row r="4336" spans="2:18" x14ac:dyDescent="0.2">
      <c r="B4336" s="1"/>
      <c r="C4336" s="2"/>
      <c r="D4336" s="2"/>
      <c r="F4336" s="1"/>
      <c r="G4336" s="2"/>
      <c r="H4336" s="2"/>
      <c r="J4336" s="3"/>
      <c r="K4336" s="3"/>
      <c r="L4336" s="3"/>
      <c r="N4336" s="3"/>
      <c r="O4336" s="3"/>
      <c r="P4336" s="3"/>
      <c r="R4336" s="3"/>
    </row>
    <row r="4337" spans="2:18" x14ac:dyDescent="0.2">
      <c r="B4337" s="1"/>
      <c r="C4337" s="2"/>
      <c r="D4337" s="2"/>
      <c r="F4337" s="1"/>
      <c r="G4337" s="2"/>
      <c r="H4337" s="2"/>
      <c r="J4337" s="3"/>
      <c r="K4337" s="3"/>
      <c r="L4337" s="3"/>
      <c r="N4337" s="3"/>
      <c r="O4337" s="3"/>
      <c r="P4337" s="3"/>
      <c r="R4337" s="3"/>
    </row>
    <row r="4338" spans="2:18" x14ac:dyDescent="0.2">
      <c r="B4338" s="1"/>
      <c r="C4338" s="2"/>
      <c r="D4338" s="2"/>
      <c r="F4338" s="1"/>
      <c r="G4338" s="2"/>
      <c r="H4338" s="2"/>
      <c r="J4338" s="3"/>
      <c r="K4338" s="3"/>
      <c r="L4338" s="3"/>
      <c r="N4338" s="3"/>
      <c r="O4338" s="3"/>
      <c r="P4338" s="3"/>
      <c r="R4338" s="3"/>
    </row>
    <row r="4339" spans="2:18" x14ac:dyDescent="0.2">
      <c r="B4339" s="1"/>
      <c r="C4339" s="2"/>
      <c r="D4339" s="2"/>
      <c r="F4339" s="1"/>
      <c r="G4339" s="2"/>
      <c r="H4339" s="2"/>
      <c r="J4339" s="3"/>
      <c r="K4339" s="3"/>
      <c r="L4339" s="3"/>
      <c r="N4339" s="3"/>
      <c r="O4339" s="3"/>
      <c r="P4339" s="3"/>
      <c r="R4339" s="3"/>
    </row>
    <row r="4340" spans="2:18" x14ac:dyDescent="0.2">
      <c r="B4340" s="1"/>
      <c r="C4340" s="2"/>
      <c r="D4340" s="2"/>
      <c r="F4340" s="1"/>
      <c r="G4340" s="2"/>
      <c r="H4340" s="2"/>
      <c r="J4340" s="3"/>
      <c r="K4340" s="3"/>
      <c r="L4340" s="3"/>
      <c r="N4340" s="3"/>
      <c r="O4340" s="3"/>
      <c r="P4340" s="3"/>
      <c r="R4340" s="3"/>
    </row>
    <row r="4341" spans="2:18" x14ac:dyDescent="0.2">
      <c r="B4341" s="1"/>
      <c r="C4341" s="2"/>
      <c r="D4341" s="2"/>
      <c r="F4341" s="1"/>
      <c r="G4341" s="2"/>
      <c r="H4341" s="2"/>
      <c r="J4341" s="3"/>
      <c r="K4341" s="3"/>
      <c r="L4341" s="3"/>
      <c r="N4341" s="3"/>
      <c r="O4341" s="3"/>
      <c r="P4341" s="3"/>
      <c r="R4341" s="3"/>
    </row>
    <row r="4342" spans="2:18" x14ac:dyDescent="0.2">
      <c r="B4342" s="1"/>
      <c r="C4342" s="2"/>
      <c r="D4342" s="2"/>
      <c r="F4342" s="1"/>
      <c r="G4342" s="2"/>
      <c r="H4342" s="2"/>
      <c r="J4342" s="3"/>
      <c r="K4342" s="3"/>
      <c r="L4342" s="3"/>
      <c r="N4342" s="3"/>
      <c r="O4342" s="3"/>
      <c r="P4342" s="3"/>
      <c r="R4342" s="3"/>
    </row>
    <row r="4343" spans="2:18" x14ac:dyDescent="0.2">
      <c r="B4343" s="1"/>
      <c r="C4343" s="2"/>
      <c r="D4343" s="2"/>
      <c r="F4343" s="1"/>
      <c r="G4343" s="2"/>
      <c r="H4343" s="2"/>
      <c r="J4343" s="3"/>
      <c r="K4343" s="3"/>
      <c r="L4343" s="3"/>
      <c r="N4343" s="3"/>
      <c r="O4343" s="3"/>
      <c r="P4343" s="3"/>
      <c r="R4343" s="3"/>
    </row>
    <row r="4344" spans="2:18" x14ac:dyDescent="0.2">
      <c r="B4344" s="1"/>
      <c r="C4344" s="2"/>
      <c r="D4344" s="2"/>
      <c r="F4344" s="1"/>
      <c r="G4344" s="2"/>
      <c r="H4344" s="2"/>
      <c r="J4344" s="3"/>
      <c r="K4344" s="3"/>
      <c r="L4344" s="3"/>
      <c r="N4344" s="3"/>
      <c r="O4344" s="3"/>
      <c r="P4344" s="3"/>
      <c r="R4344" s="3"/>
    </row>
    <row r="4345" spans="2:18" x14ac:dyDescent="0.2">
      <c r="B4345" s="1"/>
      <c r="C4345" s="2"/>
      <c r="D4345" s="2"/>
      <c r="F4345" s="1"/>
      <c r="G4345" s="2"/>
      <c r="H4345" s="2"/>
      <c r="J4345" s="3"/>
      <c r="K4345" s="3"/>
      <c r="L4345" s="3"/>
      <c r="N4345" s="3"/>
      <c r="O4345" s="3"/>
      <c r="P4345" s="3"/>
      <c r="R4345" s="3"/>
    </row>
    <row r="4346" spans="2:18" x14ac:dyDescent="0.2">
      <c r="B4346" s="1"/>
      <c r="C4346" s="2"/>
      <c r="D4346" s="2"/>
      <c r="F4346" s="1"/>
      <c r="G4346" s="2"/>
      <c r="H4346" s="2"/>
      <c r="J4346" s="3"/>
      <c r="K4346" s="3"/>
      <c r="L4346" s="3"/>
      <c r="N4346" s="3"/>
      <c r="O4346" s="3"/>
      <c r="P4346" s="3"/>
      <c r="R4346" s="3"/>
    </row>
    <row r="4347" spans="2:18" x14ac:dyDescent="0.2">
      <c r="B4347" s="1"/>
      <c r="C4347" s="2"/>
      <c r="D4347" s="2"/>
      <c r="F4347" s="1"/>
      <c r="G4347" s="2"/>
      <c r="H4347" s="2"/>
      <c r="J4347" s="3"/>
      <c r="K4347" s="3"/>
      <c r="L4347" s="3"/>
      <c r="N4347" s="3"/>
      <c r="O4347" s="3"/>
      <c r="P4347" s="3"/>
      <c r="R4347" s="3"/>
    </row>
    <row r="4348" spans="2:18" x14ac:dyDescent="0.2">
      <c r="B4348" s="1"/>
      <c r="C4348" s="2"/>
      <c r="D4348" s="2"/>
      <c r="F4348" s="1"/>
      <c r="G4348" s="2"/>
      <c r="H4348" s="2"/>
      <c r="J4348" s="3"/>
      <c r="K4348" s="3"/>
      <c r="L4348" s="3"/>
      <c r="N4348" s="3"/>
      <c r="O4348" s="3"/>
      <c r="P4348" s="3"/>
      <c r="R4348" s="3"/>
    </row>
    <row r="4349" spans="2:18" x14ac:dyDescent="0.2">
      <c r="B4349" s="1"/>
      <c r="C4349" s="2"/>
      <c r="D4349" s="2"/>
      <c r="F4349" s="1"/>
      <c r="G4349" s="2"/>
      <c r="H4349" s="2"/>
      <c r="J4349" s="3"/>
      <c r="K4349" s="3"/>
      <c r="L4349" s="3"/>
      <c r="N4349" s="3"/>
      <c r="O4349" s="3"/>
      <c r="P4349" s="3"/>
      <c r="R4349" s="3"/>
    </row>
    <row r="4350" spans="2:18" x14ac:dyDescent="0.2">
      <c r="B4350" s="1"/>
      <c r="C4350" s="2"/>
      <c r="D4350" s="2"/>
      <c r="F4350" s="1"/>
      <c r="G4350" s="2"/>
      <c r="H4350" s="2"/>
      <c r="J4350" s="3"/>
      <c r="K4350" s="3"/>
      <c r="L4350" s="3"/>
      <c r="N4350" s="3"/>
      <c r="O4350" s="3"/>
      <c r="P4350" s="3"/>
      <c r="R4350" s="3"/>
    </row>
    <row r="4351" spans="2:18" x14ac:dyDescent="0.2">
      <c r="B4351" s="1"/>
      <c r="C4351" s="2"/>
      <c r="D4351" s="2"/>
      <c r="F4351" s="1"/>
      <c r="G4351" s="2"/>
      <c r="H4351" s="2"/>
      <c r="J4351" s="3"/>
      <c r="K4351" s="3"/>
      <c r="L4351" s="3"/>
      <c r="N4351" s="3"/>
      <c r="O4351" s="3"/>
      <c r="P4351" s="3"/>
      <c r="R4351" s="3"/>
    </row>
    <row r="4352" spans="2:18" x14ac:dyDescent="0.2">
      <c r="B4352" s="1"/>
      <c r="C4352" s="2"/>
      <c r="D4352" s="2"/>
      <c r="F4352" s="1"/>
      <c r="G4352" s="2"/>
      <c r="H4352" s="2"/>
      <c r="J4352" s="3"/>
      <c r="K4352" s="3"/>
      <c r="L4352" s="3"/>
      <c r="N4352" s="3"/>
      <c r="O4352" s="3"/>
      <c r="P4352" s="3"/>
      <c r="R4352" s="3"/>
    </row>
    <row r="4353" spans="2:18" x14ac:dyDescent="0.2">
      <c r="B4353" s="1"/>
      <c r="C4353" s="2"/>
      <c r="D4353" s="2"/>
      <c r="F4353" s="1"/>
      <c r="G4353" s="2"/>
      <c r="H4353" s="2"/>
      <c r="J4353" s="3"/>
      <c r="K4353" s="3"/>
      <c r="L4353" s="3"/>
      <c r="N4353" s="3"/>
      <c r="O4353" s="3"/>
      <c r="P4353" s="3"/>
      <c r="R4353" s="3"/>
    </row>
    <row r="4354" spans="2:18" x14ac:dyDescent="0.2">
      <c r="B4354" s="1"/>
      <c r="C4354" s="2"/>
      <c r="D4354" s="2"/>
      <c r="F4354" s="1"/>
      <c r="G4354" s="2"/>
      <c r="H4354" s="2"/>
      <c r="J4354" s="3"/>
      <c r="K4354" s="3"/>
      <c r="L4354" s="3"/>
      <c r="N4354" s="3"/>
      <c r="O4354" s="3"/>
      <c r="P4354" s="3"/>
      <c r="R4354" s="3"/>
    </row>
    <row r="4355" spans="2:18" x14ac:dyDescent="0.2">
      <c r="B4355" s="1"/>
      <c r="C4355" s="2"/>
      <c r="D4355" s="2"/>
      <c r="F4355" s="1"/>
      <c r="G4355" s="2"/>
      <c r="H4355" s="2"/>
      <c r="J4355" s="3"/>
      <c r="K4355" s="3"/>
      <c r="L4355" s="3"/>
      <c r="N4355" s="3"/>
      <c r="O4355" s="3"/>
      <c r="P4355" s="3"/>
      <c r="R4355" s="3"/>
    </row>
    <row r="4356" spans="2:18" x14ac:dyDescent="0.2">
      <c r="B4356" s="1"/>
      <c r="C4356" s="2"/>
      <c r="D4356" s="2"/>
      <c r="F4356" s="1"/>
      <c r="G4356" s="2"/>
      <c r="H4356" s="2"/>
      <c r="J4356" s="3"/>
      <c r="K4356" s="3"/>
      <c r="L4356" s="3"/>
      <c r="N4356" s="3"/>
      <c r="O4356" s="3"/>
      <c r="P4356" s="3"/>
      <c r="R4356" s="3"/>
    </row>
    <row r="4357" spans="2:18" x14ac:dyDescent="0.2">
      <c r="B4357" s="1"/>
      <c r="C4357" s="2"/>
      <c r="D4357" s="2"/>
      <c r="F4357" s="1"/>
      <c r="G4357" s="2"/>
      <c r="H4357" s="2"/>
      <c r="J4357" s="3"/>
      <c r="K4357" s="3"/>
      <c r="L4357" s="3"/>
      <c r="N4357" s="3"/>
      <c r="O4357" s="3"/>
      <c r="P4357" s="3"/>
      <c r="R4357" s="3"/>
    </row>
    <row r="4358" spans="2:18" x14ac:dyDescent="0.2">
      <c r="B4358" s="1"/>
      <c r="C4358" s="2"/>
      <c r="D4358" s="2"/>
      <c r="F4358" s="1"/>
      <c r="G4358" s="2"/>
      <c r="H4358" s="2"/>
      <c r="J4358" s="3"/>
      <c r="K4358" s="3"/>
      <c r="L4358" s="3"/>
      <c r="N4358" s="3"/>
      <c r="O4358" s="3"/>
      <c r="P4358" s="3"/>
      <c r="R4358" s="3"/>
    </row>
    <row r="4359" spans="2:18" x14ac:dyDescent="0.2">
      <c r="B4359" s="1"/>
      <c r="C4359" s="2"/>
      <c r="D4359" s="2"/>
      <c r="F4359" s="1"/>
      <c r="G4359" s="2"/>
      <c r="H4359" s="2"/>
      <c r="J4359" s="3"/>
      <c r="K4359" s="3"/>
      <c r="L4359" s="3"/>
      <c r="N4359" s="3"/>
      <c r="O4359" s="3"/>
      <c r="P4359" s="3"/>
      <c r="R4359" s="3"/>
    </row>
    <row r="4360" spans="2:18" x14ac:dyDescent="0.2">
      <c r="B4360" s="1"/>
      <c r="C4360" s="2"/>
      <c r="D4360" s="2"/>
      <c r="F4360" s="1"/>
      <c r="G4360" s="2"/>
      <c r="H4360" s="2"/>
      <c r="J4360" s="3"/>
      <c r="K4360" s="3"/>
      <c r="L4360" s="3"/>
      <c r="N4360" s="3"/>
      <c r="O4360" s="3"/>
      <c r="P4360" s="3"/>
      <c r="R4360" s="3"/>
    </row>
    <row r="4361" spans="2:18" x14ac:dyDescent="0.2">
      <c r="B4361" s="1"/>
      <c r="C4361" s="2"/>
      <c r="D4361" s="2"/>
      <c r="F4361" s="1"/>
      <c r="G4361" s="2"/>
      <c r="H4361" s="2"/>
      <c r="J4361" s="3"/>
      <c r="K4361" s="3"/>
      <c r="L4361" s="3"/>
      <c r="N4361" s="3"/>
      <c r="O4361" s="3"/>
      <c r="P4361" s="3"/>
      <c r="R4361" s="3"/>
    </row>
    <row r="4362" spans="2:18" x14ac:dyDescent="0.2">
      <c r="B4362" s="1"/>
      <c r="C4362" s="2"/>
      <c r="D4362" s="2"/>
      <c r="F4362" s="1"/>
      <c r="G4362" s="2"/>
      <c r="H4362" s="2"/>
      <c r="J4362" s="3"/>
      <c r="K4362" s="3"/>
      <c r="L4362" s="3"/>
      <c r="N4362" s="3"/>
      <c r="O4362" s="3"/>
      <c r="P4362" s="3"/>
      <c r="R4362" s="3"/>
    </row>
    <row r="4363" spans="2:18" x14ac:dyDescent="0.2">
      <c r="B4363" s="1"/>
      <c r="C4363" s="2"/>
      <c r="D4363" s="2"/>
      <c r="F4363" s="1"/>
      <c r="G4363" s="2"/>
      <c r="H4363" s="2"/>
      <c r="J4363" s="3"/>
      <c r="K4363" s="3"/>
      <c r="L4363" s="3"/>
      <c r="N4363" s="3"/>
      <c r="O4363" s="3"/>
      <c r="P4363" s="3"/>
      <c r="R4363" s="3"/>
    </row>
    <row r="4364" spans="2:18" x14ac:dyDescent="0.2">
      <c r="B4364" s="1"/>
      <c r="C4364" s="2"/>
      <c r="D4364" s="2"/>
      <c r="F4364" s="1"/>
      <c r="G4364" s="2"/>
      <c r="H4364" s="2"/>
      <c r="J4364" s="3"/>
      <c r="K4364" s="3"/>
      <c r="L4364" s="3"/>
      <c r="N4364" s="3"/>
      <c r="O4364" s="3"/>
      <c r="P4364" s="3"/>
      <c r="R4364" s="3"/>
    </row>
    <row r="4365" spans="2:18" x14ac:dyDescent="0.2">
      <c r="B4365" s="1"/>
      <c r="C4365" s="2"/>
      <c r="D4365" s="2"/>
      <c r="F4365" s="1"/>
      <c r="G4365" s="2"/>
      <c r="H4365" s="2"/>
      <c r="J4365" s="3"/>
      <c r="K4365" s="3"/>
      <c r="L4365" s="3"/>
      <c r="N4365" s="3"/>
      <c r="O4365" s="3"/>
      <c r="P4365" s="3"/>
      <c r="R4365" s="3"/>
    </row>
    <row r="4366" spans="2:18" x14ac:dyDescent="0.2">
      <c r="B4366" s="1"/>
      <c r="C4366" s="2"/>
      <c r="D4366" s="2"/>
      <c r="F4366" s="1"/>
      <c r="G4366" s="2"/>
      <c r="H4366" s="2"/>
      <c r="J4366" s="3"/>
      <c r="K4366" s="3"/>
      <c r="L4366" s="3"/>
      <c r="N4366" s="3"/>
      <c r="O4366" s="3"/>
      <c r="P4366" s="3"/>
      <c r="R4366" s="3"/>
    </row>
    <row r="4367" spans="2:18" x14ac:dyDescent="0.2">
      <c r="B4367" s="1"/>
      <c r="C4367" s="2"/>
      <c r="D4367" s="2"/>
      <c r="F4367" s="1"/>
      <c r="G4367" s="2"/>
      <c r="H4367" s="2"/>
      <c r="J4367" s="3"/>
      <c r="K4367" s="3"/>
      <c r="L4367" s="3"/>
      <c r="N4367" s="3"/>
      <c r="O4367" s="3"/>
      <c r="P4367" s="3"/>
      <c r="R4367" s="3"/>
    </row>
    <row r="4368" spans="2:18" x14ac:dyDescent="0.2">
      <c r="B4368" s="1"/>
      <c r="C4368" s="2"/>
      <c r="D4368" s="2"/>
      <c r="F4368" s="1"/>
      <c r="G4368" s="2"/>
      <c r="H4368" s="2"/>
      <c r="J4368" s="3"/>
      <c r="K4368" s="3"/>
      <c r="L4368" s="3"/>
      <c r="N4368" s="3"/>
      <c r="O4368" s="3"/>
      <c r="P4368" s="3"/>
      <c r="R4368" s="3"/>
    </row>
    <row r="4369" spans="2:18" x14ac:dyDescent="0.2">
      <c r="B4369" s="1"/>
      <c r="C4369" s="2"/>
      <c r="D4369" s="2"/>
      <c r="F4369" s="1"/>
      <c r="G4369" s="2"/>
      <c r="H4369" s="2"/>
      <c r="J4369" s="3"/>
      <c r="K4369" s="3"/>
      <c r="L4369" s="3"/>
      <c r="N4369" s="3"/>
      <c r="O4369" s="3"/>
      <c r="P4369" s="3"/>
      <c r="R4369" s="3"/>
    </row>
    <row r="4370" spans="2:18" x14ac:dyDescent="0.2">
      <c r="B4370" s="1"/>
      <c r="C4370" s="2"/>
      <c r="D4370" s="2"/>
      <c r="F4370" s="1"/>
      <c r="G4370" s="2"/>
      <c r="H4370" s="2"/>
      <c r="J4370" s="3"/>
      <c r="K4370" s="3"/>
      <c r="L4370" s="3"/>
      <c r="N4370" s="3"/>
      <c r="O4370" s="3"/>
      <c r="P4370" s="3"/>
      <c r="R4370" s="3"/>
    </row>
    <row r="4371" spans="2:18" x14ac:dyDescent="0.2">
      <c r="B4371" s="1"/>
      <c r="C4371" s="2"/>
      <c r="D4371" s="2"/>
      <c r="F4371" s="1"/>
      <c r="G4371" s="2"/>
      <c r="H4371" s="2"/>
      <c r="J4371" s="3"/>
      <c r="K4371" s="3"/>
      <c r="L4371" s="3"/>
      <c r="N4371" s="3"/>
      <c r="O4371" s="3"/>
      <c r="P4371" s="3"/>
      <c r="R4371" s="3"/>
    </row>
    <row r="4372" spans="2:18" x14ac:dyDescent="0.2">
      <c r="B4372" s="1"/>
      <c r="C4372" s="2"/>
      <c r="D4372" s="2"/>
      <c r="F4372" s="1"/>
      <c r="G4372" s="2"/>
      <c r="H4372" s="2"/>
      <c r="J4372" s="3"/>
      <c r="K4372" s="3"/>
      <c r="L4372" s="3"/>
      <c r="N4372" s="3"/>
      <c r="O4372" s="3"/>
      <c r="P4372" s="3"/>
      <c r="R4372" s="3"/>
    </row>
    <row r="4373" spans="2:18" x14ac:dyDescent="0.2">
      <c r="B4373" s="1"/>
      <c r="C4373" s="2"/>
      <c r="D4373" s="2"/>
      <c r="F4373" s="1"/>
      <c r="G4373" s="2"/>
      <c r="H4373" s="2"/>
      <c r="J4373" s="3"/>
      <c r="K4373" s="3"/>
      <c r="L4373" s="3"/>
      <c r="N4373" s="3"/>
      <c r="O4373" s="3"/>
      <c r="P4373" s="3"/>
      <c r="R4373" s="3"/>
    </row>
    <row r="4374" spans="2:18" x14ac:dyDescent="0.2">
      <c r="B4374" s="1"/>
      <c r="C4374" s="2"/>
      <c r="D4374" s="2"/>
      <c r="F4374" s="1"/>
      <c r="G4374" s="2"/>
      <c r="H4374" s="2"/>
      <c r="J4374" s="3"/>
      <c r="K4374" s="3"/>
      <c r="L4374" s="3"/>
      <c r="N4374" s="3"/>
      <c r="O4374" s="3"/>
      <c r="P4374" s="3"/>
      <c r="R4374" s="3"/>
    </row>
    <row r="4375" spans="2:18" x14ac:dyDescent="0.2">
      <c r="B4375" s="1"/>
      <c r="C4375" s="2"/>
      <c r="D4375" s="2"/>
      <c r="F4375" s="1"/>
      <c r="G4375" s="2"/>
      <c r="H4375" s="2"/>
      <c r="J4375" s="3"/>
      <c r="K4375" s="3"/>
      <c r="L4375" s="3"/>
      <c r="N4375" s="3"/>
      <c r="O4375" s="3"/>
      <c r="P4375" s="3"/>
      <c r="R4375" s="3"/>
    </row>
    <row r="4376" spans="2:18" x14ac:dyDescent="0.2">
      <c r="B4376" s="1"/>
      <c r="C4376" s="2"/>
      <c r="D4376" s="2"/>
      <c r="F4376" s="1"/>
      <c r="G4376" s="2"/>
      <c r="H4376" s="2"/>
      <c r="J4376" s="3"/>
      <c r="K4376" s="3"/>
      <c r="L4376" s="3"/>
      <c r="N4376" s="3"/>
      <c r="O4376" s="3"/>
      <c r="P4376" s="3"/>
      <c r="R4376" s="3"/>
    </row>
    <row r="4377" spans="2:18" x14ac:dyDescent="0.2">
      <c r="B4377" s="1"/>
      <c r="C4377" s="2"/>
      <c r="D4377" s="2"/>
      <c r="F4377" s="1"/>
      <c r="G4377" s="2"/>
      <c r="H4377" s="2"/>
      <c r="J4377" s="3"/>
      <c r="K4377" s="3"/>
      <c r="L4377" s="3"/>
      <c r="N4377" s="3"/>
      <c r="O4377" s="3"/>
      <c r="P4377" s="3"/>
      <c r="R4377" s="3"/>
    </row>
    <row r="4378" spans="2:18" x14ac:dyDescent="0.2">
      <c r="B4378" s="1"/>
      <c r="C4378" s="2"/>
      <c r="D4378" s="2"/>
      <c r="F4378" s="1"/>
      <c r="G4378" s="2"/>
      <c r="H4378" s="2"/>
      <c r="J4378" s="3"/>
      <c r="K4378" s="3"/>
      <c r="L4378" s="3"/>
      <c r="N4378" s="3"/>
      <c r="O4378" s="3"/>
      <c r="P4378" s="3"/>
      <c r="R4378" s="3"/>
    </row>
    <row r="4379" spans="2:18" x14ac:dyDescent="0.2">
      <c r="B4379" s="1"/>
      <c r="C4379" s="2"/>
      <c r="D4379" s="2"/>
      <c r="F4379" s="1"/>
      <c r="G4379" s="2"/>
      <c r="H4379" s="2"/>
      <c r="J4379" s="3"/>
      <c r="K4379" s="3"/>
      <c r="L4379" s="3"/>
      <c r="N4379" s="3"/>
      <c r="O4379" s="3"/>
      <c r="P4379" s="3"/>
      <c r="R4379" s="3"/>
    </row>
    <row r="4380" spans="2:18" x14ac:dyDescent="0.2">
      <c r="B4380" s="1"/>
      <c r="C4380" s="2"/>
      <c r="D4380" s="2"/>
      <c r="F4380" s="1"/>
      <c r="G4380" s="2"/>
      <c r="H4380" s="2"/>
      <c r="J4380" s="3"/>
      <c r="K4380" s="3"/>
      <c r="L4380" s="3"/>
      <c r="N4380" s="3"/>
      <c r="O4380" s="3"/>
      <c r="P4380" s="3"/>
      <c r="R4380" s="3"/>
    </row>
    <row r="4381" spans="2:18" x14ac:dyDescent="0.2">
      <c r="B4381" s="1"/>
      <c r="C4381" s="2"/>
      <c r="D4381" s="2"/>
      <c r="F4381" s="1"/>
      <c r="G4381" s="2"/>
      <c r="H4381" s="2"/>
      <c r="J4381" s="3"/>
      <c r="K4381" s="3"/>
      <c r="L4381" s="3"/>
      <c r="N4381" s="3"/>
      <c r="O4381" s="3"/>
      <c r="P4381" s="3"/>
      <c r="R4381" s="3"/>
    </row>
    <row r="4382" spans="2:18" x14ac:dyDescent="0.2">
      <c r="B4382" s="1"/>
      <c r="C4382" s="2"/>
      <c r="D4382" s="2"/>
      <c r="F4382" s="1"/>
      <c r="G4382" s="2"/>
      <c r="H4382" s="2"/>
      <c r="J4382" s="3"/>
      <c r="K4382" s="3"/>
      <c r="L4382" s="3"/>
      <c r="N4382" s="3"/>
      <c r="O4382" s="3"/>
      <c r="P4382" s="3"/>
      <c r="R4382" s="3"/>
    </row>
    <row r="4383" spans="2:18" x14ac:dyDescent="0.2">
      <c r="B4383" s="1"/>
      <c r="C4383" s="2"/>
      <c r="D4383" s="2"/>
      <c r="F4383" s="1"/>
      <c r="G4383" s="2"/>
      <c r="H4383" s="2"/>
      <c r="J4383" s="3"/>
      <c r="K4383" s="3"/>
      <c r="L4383" s="3"/>
      <c r="N4383" s="3"/>
      <c r="O4383" s="3"/>
      <c r="P4383" s="3"/>
      <c r="R4383" s="3"/>
    </row>
    <row r="4384" spans="2:18" x14ac:dyDescent="0.2">
      <c r="B4384" s="1"/>
      <c r="C4384" s="2"/>
      <c r="D4384" s="2"/>
      <c r="F4384" s="1"/>
      <c r="G4384" s="2"/>
      <c r="H4384" s="2"/>
      <c r="J4384" s="3"/>
      <c r="K4384" s="3"/>
      <c r="L4384" s="3"/>
      <c r="N4384" s="3"/>
      <c r="O4384" s="3"/>
      <c r="P4384" s="3"/>
      <c r="R4384" s="3"/>
    </row>
    <row r="4385" spans="2:18" x14ac:dyDescent="0.2">
      <c r="B4385" s="1"/>
      <c r="C4385" s="2"/>
      <c r="D4385" s="2"/>
      <c r="F4385" s="1"/>
      <c r="G4385" s="2"/>
      <c r="H4385" s="2"/>
      <c r="J4385" s="3"/>
      <c r="K4385" s="3"/>
      <c r="L4385" s="3"/>
      <c r="N4385" s="3"/>
      <c r="O4385" s="3"/>
      <c r="P4385" s="3"/>
      <c r="R4385" s="3"/>
    </row>
    <row r="4386" spans="2:18" x14ac:dyDescent="0.2">
      <c r="B4386" s="1"/>
      <c r="C4386" s="2"/>
      <c r="D4386" s="2"/>
      <c r="F4386" s="1"/>
      <c r="G4386" s="2"/>
      <c r="H4386" s="2"/>
      <c r="J4386" s="3"/>
      <c r="K4386" s="3"/>
      <c r="L4386" s="3"/>
      <c r="N4386" s="3"/>
      <c r="O4386" s="3"/>
      <c r="P4386" s="3"/>
      <c r="R4386" s="3"/>
    </row>
    <row r="4387" spans="2:18" x14ac:dyDescent="0.2">
      <c r="B4387" s="1"/>
      <c r="C4387" s="2"/>
      <c r="D4387" s="2"/>
      <c r="F4387" s="1"/>
      <c r="G4387" s="2"/>
      <c r="H4387" s="2"/>
      <c r="J4387" s="3"/>
      <c r="K4387" s="3"/>
      <c r="L4387" s="3"/>
      <c r="N4387" s="3"/>
      <c r="O4387" s="3"/>
      <c r="P4387" s="3"/>
      <c r="R4387" s="3"/>
    </row>
    <row r="4388" spans="2:18" x14ac:dyDescent="0.2">
      <c r="B4388" s="1"/>
      <c r="C4388" s="2"/>
      <c r="D4388" s="2"/>
      <c r="F4388" s="1"/>
      <c r="G4388" s="2"/>
      <c r="H4388" s="2"/>
      <c r="J4388" s="3"/>
      <c r="K4388" s="3"/>
      <c r="L4388" s="3"/>
      <c r="N4388" s="3"/>
      <c r="O4388" s="3"/>
      <c r="P4388" s="3"/>
      <c r="R4388" s="3"/>
    </row>
    <row r="4389" spans="2:18" x14ac:dyDescent="0.2">
      <c r="B4389" s="1"/>
      <c r="C4389" s="2"/>
      <c r="D4389" s="2"/>
      <c r="F4389" s="1"/>
      <c r="G4389" s="2"/>
      <c r="H4389" s="2"/>
      <c r="J4389" s="3"/>
      <c r="K4389" s="3"/>
      <c r="L4389" s="3"/>
      <c r="N4389" s="3"/>
      <c r="O4389" s="3"/>
      <c r="P4389" s="3"/>
      <c r="R4389" s="3"/>
    </row>
    <row r="4390" spans="2:18" x14ac:dyDescent="0.2">
      <c r="B4390" s="1"/>
      <c r="C4390" s="2"/>
      <c r="D4390" s="2"/>
      <c r="F4390" s="1"/>
      <c r="G4390" s="2"/>
      <c r="H4390" s="2"/>
      <c r="J4390" s="3"/>
      <c r="K4390" s="3"/>
      <c r="L4390" s="3"/>
      <c r="N4390" s="3"/>
      <c r="O4390" s="3"/>
      <c r="P4390" s="3"/>
      <c r="R4390" s="3"/>
    </row>
    <row r="4391" spans="2:18" x14ac:dyDescent="0.2">
      <c r="B4391" s="1"/>
      <c r="C4391" s="2"/>
      <c r="D4391" s="2"/>
      <c r="F4391" s="1"/>
      <c r="G4391" s="2"/>
      <c r="H4391" s="2"/>
      <c r="J4391" s="3"/>
      <c r="K4391" s="3"/>
      <c r="L4391" s="3"/>
      <c r="N4391" s="3"/>
      <c r="O4391" s="3"/>
      <c r="P4391" s="3"/>
      <c r="R4391" s="3"/>
    </row>
    <row r="4392" spans="2:18" x14ac:dyDescent="0.2">
      <c r="B4392" s="1"/>
      <c r="C4392" s="2"/>
      <c r="D4392" s="2"/>
      <c r="F4392" s="1"/>
      <c r="G4392" s="2"/>
      <c r="H4392" s="2"/>
      <c r="J4392" s="3"/>
      <c r="K4392" s="3"/>
      <c r="L4392" s="3"/>
      <c r="N4392" s="3"/>
      <c r="O4392" s="3"/>
      <c r="P4392" s="3"/>
      <c r="R4392" s="3"/>
    </row>
    <row r="4393" spans="2:18" x14ac:dyDescent="0.2">
      <c r="B4393" s="1"/>
      <c r="C4393" s="2"/>
      <c r="D4393" s="2"/>
      <c r="F4393" s="1"/>
      <c r="G4393" s="2"/>
      <c r="H4393" s="2"/>
      <c r="J4393" s="3"/>
      <c r="K4393" s="3"/>
      <c r="L4393" s="3"/>
      <c r="N4393" s="3"/>
      <c r="O4393" s="3"/>
      <c r="P4393" s="3"/>
      <c r="R4393" s="3"/>
    </row>
    <row r="4394" spans="2:18" x14ac:dyDescent="0.2">
      <c r="B4394" s="1"/>
      <c r="C4394" s="2"/>
      <c r="D4394" s="2"/>
      <c r="F4394" s="1"/>
      <c r="G4394" s="2"/>
      <c r="H4394" s="2"/>
      <c r="J4394" s="3"/>
      <c r="K4394" s="3"/>
      <c r="L4394" s="3"/>
      <c r="N4394" s="3"/>
      <c r="O4394" s="3"/>
      <c r="P4394" s="3"/>
      <c r="R4394" s="3"/>
    </row>
    <row r="4395" spans="2:18" x14ac:dyDescent="0.2">
      <c r="B4395" s="1"/>
      <c r="C4395" s="2"/>
      <c r="D4395" s="2"/>
      <c r="F4395" s="1"/>
      <c r="G4395" s="2"/>
      <c r="H4395" s="2"/>
      <c r="J4395" s="3"/>
      <c r="K4395" s="3"/>
      <c r="L4395" s="3"/>
      <c r="N4395" s="3"/>
      <c r="O4395" s="3"/>
      <c r="P4395" s="3"/>
      <c r="R4395" s="3"/>
    </row>
    <row r="4396" spans="2:18" x14ac:dyDescent="0.2">
      <c r="B4396" s="1"/>
      <c r="C4396" s="2"/>
      <c r="D4396" s="2"/>
      <c r="F4396" s="1"/>
      <c r="G4396" s="2"/>
      <c r="H4396" s="2"/>
      <c r="J4396" s="3"/>
      <c r="K4396" s="3"/>
      <c r="L4396" s="3"/>
      <c r="N4396" s="3"/>
      <c r="O4396" s="3"/>
      <c r="P4396" s="3"/>
      <c r="R4396" s="3"/>
    </row>
    <row r="4397" spans="2:18" x14ac:dyDescent="0.2">
      <c r="B4397" s="1"/>
      <c r="C4397" s="2"/>
      <c r="D4397" s="2"/>
      <c r="F4397" s="1"/>
      <c r="G4397" s="2"/>
      <c r="H4397" s="2"/>
      <c r="J4397" s="3"/>
      <c r="K4397" s="3"/>
      <c r="L4397" s="3"/>
      <c r="N4397" s="3"/>
      <c r="O4397" s="3"/>
      <c r="P4397" s="3"/>
      <c r="R4397" s="3"/>
    </row>
    <row r="4398" spans="2:18" x14ac:dyDescent="0.2">
      <c r="B4398" s="1"/>
      <c r="C4398" s="2"/>
      <c r="D4398" s="2"/>
      <c r="F4398" s="1"/>
      <c r="G4398" s="2"/>
      <c r="H4398" s="2"/>
      <c r="J4398" s="3"/>
      <c r="K4398" s="3"/>
      <c r="L4398" s="3"/>
      <c r="N4398" s="3"/>
      <c r="O4398" s="3"/>
      <c r="P4398" s="3"/>
      <c r="R4398" s="3"/>
    </row>
    <row r="4399" spans="2:18" x14ac:dyDescent="0.2">
      <c r="B4399" s="1"/>
      <c r="C4399" s="2"/>
      <c r="D4399" s="2"/>
      <c r="F4399" s="1"/>
      <c r="G4399" s="2"/>
      <c r="H4399" s="2"/>
      <c r="J4399" s="3"/>
      <c r="K4399" s="3"/>
      <c r="L4399" s="3"/>
      <c r="N4399" s="3"/>
      <c r="O4399" s="3"/>
      <c r="P4399" s="3"/>
      <c r="R4399" s="3"/>
    </row>
    <row r="4400" spans="2:18" x14ac:dyDescent="0.2">
      <c r="B4400" s="1"/>
      <c r="C4400" s="2"/>
      <c r="D4400" s="2"/>
      <c r="F4400" s="1"/>
      <c r="G4400" s="2"/>
      <c r="H4400" s="2"/>
      <c r="J4400" s="3"/>
      <c r="K4400" s="3"/>
      <c r="L4400" s="3"/>
      <c r="N4400" s="3"/>
      <c r="O4400" s="3"/>
      <c r="P4400" s="3"/>
      <c r="R4400" s="3"/>
    </row>
    <row r="4401" spans="2:18" x14ac:dyDescent="0.2">
      <c r="B4401" s="1"/>
      <c r="C4401" s="2"/>
      <c r="D4401" s="2"/>
      <c r="F4401" s="1"/>
      <c r="G4401" s="2"/>
      <c r="H4401" s="2"/>
      <c r="J4401" s="3"/>
      <c r="K4401" s="3"/>
      <c r="L4401" s="3"/>
      <c r="N4401" s="3"/>
      <c r="O4401" s="3"/>
      <c r="P4401" s="3"/>
      <c r="R4401" s="3"/>
    </row>
    <row r="4402" spans="2:18" x14ac:dyDescent="0.2">
      <c r="B4402" s="1"/>
      <c r="C4402" s="2"/>
      <c r="D4402" s="2"/>
      <c r="F4402" s="1"/>
      <c r="G4402" s="2"/>
      <c r="H4402" s="2"/>
      <c r="J4402" s="3"/>
      <c r="K4402" s="3"/>
      <c r="L4402" s="3"/>
      <c r="N4402" s="3"/>
      <c r="O4402" s="3"/>
      <c r="P4402" s="3"/>
      <c r="R4402" s="3"/>
    </row>
    <row r="4403" spans="2:18" x14ac:dyDescent="0.2">
      <c r="B4403" s="1"/>
      <c r="C4403" s="2"/>
      <c r="D4403" s="2"/>
      <c r="F4403" s="1"/>
      <c r="G4403" s="2"/>
      <c r="H4403" s="2"/>
      <c r="J4403" s="3"/>
      <c r="K4403" s="3"/>
      <c r="L4403" s="3"/>
      <c r="N4403" s="3"/>
      <c r="O4403" s="3"/>
      <c r="P4403" s="3"/>
      <c r="R4403" s="3"/>
    </row>
    <row r="4404" spans="2:18" x14ac:dyDescent="0.2">
      <c r="B4404" s="1"/>
      <c r="C4404" s="2"/>
      <c r="D4404" s="2"/>
      <c r="F4404" s="1"/>
      <c r="G4404" s="2"/>
      <c r="H4404" s="2"/>
      <c r="J4404" s="3"/>
      <c r="K4404" s="3"/>
      <c r="L4404" s="3"/>
      <c r="N4404" s="3"/>
      <c r="O4404" s="3"/>
      <c r="P4404" s="3"/>
      <c r="R4404" s="3"/>
    </row>
    <row r="4405" spans="2:18" x14ac:dyDescent="0.2">
      <c r="B4405" s="1"/>
      <c r="C4405" s="2"/>
      <c r="D4405" s="2"/>
      <c r="F4405" s="1"/>
      <c r="G4405" s="2"/>
      <c r="H4405" s="2"/>
      <c r="J4405" s="3"/>
      <c r="K4405" s="3"/>
      <c r="L4405" s="3"/>
      <c r="N4405" s="3"/>
      <c r="O4405" s="3"/>
      <c r="P4405" s="3"/>
      <c r="R4405" s="3"/>
    </row>
    <row r="4406" spans="2:18" x14ac:dyDescent="0.2">
      <c r="B4406" s="1"/>
      <c r="C4406" s="2"/>
      <c r="D4406" s="2"/>
      <c r="F4406" s="1"/>
      <c r="G4406" s="2"/>
      <c r="H4406" s="2"/>
      <c r="J4406" s="3"/>
      <c r="K4406" s="3"/>
      <c r="L4406" s="3"/>
      <c r="N4406" s="3"/>
      <c r="O4406" s="3"/>
      <c r="P4406" s="3"/>
      <c r="R4406" s="3"/>
    </row>
    <row r="4407" spans="2:18" x14ac:dyDescent="0.2">
      <c r="B4407" s="1"/>
      <c r="C4407" s="2"/>
      <c r="D4407" s="2"/>
      <c r="F4407" s="1"/>
      <c r="G4407" s="2"/>
      <c r="H4407" s="2"/>
      <c r="J4407" s="3"/>
      <c r="K4407" s="3"/>
      <c r="L4407" s="3"/>
      <c r="N4407" s="3"/>
      <c r="O4407" s="3"/>
      <c r="P4407" s="3"/>
      <c r="R4407" s="3"/>
    </row>
    <row r="4408" spans="2:18" x14ac:dyDescent="0.2">
      <c r="B4408" s="1"/>
      <c r="C4408" s="2"/>
      <c r="D4408" s="2"/>
      <c r="F4408" s="1"/>
      <c r="G4408" s="2"/>
      <c r="H4408" s="2"/>
      <c r="J4408" s="3"/>
      <c r="K4408" s="3"/>
      <c r="L4408" s="3"/>
      <c r="N4408" s="3"/>
      <c r="O4408" s="3"/>
      <c r="P4408" s="3"/>
      <c r="R4408" s="3"/>
    </row>
    <row r="4409" spans="2:18" x14ac:dyDescent="0.2">
      <c r="B4409" s="1"/>
      <c r="C4409" s="2"/>
      <c r="D4409" s="2"/>
      <c r="F4409" s="1"/>
      <c r="G4409" s="2"/>
      <c r="H4409" s="2"/>
      <c r="J4409" s="3"/>
      <c r="K4409" s="3"/>
      <c r="L4409" s="3"/>
      <c r="N4409" s="3"/>
      <c r="O4409" s="3"/>
      <c r="P4409" s="3"/>
      <c r="R4409" s="3"/>
    </row>
    <row r="4410" spans="2:18" x14ac:dyDescent="0.2">
      <c r="B4410" s="1"/>
      <c r="C4410" s="2"/>
      <c r="D4410" s="2"/>
      <c r="F4410" s="1"/>
      <c r="G4410" s="2"/>
      <c r="H4410" s="2"/>
      <c r="J4410" s="3"/>
      <c r="K4410" s="3"/>
      <c r="L4410" s="3"/>
      <c r="N4410" s="3"/>
      <c r="O4410" s="3"/>
      <c r="P4410" s="3"/>
      <c r="R4410" s="3"/>
    </row>
    <row r="4411" spans="2:18" x14ac:dyDescent="0.2">
      <c r="B4411" s="1"/>
      <c r="C4411" s="2"/>
      <c r="D4411" s="2"/>
      <c r="F4411" s="1"/>
      <c r="G4411" s="2"/>
      <c r="H4411" s="2"/>
      <c r="J4411" s="3"/>
      <c r="K4411" s="3"/>
      <c r="L4411" s="3"/>
      <c r="N4411" s="3"/>
      <c r="O4411" s="3"/>
      <c r="P4411" s="3"/>
      <c r="R4411" s="3"/>
    </row>
    <row r="4412" spans="2:18" x14ac:dyDescent="0.2">
      <c r="B4412" s="1"/>
      <c r="C4412" s="2"/>
      <c r="D4412" s="2"/>
      <c r="F4412" s="1"/>
      <c r="G4412" s="2"/>
      <c r="H4412" s="2"/>
      <c r="J4412" s="3"/>
      <c r="K4412" s="3"/>
      <c r="L4412" s="3"/>
      <c r="N4412" s="3"/>
      <c r="O4412" s="3"/>
      <c r="P4412" s="3"/>
      <c r="R4412" s="3"/>
    </row>
    <row r="4413" spans="2:18" x14ac:dyDescent="0.2">
      <c r="B4413" s="1"/>
      <c r="C4413" s="2"/>
      <c r="D4413" s="2"/>
      <c r="F4413" s="1"/>
      <c r="G4413" s="2"/>
      <c r="H4413" s="2"/>
      <c r="J4413" s="3"/>
      <c r="K4413" s="3"/>
      <c r="L4413" s="3"/>
      <c r="N4413" s="3"/>
      <c r="O4413" s="3"/>
      <c r="P4413" s="3"/>
      <c r="R4413" s="3"/>
    </row>
    <row r="4414" spans="2:18" x14ac:dyDescent="0.2">
      <c r="B4414" s="1"/>
      <c r="C4414" s="2"/>
      <c r="D4414" s="2"/>
      <c r="F4414" s="1"/>
      <c r="G4414" s="2"/>
      <c r="H4414" s="2"/>
      <c r="J4414" s="3"/>
      <c r="K4414" s="3"/>
      <c r="L4414" s="3"/>
      <c r="N4414" s="3"/>
      <c r="O4414" s="3"/>
      <c r="P4414" s="3"/>
      <c r="R4414" s="3"/>
    </row>
    <row r="4415" spans="2:18" x14ac:dyDescent="0.2">
      <c r="B4415" s="1"/>
      <c r="C4415" s="2"/>
      <c r="D4415" s="2"/>
      <c r="F4415" s="1"/>
      <c r="G4415" s="2"/>
      <c r="H4415" s="2"/>
      <c r="J4415" s="3"/>
      <c r="K4415" s="3"/>
      <c r="L4415" s="3"/>
      <c r="N4415" s="3"/>
      <c r="O4415" s="3"/>
      <c r="P4415" s="3"/>
      <c r="R4415" s="3"/>
    </row>
    <row r="4416" spans="2:18" x14ac:dyDescent="0.2">
      <c r="B4416" s="1"/>
      <c r="C4416" s="2"/>
      <c r="D4416" s="2"/>
      <c r="F4416" s="1"/>
      <c r="G4416" s="2"/>
      <c r="H4416" s="2"/>
      <c r="J4416" s="3"/>
      <c r="K4416" s="3"/>
      <c r="L4416" s="3"/>
      <c r="N4416" s="3"/>
      <c r="O4416" s="3"/>
      <c r="P4416" s="3"/>
      <c r="R4416" s="3"/>
    </row>
    <row r="4417" spans="2:18" x14ac:dyDescent="0.2">
      <c r="B4417" s="1"/>
      <c r="C4417" s="2"/>
      <c r="D4417" s="2"/>
      <c r="F4417" s="1"/>
      <c r="G4417" s="2"/>
      <c r="H4417" s="2"/>
      <c r="J4417" s="3"/>
      <c r="K4417" s="3"/>
      <c r="L4417" s="3"/>
      <c r="N4417" s="3"/>
      <c r="O4417" s="3"/>
      <c r="P4417" s="3"/>
      <c r="R4417" s="3"/>
    </row>
    <row r="4418" spans="2:18" x14ac:dyDescent="0.2">
      <c r="F4418" s="1"/>
      <c r="G4418" s="2"/>
      <c r="H4418" s="2"/>
      <c r="N4418" s="3"/>
      <c r="O4418" s="3"/>
      <c r="P4418" s="3"/>
      <c r="R4418" s="3"/>
    </row>
    <row r="4419" spans="2:18" x14ac:dyDescent="0.2">
      <c r="F4419" s="1"/>
      <c r="G4419" s="2"/>
      <c r="H4419" s="2"/>
      <c r="N4419" s="3"/>
      <c r="O4419" s="3"/>
      <c r="P4419" s="3"/>
      <c r="R4419" s="3"/>
    </row>
    <row r="4420" spans="2:18" x14ac:dyDescent="0.2">
      <c r="F4420" s="1"/>
      <c r="G4420" s="2"/>
      <c r="H4420" s="2"/>
      <c r="N4420" s="3"/>
      <c r="O4420" s="3"/>
      <c r="P4420" s="3"/>
      <c r="R4420" s="3"/>
    </row>
    <row r="4421" spans="2:18" x14ac:dyDescent="0.2">
      <c r="F4421" s="1"/>
      <c r="G4421" s="2"/>
      <c r="H4421" s="2"/>
      <c r="N4421" s="3"/>
      <c r="O4421" s="3"/>
      <c r="P4421" s="3"/>
      <c r="R4421" s="3"/>
    </row>
    <row r="4422" spans="2:18" x14ac:dyDescent="0.2">
      <c r="F4422" s="1"/>
      <c r="G4422" s="2"/>
      <c r="H4422" s="2"/>
      <c r="N4422" s="3"/>
      <c r="O4422" s="3"/>
      <c r="P4422" s="3"/>
      <c r="R4422" s="3"/>
    </row>
    <row r="4423" spans="2:18" x14ac:dyDescent="0.2">
      <c r="F4423" s="1"/>
      <c r="G4423" s="2"/>
      <c r="H4423" s="2"/>
      <c r="N4423" s="3"/>
      <c r="O4423" s="3"/>
      <c r="P4423" s="3"/>
      <c r="R4423" s="3"/>
    </row>
    <row r="4424" spans="2:18" x14ac:dyDescent="0.2">
      <c r="F4424" s="1"/>
      <c r="G4424" s="2"/>
      <c r="H4424" s="2"/>
      <c r="N4424" s="3"/>
      <c r="O4424" s="3"/>
      <c r="P4424" s="3"/>
      <c r="R4424" s="3"/>
    </row>
    <row r="4425" spans="2:18" x14ac:dyDescent="0.2">
      <c r="F4425" s="1"/>
      <c r="G4425" s="2"/>
      <c r="H4425" s="2"/>
      <c r="N4425" s="3"/>
      <c r="O4425" s="3"/>
      <c r="P4425" s="3"/>
      <c r="R4425" s="3"/>
    </row>
    <row r="4426" spans="2:18" x14ac:dyDescent="0.2">
      <c r="F4426" s="1"/>
      <c r="G4426" s="2"/>
      <c r="H4426" s="2"/>
      <c r="N4426" s="3"/>
      <c r="O4426" s="3"/>
      <c r="P4426" s="3"/>
      <c r="R4426" s="3"/>
    </row>
    <row r="4427" spans="2:18" x14ac:dyDescent="0.2">
      <c r="F4427" s="1"/>
      <c r="G4427" s="2"/>
      <c r="H4427" s="2"/>
      <c r="N4427" s="3"/>
      <c r="O4427" s="3"/>
      <c r="P4427" s="3"/>
      <c r="R4427" s="3"/>
    </row>
    <row r="4428" spans="2:18" x14ac:dyDescent="0.2">
      <c r="F4428" s="1"/>
      <c r="G4428" s="2"/>
      <c r="H4428" s="2"/>
      <c r="N4428" s="3"/>
      <c r="O4428" s="3"/>
      <c r="P4428" s="3"/>
      <c r="R4428" s="3"/>
    </row>
    <row r="4429" spans="2:18" x14ac:dyDescent="0.2">
      <c r="F4429" s="1"/>
      <c r="G4429" s="2"/>
      <c r="H4429" s="2"/>
      <c r="N4429" s="3"/>
      <c r="O4429" s="3"/>
      <c r="P4429" s="3"/>
      <c r="R4429" s="3"/>
    </row>
    <row r="4430" spans="2:18" x14ac:dyDescent="0.2">
      <c r="F4430" s="1"/>
      <c r="G4430" s="2"/>
      <c r="H4430" s="2"/>
      <c r="N4430" s="3"/>
      <c r="O4430" s="3"/>
      <c r="P4430" s="3"/>
      <c r="R4430" s="3"/>
    </row>
    <row r="4431" spans="2:18" x14ac:dyDescent="0.2">
      <c r="F4431" s="1"/>
      <c r="G4431" s="2"/>
      <c r="H4431" s="2"/>
      <c r="N4431" s="3"/>
      <c r="O4431" s="3"/>
      <c r="P4431" s="3"/>
      <c r="R4431" s="3"/>
    </row>
    <row r="4432" spans="2:18" x14ac:dyDescent="0.2">
      <c r="F4432" s="1"/>
      <c r="G4432" s="2"/>
      <c r="H4432" s="2"/>
      <c r="N4432" s="3"/>
      <c r="O4432" s="3"/>
      <c r="P4432" s="3"/>
      <c r="R4432" s="3"/>
    </row>
    <row r="4433" spans="6:18" x14ac:dyDescent="0.2">
      <c r="F4433" s="1"/>
      <c r="G4433" s="2"/>
      <c r="H4433" s="2"/>
      <c r="N4433" s="3"/>
      <c r="O4433" s="3"/>
      <c r="P4433" s="3"/>
      <c r="R4433" s="3"/>
    </row>
    <row r="4434" spans="6:18" x14ac:dyDescent="0.2">
      <c r="F4434" s="1"/>
      <c r="G4434" s="2"/>
      <c r="H4434" s="2"/>
      <c r="N4434" s="3"/>
      <c r="O4434" s="3"/>
      <c r="P4434" s="3"/>
      <c r="R4434" s="3"/>
    </row>
    <row r="4435" spans="6:18" x14ac:dyDescent="0.2">
      <c r="F4435" s="1"/>
      <c r="G4435" s="2"/>
      <c r="H4435" s="2"/>
      <c r="N4435" s="3"/>
      <c r="O4435" s="3"/>
      <c r="P4435" s="3"/>
      <c r="R4435" s="3"/>
    </row>
    <row r="4436" spans="6:18" x14ac:dyDescent="0.2">
      <c r="F4436" s="1"/>
      <c r="G4436" s="2"/>
      <c r="H4436" s="2"/>
      <c r="N4436" s="3"/>
      <c r="O4436" s="3"/>
      <c r="P4436" s="3"/>
      <c r="R4436" s="3"/>
    </row>
    <row r="4437" spans="6:18" x14ac:dyDescent="0.2">
      <c r="F4437" s="1"/>
      <c r="G4437" s="2"/>
      <c r="H4437" s="2"/>
      <c r="N4437" s="3"/>
      <c r="O4437" s="3"/>
      <c r="P4437" s="3"/>
      <c r="R4437" s="3"/>
    </row>
    <row r="4438" spans="6:18" x14ac:dyDescent="0.2">
      <c r="F4438" s="1"/>
      <c r="G4438" s="2"/>
      <c r="H4438" s="2"/>
      <c r="N4438" s="3"/>
      <c r="O4438" s="3"/>
      <c r="P4438" s="3"/>
      <c r="R4438" s="3"/>
    </row>
    <row r="4439" spans="6:18" x14ac:dyDescent="0.2">
      <c r="F4439" s="1"/>
      <c r="G4439" s="2"/>
      <c r="H4439" s="2"/>
      <c r="N4439" s="3"/>
      <c r="O4439" s="3"/>
      <c r="P4439" s="3"/>
      <c r="R4439" s="3"/>
    </row>
    <row r="4440" spans="6:18" x14ac:dyDescent="0.2">
      <c r="F4440" s="1"/>
      <c r="G4440" s="2"/>
      <c r="H4440" s="2"/>
      <c r="N4440" s="3"/>
      <c r="O4440" s="3"/>
      <c r="P4440" s="3"/>
      <c r="R4440" s="3"/>
    </row>
    <row r="4441" spans="6:18" x14ac:dyDescent="0.2">
      <c r="F4441" s="1"/>
      <c r="G4441" s="2"/>
      <c r="H4441" s="2"/>
      <c r="N4441" s="3"/>
      <c r="O4441" s="3"/>
      <c r="P4441" s="3"/>
      <c r="R4441" s="3"/>
    </row>
    <row r="4442" spans="6:18" x14ac:dyDescent="0.2">
      <c r="F4442" s="1"/>
      <c r="G4442" s="2"/>
      <c r="H4442" s="2"/>
      <c r="N4442" s="3"/>
      <c r="O4442" s="3"/>
      <c r="P4442" s="3"/>
      <c r="R4442" s="3"/>
    </row>
    <row r="4443" spans="6:18" x14ac:dyDescent="0.2">
      <c r="F4443" s="1"/>
      <c r="G4443" s="2"/>
      <c r="H4443" s="2"/>
      <c r="N4443" s="3"/>
      <c r="O4443" s="3"/>
      <c r="P4443" s="3"/>
      <c r="R4443" s="3"/>
    </row>
    <row r="4444" spans="6:18" x14ac:dyDescent="0.2">
      <c r="F4444" s="1"/>
      <c r="G4444" s="2"/>
      <c r="H4444" s="2"/>
      <c r="N4444" s="3"/>
      <c r="O4444" s="3"/>
      <c r="P4444" s="3"/>
      <c r="R4444" s="3"/>
    </row>
    <row r="4445" spans="6:18" x14ac:dyDescent="0.2">
      <c r="F4445" s="1"/>
      <c r="G4445" s="2"/>
      <c r="H4445" s="2"/>
      <c r="N4445" s="3"/>
      <c r="O4445" s="3"/>
      <c r="P4445" s="3"/>
      <c r="R4445" s="3"/>
    </row>
    <row r="4446" spans="6:18" x14ac:dyDescent="0.2">
      <c r="F4446" s="1"/>
      <c r="G4446" s="2"/>
      <c r="H4446" s="2"/>
      <c r="N4446" s="3"/>
      <c r="O4446" s="3"/>
      <c r="P4446" s="3"/>
      <c r="R4446" s="3"/>
    </row>
    <row r="4447" spans="6:18" x14ac:dyDescent="0.2">
      <c r="F4447" s="1"/>
      <c r="G4447" s="2"/>
      <c r="H4447" s="2"/>
      <c r="N4447" s="3"/>
      <c r="O4447" s="3"/>
      <c r="P4447" s="3"/>
      <c r="R4447" s="3"/>
    </row>
    <row r="4448" spans="6:18" x14ac:dyDescent="0.2">
      <c r="F4448" s="1"/>
      <c r="G4448" s="2"/>
      <c r="H4448" s="2"/>
      <c r="N4448" s="3"/>
      <c r="O4448" s="3"/>
      <c r="P4448" s="3"/>
      <c r="R4448" s="3"/>
    </row>
    <row r="4449" spans="6:18" x14ac:dyDescent="0.2">
      <c r="F4449" s="1"/>
      <c r="G4449" s="2"/>
      <c r="H4449" s="2"/>
      <c r="N4449" s="3"/>
      <c r="O4449" s="3"/>
      <c r="P4449" s="3"/>
      <c r="R4449" s="3"/>
    </row>
    <row r="4450" spans="6:18" x14ac:dyDescent="0.2">
      <c r="F4450" s="1"/>
      <c r="G4450" s="2"/>
      <c r="H4450" s="2"/>
      <c r="N4450" s="3"/>
      <c r="O4450" s="3"/>
      <c r="P4450" s="3"/>
      <c r="R4450" s="3"/>
    </row>
    <row r="4451" spans="6:18" x14ac:dyDescent="0.2">
      <c r="F4451" s="1"/>
      <c r="G4451" s="2"/>
      <c r="H4451" s="2"/>
      <c r="N4451" s="3"/>
      <c r="O4451" s="3"/>
      <c r="P4451" s="3"/>
      <c r="R4451" s="3"/>
    </row>
    <row r="4452" spans="6:18" x14ac:dyDescent="0.2">
      <c r="F4452" s="1"/>
      <c r="G4452" s="2"/>
      <c r="H4452" s="2"/>
      <c r="N4452" s="3"/>
      <c r="O4452" s="3"/>
      <c r="P4452" s="3"/>
      <c r="R4452" s="3"/>
    </row>
    <row r="4453" spans="6:18" x14ac:dyDescent="0.2">
      <c r="F4453" s="1"/>
      <c r="G4453" s="2"/>
      <c r="H4453" s="2"/>
      <c r="N4453" s="3"/>
      <c r="O4453" s="3"/>
      <c r="P4453" s="3"/>
      <c r="R4453" s="3"/>
    </row>
    <row r="4454" spans="6:18" x14ac:dyDescent="0.2">
      <c r="F4454" s="1"/>
      <c r="G4454" s="2"/>
      <c r="H4454" s="2"/>
      <c r="N4454" s="3"/>
      <c r="O4454" s="3"/>
      <c r="P4454" s="3"/>
      <c r="R4454" s="3"/>
    </row>
    <row r="4455" spans="6:18" x14ac:dyDescent="0.2">
      <c r="F4455" s="1"/>
      <c r="G4455" s="2"/>
      <c r="H4455" s="2"/>
      <c r="N4455" s="3"/>
      <c r="O4455" s="3"/>
      <c r="P4455" s="3"/>
      <c r="R4455" s="3"/>
    </row>
    <row r="4456" spans="6:18" x14ac:dyDescent="0.2">
      <c r="F4456" s="1"/>
      <c r="G4456" s="2"/>
      <c r="H4456" s="2"/>
      <c r="N4456" s="3"/>
      <c r="O4456" s="3"/>
      <c r="P4456" s="3"/>
      <c r="R4456" s="3"/>
    </row>
    <row r="4457" spans="6:18" x14ac:dyDescent="0.2">
      <c r="F4457" s="1"/>
      <c r="G4457" s="2"/>
      <c r="H4457" s="2"/>
      <c r="N4457" s="3"/>
      <c r="O4457" s="3"/>
      <c r="P4457" s="3"/>
      <c r="R4457" s="3"/>
    </row>
    <row r="4458" spans="6:18" x14ac:dyDescent="0.2">
      <c r="F4458" s="1"/>
      <c r="G4458" s="2"/>
      <c r="H4458" s="2"/>
      <c r="N4458" s="3"/>
      <c r="O4458" s="3"/>
      <c r="P4458" s="3"/>
      <c r="R4458" s="3"/>
    </row>
    <row r="4459" spans="6:18" x14ac:dyDescent="0.2">
      <c r="F4459" s="1"/>
      <c r="G4459" s="2"/>
      <c r="H4459" s="2"/>
      <c r="N4459" s="3"/>
      <c r="O4459" s="3"/>
      <c r="P4459" s="3"/>
      <c r="R4459" s="3"/>
    </row>
    <row r="4460" spans="6:18" x14ac:dyDescent="0.2">
      <c r="F4460" s="1"/>
      <c r="G4460" s="2"/>
      <c r="H4460" s="2"/>
      <c r="N4460" s="3"/>
      <c r="O4460" s="3"/>
      <c r="P4460" s="3"/>
      <c r="R4460" s="3"/>
    </row>
    <row r="4461" spans="6:18" x14ac:dyDescent="0.2">
      <c r="F4461" s="1"/>
      <c r="G4461" s="2"/>
      <c r="H4461" s="2"/>
      <c r="N4461" s="3"/>
      <c r="O4461" s="3"/>
      <c r="P4461" s="3"/>
      <c r="R4461" s="3"/>
    </row>
    <row r="4462" spans="6:18" x14ac:dyDescent="0.2">
      <c r="F4462" s="1"/>
      <c r="G4462" s="2"/>
      <c r="H4462" s="2"/>
      <c r="N4462" s="3"/>
      <c r="O4462" s="3"/>
      <c r="P4462" s="3"/>
      <c r="R4462" s="3"/>
    </row>
    <row r="4463" spans="6:18" x14ac:dyDescent="0.2">
      <c r="F4463" s="1"/>
      <c r="G4463" s="2"/>
      <c r="H4463" s="2"/>
      <c r="N4463" s="3"/>
      <c r="O4463" s="3"/>
      <c r="P4463" s="3"/>
      <c r="R4463" s="3"/>
    </row>
    <row r="4464" spans="6:18" x14ac:dyDescent="0.2">
      <c r="F4464" s="1"/>
      <c r="G4464" s="2"/>
      <c r="H4464" s="2"/>
      <c r="N4464" s="3"/>
      <c r="O4464" s="3"/>
      <c r="P4464" s="3"/>
      <c r="R4464" s="3"/>
    </row>
    <row r="4465" spans="6:18" x14ac:dyDescent="0.2">
      <c r="F4465" s="1"/>
      <c r="G4465" s="2"/>
      <c r="H4465" s="2"/>
      <c r="N4465" s="3"/>
      <c r="O4465" s="3"/>
      <c r="P4465" s="3"/>
      <c r="R4465" s="3"/>
    </row>
    <row r="4466" spans="6:18" x14ac:dyDescent="0.2">
      <c r="F4466" s="1"/>
      <c r="G4466" s="2"/>
      <c r="H4466" s="2"/>
      <c r="N4466" s="3"/>
      <c r="O4466" s="3"/>
      <c r="P4466" s="3"/>
      <c r="R4466" s="3"/>
    </row>
    <row r="4467" spans="6:18" x14ac:dyDescent="0.2">
      <c r="F4467" s="1"/>
      <c r="G4467" s="2"/>
      <c r="H4467" s="2"/>
      <c r="N4467" s="3"/>
      <c r="O4467" s="3"/>
      <c r="P4467" s="3"/>
      <c r="R4467" s="3"/>
    </row>
    <row r="4468" spans="6:18" x14ac:dyDescent="0.2">
      <c r="F4468" s="1"/>
      <c r="G4468" s="2"/>
      <c r="H4468" s="2"/>
      <c r="N4468" s="3"/>
      <c r="O4468" s="3"/>
      <c r="P4468" s="3"/>
      <c r="R4468" s="3"/>
    </row>
    <row r="4469" spans="6:18" x14ac:dyDescent="0.2">
      <c r="F4469" s="1"/>
      <c r="G4469" s="2"/>
      <c r="H4469" s="2"/>
      <c r="N4469" s="3"/>
      <c r="O4469" s="3"/>
      <c r="P4469" s="3"/>
      <c r="R4469" s="3"/>
    </row>
    <row r="4470" spans="6:18" x14ac:dyDescent="0.2">
      <c r="F4470" s="1"/>
      <c r="G4470" s="2"/>
      <c r="H4470" s="2"/>
      <c r="N4470" s="3"/>
      <c r="O4470" s="3"/>
      <c r="P4470" s="3"/>
      <c r="R4470" s="3"/>
    </row>
    <row r="4471" spans="6:18" x14ac:dyDescent="0.2">
      <c r="F4471" s="1"/>
      <c r="G4471" s="2"/>
      <c r="H4471" s="2"/>
      <c r="N4471" s="3"/>
      <c r="O4471" s="3"/>
      <c r="P4471" s="3"/>
      <c r="R4471" s="3"/>
    </row>
    <row r="4472" spans="6:18" x14ac:dyDescent="0.2">
      <c r="F4472" s="1"/>
      <c r="G4472" s="2"/>
      <c r="H4472" s="2"/>
      <c r="N4472" s="3"/>
      <c r="O4472" s="3"/>
      <c r="P4472" s="3"/>
      <c r="R4472" s="3"/>
    </row>
    <row r="4473" spans="6:18" x14ac:dyDescent="0.2">
      <c r="F4473" s="1"/>
      <c r="G4473" s="2"/>
      <c r="H4473" s="2"/>
      <c r="N4473" s="3"/>
      <c r="O4473" s="3"/>
      <c r="P4473" s="3"/>
      <c r="R4473" s="3"/>
    </row>
    <row r="4474" spans="6:18" x14ac:dyDescent="0.2">
      <c r="F4474" s="1"/>
      <c r="G4474" s="2"/>
      <c r="H4474" s="2"/>
      <c r="N4474" s="3"/>
      <c r="O4474" s="3"/>
      <c r="P4474" s="3"/>
      <c r="R4474" s="3"/>
    </row>
    <row r="4475" spans="6:18" x14ac:dyDescent="0.2">
      <c r="F4475" s="1"/>
      <c r="G4475" s="2"/>
      <c r="H4475" s="2"/>
      <c r="N4475" s="3"/>
      <c r="O4475" s="3"/>
      <c r="P4475" s="3"/>
      <c r="R4475" s="3"/>
    </row>
    <row r="4476" spans="6:18" x14ac:dyDescent="0.2">
      <c r="F4476" s="1"/>
      <c r="G4476" s="2"/>
      <c r="H4476" s="2"/>
      <c r="N4476" s="3"/>
      <c r="O4476" s="3"/>
      <c r="P4476" s="3"/>
      <c r="R4476" s="3"/>
    </row>
    <row r="4477" spans="6:18" x14ac:dyDescent="0.2">
      <c r="F4477" s="1"/>
      <c r="G4477" s="2"/>
      <c r="H4477" s="2"/>
      <c r="N4477" s="3"/>
      <c r="O4477" s="3"/>
      <c r="P4477" s="3"/>
      <c r="R4477" s="3"/>
    </row>
    <row r="4478" spans="6:18" x14ac:dyDescent="0.2">
      <c r="F4478" s="1"/>
      <c r="G4478" s="2"/>
      <c r="H4478" s="2"/>
      <c r="N4478" s="3"/>
      <c r="O4478" s="3"/>
      <c r="P4478" s="3"/>
      <c r="R4478" s="3"/>
    </row>
    <row r="4479" spans="6:18" x14ac:dyDescent="0.2">
      <c r="F4479" s="1"/>
      <c r="G4479" s="2"/>
      <c r="H4479" s="2"/>
      <c r="N4479" s="3"/>
      <c r="O4479" s="3"/>
      <c r="P4479" s="3"/>
      <c r="R4479" s="3"/>
    </row>
    <row r="4480" spans="6:18" x14ac:dyDescent="0.2">
      <c r="F4480" s="1"/>
      <c r="G4480" s="2"/>
      <c r="H4480" s="2"/>
      <c r="N4480" s="3"/>
      <c r="O4480" s="3"/>
      <c r="P4480" s="3"/>
      <c r="R4480" s="3"/>
    </row>
    <row r="4481" spans="6:18" x14ac:dyDescent="0.2">
      <c r="F4481" s="1"/>
      <c r="G4481" s="2"/>
      <c r="H4481" s="2"/>
      <c r="N4481" s="3"/>
      <c r="O4481" s="3"/>
      <c r="P4481" s="3"/>
      <c r="R4481" s="3"/>
    </row>
    <row r="4482" spans="6:18" x14ac:dyDescent="0.2">
      <c r="F4482" s="1"/>
      <c r="G4482" s="2"/>
      <c r="H4482" s="2"/>
      <c r="N4482" s="3"/>
      <c r="O4482" s="3"/>
      <c r="P4482" s="3"/>
      <c r="R4482" s="3"/>
    </row>
    <row r="4483" spans="6:18" x14ac:dyDescent="0.2">
      <c r="F4483" s="1"/>
      <c r="G4483" s="2"/>
      <c r="H4483" s="2"/>
      <c r="N4483" s="3"/>
      <c r="O4483" s="3"/>
      <c r="P4483" s="3"/>
      <c r="R4483" s="3"/>
    </row>
    <row r="4484" spans="6:18" x14ac:dyDescent="0.2">
      <c r="F4484" s="1"/>
      <c r="G4484" s="2"/>
      <c r="H4484" s="2"/>
      <c r="N4484" s="3"/>
      <c r="O4484" s="3"/>
      <c r="P4484" s="3"/>
      <c r="R4484" s="3"/>
    </row>
    <row r="4485" spans="6:18" x14ac:dyDescent="0.2">
      <c r="F4485" s="1"/>
      <c r="G4485" s="2"/>
      <c r="H4485" s="2"/>
      <c r="N4485" s="3"/>
      <c r="O4485" s="3"/>
      <c r="P4485" s="3"/>
      <c r="R4485" s="3"/>
    </row>
    <row r="4486" spans="6:18" x14ac:dyDescent="0.2">
      <c r="F4486" s="1"/>
      <c r="G4486" s="2"/>
      <c r="H4486" s="2"/>
      <c r="N4486" s="3"/>
      <c r="O4486" s="3"/>
      <c r="P4486" s="3"/>
    </row>
    <row r="4487" spans="6:18" x14ac:dyDescent="0.2">
      <c r="F4487" s="1"/>
      <c r="G4487" s="2"/>
      <c r="H4487" s="2"/>
      <c r="N4487" s="3"/>
      <c r="O4487" s="3"/>
      <c r="P4487" s="3"/>
    </row>
    <row r="4488" spans="6:18" x14ac:dyDescent="0.2">
      <c r="F4488" s="1"/>
      <c r="G4488" s="2"/>
      <c r="H4488" s="2"/>
      <c r="N4488" s="3"/>
      <c r="O4488" s="3"/>
      <c r="P4488" s="3"/>
    </row>
    <row r="4489" spans="6:18" x14ac:dyDescent="0.2">
      <c r="F4489" s="1"/>
      <c r="G4489" s="2"/>
      <c r="H4489" s="2"/>
      <c r="N4489" s="3"/>
      <c r="O4489" s="3"/>
      <c r="P4489" s="3"/>
    </row>
    <row r="4490" spans="6:18" x14ac:dyDescent="0.2">
      <c r="F4490" s="1"/>
      <c r="G4490" s="2"/>
      <c r="H4490" s="2"/>
      <c r="N4490" s="3"/>
      <c r="O4490" s="3"/>
      <c r="P4490" s="3"/>
    </row>
  </sheetData>
  <mergeCells count="2">
    <mergeCell ref="B76:I80"/>
    <mergeCell ref="J76:Q80"/>
  </mergeCells>
  <printOptions horizontalCentered="1"/>
  <pageMargins left="0.39370078740157483" right="0.39370078740157483" top="0.39370078740157483" bottom="0.39370078740157483" header="0.31496062992125984" footer="0.31496062992125984"/>
  <pageSetup paperSize="9" scale="58" fitToWidth="2" fitToHeight="0" orientation="portrait" r:id="rId1"/>
  <headerFooter alignWithMargins="0"/>
  <rowBreaks count="1" manualBreakCount="1">
    <brk id="2996" max="1638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52911DEAB4AAD45B02DC4FDC4CB7558" ma:contentTypeVersion="1" ma:contentTypeDescription="Создание документа." ma:contentTypeScope="" ma:versionID="68c8cf11fa111677d1c06692a76d3ceb">
  <xsd:schema xmlns:xsd="http://www.w3.org/2001/XMLSchema" xmlns:xs="http://www.w3.org/2001/XMLSchema" xmlns:p="http://schemas.microsoft.com/office/2006/metadata/properties" xmlns:ns2="c9b6c2e3-64e2-4a50-874f-a162ff38a065" targetNamespace="http://schemas.microsoft.com/office/2006/metadata/properties" ma:root="true" ma:fieldsID="430b0e272270a695635d5f2dd200ee37" ns2:_="">
    <xsd:import namespace="c9b6c2e3-64e2-4a50-874f-a162ff38a065"/>
    <xsd:element name="properties">
      <xsd:complexType>
        <xsd:sequence>
          <xsd:element name="documentManagement">
            <xsd:complexType>
              <xsd:all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b6c2e3-64e2-4a50-874f-a162ff38a065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5DFC4D1-F6CB-4D1E-A176-1715E97C2EC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2C5FFC9-66C2-45CC-B4E1-9B5E02564036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9b6c2e3-64e2-4a50-874f-a162ff38a065"/>
    <ds:schemaRef ds:uri="http://purl.org/dc/elements/1.1/"/>
    <ds:schemaRef ds:uri="http://schemas.microsoft.com/office/2006/metadata/properties"/>
    <ds:schemaRef ds:uri="http://purl.org/dc/terms/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B27508AC-FBBF-476A-9416-746E4FBE0C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b6c2e3-64e2-4a50-874f-a162ff38a06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1Base Properties</vt:lpstr>
      <vt:lpstr>2Forming</vt:lpstr>
      <vt:lpstr>3Thermal Properties</vt:lpstr>
      <vt:lpstr>4AF</vt:lpstr>
      <vt:lpstr>'1Base Properties'!Область_печати</vt:lpstr>
      <vt:lpstr>'2Forming'!Область_печати</vt:lpstr>
      <vt:lpstr>'3Thermal Properties'!Область_печати</vt:lpstr>
      <vt:lpstr>'4AF'!Область_печати</vt:lpstr>
    </vt:vector>
  </TitlesOfParts>
  <Manager/>
  <Company>Severstal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E-Data for Autoform</dc:title>
  <dc:subject/>
  <dc:creator>Yuliya Platkova</dc:creator>
  <cp:keywords/>
  <dc:description/>
  <cp:lastModifiedBy>Виноградов Дмитрий Андреевич</cp:lastModifiedBy>
  <cp:revision/>
  <dcterms:created xsi:type="dcterms:W3CDTF">2004-09-09T17:38:15Z</dcterms:created>
  <dcterms:modified xsi:type="dcterms:W3CDTF">2024-04-22T07:17:46Z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0x010100F52911DEAB4AAD45B02DC4FDC4CB7558</vt:lpwstr>
  </property>
</Properties>
</file>