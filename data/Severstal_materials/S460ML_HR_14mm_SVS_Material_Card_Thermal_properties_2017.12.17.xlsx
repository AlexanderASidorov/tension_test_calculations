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6222ACE7-2508-40C2-AD3D-689540D7D7BF}" xr6:coauthVersionLast="47" xr6:coauthVersionMax="47" xr10:uidLastSave="{00000000-0000-0000-0000-000000000000}"/>
  <bookViews>
    <workbookView xWindow="-120" yWindow="-120" windowWidth="29040" windowHeight="15840" tabRatio="684" activeTab="1" xr2:uid="{00000000-000D-0000-FFFF-FFFF00000000}"/>
  </bookViews>
  <sheets>
    <sheet name="1Base Properties" sheetId="16" r:id="rId1"/>
    <sheet name="2Thermal Properties" sheetId="20" r:id="rId2"/>
  </sheets>
  <externalReferences>
    <externalReference r:id="rId3"/>
  </externalReferences>
  <definedNames>
    <definedName name="_xlnm.Print_Area" localSheetId="0">'1Base Properties'!$A$2:$G$31</definedName>
    <definedName name="_xlnm.Print_Area" localSheetId="1">'2Thermal Properties'!$A$1:$G$166</definedName>
  </definedNames>
  <calcPr calcId="191029"/>
  <customWorkbookViews>
    <customWorkbookView name="Bill Curtiss/bcurtiss - Personal View" guid="{1382A1C9-C293-463A-B53E-E2547F1BFC5D}" mergeInterval="0" personalView="1" maximized="1" windowWidth="1020" windowHeight="57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20" l="1"/>
  <c r="F6" i="20"/>
  <c r="E6" i="20"/>
  <c r="D6" i="20"/>
  <c r="C6" i="20"/>
</calcChain>
</file>

<file path=xl/sharedStrings.xml><?xml version="1.0" encoding="utf-8"?>
<sst xmlns="http://schemas.openxmlformats.org/spreadsheetml/2006/main" count="116" uniqueCount="72">
  <si>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</si>
  <si>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</si>
  <si>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</si>
  <si>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</si>
  <si>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</si>
  <si>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</si>
  <si>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</si>
  <si>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</si>
  <si>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</si>
  <si>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</si>
  <si>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</si>
  <si>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</si>
  <si>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</si>
  <si>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</si>
  <si>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</si>
  <si>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</si>
  <si>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</si>
  <si>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</si>
  <si>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</si>
  <si>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</si>
  <si>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</si>
  <si>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</si>
  <si>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</si>
  <si>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</si>
  <si>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</si>
  <si>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</si>
  <si>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</si>
  <si>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</si>
  <si>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Young’s Modulus (E), (MPa)</t>
  </si>
  <si>
    <t>Poisson’s Ratio, (ν)</t>
  </si>
  <si>
    <t>Yield Strength, (MPa)</t>
  </si>
  <si>
    <t>Tensile strength, (MPa)</t>
  </si>
  <si>
    <t>Elongation, (%)</t>
  </si>
  <si>
    <t>BH-Effect, (MPa)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</si>
  <si>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</si>
  <si>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</si>
  <si>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</si>
  <si>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</si>
  <si>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</si>
  <si>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</si>
  <si>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Эффект термического упрочнения, (МПа)</t>
  </si>
  <si>
    <t>-</t>
  </si>
  <si>
    <t>Test Method / Методика испытаний</t>
  </si>
  <si>
    <t>EN 10002</t>
  </si>
  <si>
    <t>Thermal Properties / Теплофизические свойства при t=20 ˚С</t>
  </si>
  <si>
    <t>Density, (kg/m³)</t>
  </si>
  <si>
    <t>Specific Heat, J/(kg*C)</t>
  </si>
  <si>
    <t>Thermal Conductivity, (W/(m*C))</t>
  </si>
  <si>
    <t>Плотность, (кг/м³)</t>
  </si>
  <si>
    <t>Теплоемкость, Дж/(кг·С)</t>
  </si>
  <si>
    <t>Теплопроводность, (Вт/(м*C))</t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</si>
  <si>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</si>
  <si>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</si>
  <si>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Thermal Properties / Теплофизические свойства</t>
  </si>
  <si>
    <t>Temperature, (˚C)</t>
  </si>
  <si>
    <t>Температура, (˚C)</t>
  </si>
  <si>
    <r>
      <t>Thermal Expansion Coefficient,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</si>
  <si>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r>
      <t>Коэффициент теплового расширения,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</si>
  <si>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t>Hot rolled steel / Горячекатаная сталь</t>
  </si>
  <si>
    <t>S460ML</t>
  </si>
  <si>
    <t>STO 00186217-223-2013</t>
  </si>
  <si>
    <t>Коэф. Пуассона</t>
  </si>
  <si>
    <t xml:space="preserve">Poisson's ratio </t>
  </si>
  <si>
    <t>Young's modulus, Mpa</t>
  </si>
  <si>
    <r>
      <t>При t = 25</t>
    </r>
    <r>
      <rPr>
        <vertAlign val="superscript"/>
        <sz val="11"/>
        <color theme="1"/>
        <rFont val="Calibri"/>
        <family val="2"/>
        <charset val="204"/>
        <scheme val="minor"/>
      </rPr>
      <t>o</t>
    </r>
    <r>
      <rPr>
        <sz val="10"/>
        <rFont val="Arial"/>
      </rPr>
      <t>C</t>
    </r>
  </si>
  <si>
    <r>
      <t>При t = 200</t>
    </r>
    <r>
      <rPr>
        <vertAlign val="superscript"/>
        <sz val="11"/>
        <color theme="1"/>
        <rFont val="Calibri"/>
        <family val="2"/>
        <charset val="204"/>
        <scheme val="minor"/>
      </rPr>
      <t>o</t>
    </r>
    <r>
      <rPr>
        <sz val="10"/>
        <rFont val="Arial"/>
      </rPr>
      <t>C</t>
    </r>
  </si>
  <si>
    <r>
      <t>При t = 500</t>
    </r>
    <r>
      <rPr>
        <vertAlign val="superscript"/>
        <sz val="11"/>
        <color theme="1"/>
        <rFont val="Calibri"/>
        <family val="2"/>
        <charset val="204"/>
        <scheme val="minor"/>
      </rPr>
      <t>o</t>
    </r>
    <r>
      <rPr>
        <sz val="10"/>
        <rFont val="Arial"/>
      </rPr>
      <t>C</t>
    </r>
  </si>
  <si>
    <r>
      <t>При t = 600</t>
    </r>
    <r>
      <rPr>
        <vertAlign val="superscript"/>
        <sz val="11"/>
        <color theme="1"/>
        <rFont val="Calibri"/>
        <family val="2"/>
        <charset val="204"/>
        <scheme val="minor"/>
      </rPr>
      <t>o</t>
    </r>
    <r>
      <rPr>
        <sz val="10"/>
        <rFont val="Arial"/>
      </rPr>
      <t>C</t>
    </r>
  </si>
  <si>
    <r>
      <t>При t = 700</t>
    </r>
    <r>
      <rPr>
        <vertAlign val="superscript"/>
        <sz val="11"/>
        <color theme="1"/>
        <rFont val="Calibri"/>
        <family val="2"/>
        <charset val="204"/>
        <scheme val="minor"/>
      </rPr>
      <t>o</t>
    </r>
    <r>
      <rPr>
        <sz val="10"/>
        <rFont val="Arial"/>
      </rPr>
      <t>C</t>
    </r>
  </si>
  <si>
    <r>
      <t>При t = 800</t>
    </r>
    <r>
      <rPr>
        <vertAlign val="superscript"/>
        <sz val="11"/>
        <color theme="1"/>
        <rFont val="Calibri"/>
        <family val="2"/>
        <charset val="204"/>
        <scheme val="minor"/>
      </rPr>
      <t>o</t>
    </r>
    <r>
      <rPr>
        <sz val="10"/>
        <rFont val="Arial"/>
      </rPr>
      <t>C</t>
    </r>
  </si>
  <si>
    <t>Удлинение, %</t>
  </si>
  <si>
    <t>Напряжение, МПа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</si>
</sst>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8" x14ac:knownFonts="1">
    <font>
      <sz val="10"/>
      <name val="Arial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vertAlign val="superscript"/>
      <sz val="12"/>
      <color theme="0"/>
      <name val="Calibri"/>
      <family val="2"/>
      <charset val="204"/>
      <scheme val="minor"/>
    </font>
    <font>
      <sz val="8"/>
      <name val="Arial"/>
    </font>
    <font>
      <vertAlign val="superscript"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" fillId="2" borderId="8" applyNumberFormat="0" applyFont="0" applyAlignment="0" applyProtection="0"/>
  </cellStyleXfs>
  <cellXfs count="78">
    <xf numFmtId="0" fontId="0" fillId="0" borderId="0" xfId="0"/>
    <xf numFmtId="0" fontId="4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Alignment="1">
      <alignment horizontal="center" vertical="center" wrapText="1"/>
    </xf>
    <xf numFmtId="14" fontId="5" fillId="0" borderId="0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65" fontId="5" fillId="0" borderId="0" xfId="0" applyNumberFormat="1" applyFont="1" applyFill="1" applyBorder="1" applyAlignment="1">
      <alignment horizontal="center" vertical="center"/>
    </xf>
    <xf numFmtId="165" fontId="5" fillId="0" borderId="0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2" fontId="5" fillId="5" borderId="4" xfId="0" applyNumberFormat="1" applyFont="1" applyFill="1" applyBorder="1" applyAlignment="1">
      <alignment horizontal="center" vertical="center"/>
    </xf>
    <xf numFmtId="0" fontId="6" fillId="0" borderId="0" xfId="0" applyFont="1" applyFill="1"/>
    <xf numFmtId="0" fontId="7" fillId="0" borderId="0" xfId="0" applyFont="1" applyFill="1" applyBorder="1" applyAlignment="1">
      <alignment vertical="center" wrapText="1"/>
    </xf>
    <xf numFmtId="2" fontId="5" fillId="0" borderId="4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/>
    <xf numFmtId="14" fontId="8" fillId="0" borderId="0" xfId="0" applyNumberFormat="1" applyFont="1"/>
    <xf numFmtId="1" fontId="5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2" fontId="10" fillId="0" borderId="0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0" fontId="5" fillId="0" borderId="4" xfId="0" applyFont="1" applyFill="1" applyBorder="1" applyAlignment="1">
      <alignment horizontal="center" vertical="center" wrapText="1"/>
    </xf>
    <xf numFmtId="0" fontId="12" fillId="0" borderId="0" xfId="0" applyFont="1"/>
    <xf numFmtId="2" fontId="11" fillId="0" borderId="4" xfId="0" applyNumberFormat="1" applyFont="1" applyFill="1" applyBorder="1" applyAlignment="1">
      <alignment horizontal="center" vertical="center"/>
    </xf>
    <xf numFmtId="1" fontId="5" fillId="5" borderId="4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1" fontId="5" fillId="5" borderId="3" xfId="0" applyNumberFormat="1" applyFont="1" applyFill="1" applyBorder="1" applyAlignment="1">
      <alignment horizontal="center" vertical="center" wrapText="1"/>
    </xf>
    <xf numFmtId="166" fontId="5" fillId="5" borderId="4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2" fontId="5" fillId="5" borderId="4" xfId="0" applyNumberFormat="1" applyFont="1" applyFill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wrapText="1"/>
    </xf>
    <xf numFmtId="0" fontId="11" fillId="0" borderId="4" xfId="0" applyFont="1" applyBorder="1" applyAlignment="1">
      <alignment horizontal="left" vertical="center"/>
    </xf>
    <xf numFmtId="2" fontId="5" fillId="5" borderId="3" xfId="0" applyNumberFormat="1" applyFont="1" applyFill="1" applyBorder="1" applyAlignment="1">
      <alignment horizontal="center" vertical="center" wrapText="1"/>
    </xf>
    <xf numFmtId="2" fontId="5" fillId="5" borderId="5" xfId="0" applyNumberFormat="1" applyFont="1" applyFill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0" fontId="5" fillId="0" borderId="4" xfId="0" quotePrefix="1" applyFont="1" applyFill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/>
    </xf>
    <xf numFmtId="1" fontId="5" fillId="0" borderId="4" xfId="0" quotePrefix="1" applyNumberFormat="1" applyFont="1" applyBorder="1" applyAlignment="1">
      <alignment horizontal="center" vertical="center" wrapText="1"/>
    </xf>
    <xf numFmtId="0" fontId="5" fillId="5" borderId="4" xfId="0" quotePrefix="1" applyFont="1" applyFill="1" applyBorder="1" applyAlignment="1">
      <alignment horizontal="center" vertical="center" wrapText="1"/>
    </xf>
    <xf numFmtId="0" fontId="5" fillId="5" borderId="4" xfId="0" quotePrefix="1" applyFont="1" applyFill="1" applyBorder="1" applyAlignment="1">
      <alignment horizontal="center" vertical="center"/>
    </xf>
    <xf numFmtId="1" fontId="5" fillId="5" borderId="4" xfId="0" quotePrefix="1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/>
    </xf>
    <xf numFmtId="0" fontId="0" fillId="0" borderId="12" xfId="0" applyBorder="1"/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0" fillId="0" borderId="3" xfId="0" applyBorder="1"/>
    <xf numFmtId="0" fontId="0" fillId="0" borderId="1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5" fillId="5" borderId="2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2" fontId="5" fillId="5" borderId="6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</cellXfs>
  <cellStyles count="4">
    <cellStyle name="Standard_Mikrolegierer v 25.2.02" xfId="1" xr:uid="{00000000-0005-0000-0000-000000000000}"/>
    <cellStyle name="Обычный" xfId="0" builtinId="0"/>
    <cellStyle name="Обычный 2" xfId="2" xr:uid="{00000000-0005-0000-0000-000003000000}"/>
    <cellStyle name="Примечание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'[1]Диаграммы растяжения'!$A$1:$B$1</c:f>
              <c:strCache>
                <c:ptCount val="1"/>
                <c:pt idx="0">
                  <c:v>При t = 25oC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'[1]Диаграммы растяжения'!$A$3:$A$21</c:f>
              <c:numCache>
                <c:formatCode>General</c:formatCode>
                <c:ptCount val="19"/>
                <c:pt idx="0">
                  <c:v>0</c:v>
                </c:pt>
                <c:pt idx="1">
                  <c:v>0.20230000000000001</c:v>
                </c:pt>
                <c:pt idx="2">
                  <c:v>1.9732000000000001</c:v>
                </c:pt>
                <c:pt idx="3">
                  <c:v>4.3258999999999999</c:v>
                </c:pt>
                <c:pt idx="4">
                  <c:v>5.8906000000000001</c:v>
                </c:pt>
                <c:pt idx="5">
                  <c:v>6.7095000000000002</c:v>
                </c:pt>
                <c:pt idx="6">
                  <c:v>7.5292000000000003</c:v>
                </c:pt>
                <c:pt idx="7">
                  <c:v>9.2055000000000007</c:v>
                </c:pt>
                <c:pt idx="8">
                  <c:v>10.062200000000001</c:v>
                </c:pt>
                <c:pt idx="9">
                  <c:v>10.919499999999999</c:v>
                </c:pt>
                <c:pt idx="10">
                  <c:v>11.7439</c:v>
                </c:pt>
                <c:pt idx="11">
                  <c:v>12.569000000000001</c:v>
                </c:pt>
                <c:pt idx="12">
                  <c:v>16.5749</c:v>
                </c:pt>
                <c:pt idx="13">
                  <c:v>17.303899999999999</c:v>
                </c:pt>
                <c:pt idx="14">
                  <c:v>18.693899999999999</c:v>
                </c:pt>
                <c:pt idx="15">
                  <c:v>19.390699999999999</c:v>
                </c:pt>
                <c:pt idx="16">
                  <c:v>20.018799999999999</c:v>
                </c:pt>
                <c:pt idx="17">
                  <c:v>20.648299999999999</c:v>
                </c:pt>
                <c:pt idx="18">
                  <c:v>21.209199999999999</c:v>
                </c:pt>
              </c:numCache>
            </c:numRef>
          </c:xVal>
          <c:yVal>
            <c:numRef>
              <c:f>'[1]Диаграммы растяжения'!$B$3:$B$21</c:f>
              <c:numCache>
                <c:formatCode>General</c:formatCode>
                <c:ptCount val="19"/>
                <c:pt idx="0">
                  <c:v>0</c:v>
                </c:pt>
                <c:pt idx="1">
                  <c:v>533.13</c:v>
                </c:pt>
                <c:pt idx="2">
                  <c:v>597.37</c:v>
                </c:pt>
                <c:pt idx="3">
                  <c:v>619.91</c:v>
                </c:pt>
                <c:pt idx="4">
                  <c:v>631.25</c:v>
                </c:pt>
                <c:pt idx="5">
                  <c:v>637.76</c:v>
                </c:pt>
                <c:pt idx="6">
                  <c:v>641.78</c:v>
                </c:pt>
                <c:pt idx="7">
                  <c:v>646.92999999999995</c:v>
                </c:pt>
                <c:pt idx="8">
                  <c:v>655.04</c:v>
                </c:pt>
                <c:pt idx="9">
                  <c:v>662.68</c:v>
                </c:pt>
                <c:pt idx="10">
                  <c:v>665.33</c:v>
                </c:pt>
                <c:pt idx="11">
                  <c:v>668.49</c:v>
                </c:pt>
                <c:pt idx="12">
                  <c:v>615.64</c:v>
                </c:pt>
                <c:pt idx="13">
                  <c:v>606.9</c:v>
                </c:pt>
                <c:pt idx="14">
                  <c:v>567.88</c:v>
                </c:pt>
                <c:pt idx="15">
                  <c:v>544.66999999999996</c:v>
                </c:pt>
                <c:pt idx="16">
                  <c:v>521.4</c:v>
                </c:pt>
                <c:pt idx="17">
                  <c:v>495.17</c:v>
                </c:pt>
                <c:pt idx="18">
                  <c:v>468.88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45-4524-A099-D946D4EFCDDC}"/>
            </c:ext>
          </c:extLst>
        </c:ser>
        <c:ser>
          <c:idx val="1"/>
          <c:order val="1"/>
          <c:tx>
            <c:strRef>
              <c:f>'[1]Диаграммы растяжения'!$C$1:$D$1</c:f>
              <c:strCache>
                <c:ptCount val="1"/>
                <c:pt idx="0">
                  <c:v>При t = 200oC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'[1]Диаграммы растяжения'!$C$3:$C$26</c:f>
              <c:numCache>
                <c:formatCode>General</c:formatCode>
                <c:ptCount val="24"/>
                <c:pt idx="0">
                  <c:v>0</c:v>
                </c:pt>
                <c:pt idx="1">
                  <c:v>0.2</c:v>
                </c:pt>
                <c:pt idx="2">
                  <c:v>0.93579999999999997</c:v>
                </c:pt>
                <c:pt idx="3">
                  <c:v>1.7002999999999999</c:v>
                </c:pt>
                <c:pt idx="4">
                  <c:v>2.5007000000000001</c:v>
                </c:pt>
                <c:pt idx="5">
                  <c:v>3.3008000000000002</c:v>
                </c:pt>
                <c:pt idx="6">
                  <c:v>4.1371000000000002</c:v>
                </c:pt>
                <c:pt idx="7">
                  <c:v>5.0092999999999996</c:v>
                </c:pt>
                <c:pt idx="8">
                  <c:v>5.8811999999999998</c:v>
                </c:pt>
                <c:pt idx="9">
                  <c:v>6.7530000000000001</c:v>
                </c:pt>
                <c:pt idx="10">
                  <c:v>7.1162999999999998</c:v>
                </c:pt>
                <c:pt idx="11">
                  <c:v>8.0239999999999991</c:v>
                </c:pt>
                <c:pt idx="12">
                  <c:v>8.8955000000000002</c:v>
                </c:pt>
                <c:pt idx="13">
                  <c:v>9.8032000000000004</c:v>
                </c:pt>
                <c:pt idx="14">
                  <c:v>10.6745</c:v>
                </c:pt>
                <c:pt idx="15">
                  <c:v>11.582100000000001</c:v>
                </c:pt>
                <c:pt idx="16">
                  <c:v>12.380699999999999</c:v>
                </c:pt>
                <c:pt idx="17">
                  <c:v>13.2516</c:v>
                </c:pt>
                <c:pt idx="18">
                  <c:v>14.122199999999999</c:v>
                </c:pt>
                <c:pt idx="19">
                  <c:v>14.9924</c:v>
                </c:pt>
                <c:pt idx="20">
                  <c:v>15.8621</c:v>
                </c:pt>
                <c:pt idx="21">
                  <c:v>16.622599999999998</c:v>
                </c:pt>
                <c:pt idx="22">
                  <c:v>17.346499999999999</c:v>
                </c:pt>
                <c:pt idx="23">
                  <c:v>18.033799999999999</c:v>
                </c:pt>
              </c:numCache>
            </c:numRef>
          </c:xVal>
          <c:yVal>
            <c:numRef>
              <c:f>'[1]Диаграммы растяжения'!$D$3:$D$26</c:f>
              <c:numCache>
                <c:formatCode>General</c:formatCode>
                <c:ptCount val="24"/>
                <c:pt idx="0">
                  <c:v>0</c:v>
                </c:pt>
                <c:pt idx="1">
                  <c:v>439.6</c:v>
                </c:pt>
                <c:pt idx="2">
                  <c:v>469.05</c:v>
                </c:pt>
                <c:pt idx="3">
                  <c:v>505.29</c:v>
                </c:pt>
                <c:pt idx="4">
                  <c:v>536.34</c:v>
                </c:pt>
                <c:pt idx="5">
                  <c:v>562.21</c:v>
                </c:pt>
                <c:pt idx="6">
                  <c:v>585.48</c:v>
                </c:pt>
                <c:pt idx="7">
                  <c:v>603.55999999999995</c:v>
                </c:pt>
                <c:pt idx="8">
                  <c:v>616.47</c:v>
                </c:pt>
                <c:pt idx="9">
                  <c:v>626.78</c:v>
                </c:pt>
                <c:pt idx="10">
                  <c:v>631.94000000000005</c:v>
                </c:pt>
                <c:pt idx="11">
                  <c:v>637.05999999999995</c:v>
                </c:pt>
                <c:pt idx="12">
                  <c:v>642.19000000000005</c:v>
                </c:pt>
                <c:pt idx="13">
                  <c:v>647.30999999999995</c:v>
                </c:pt>
                <c:pt idx="14">
                  <c:v>649.85</c:v>
                </c:pt>
                <c:pt idx="15">
                  <c:v>652.38</c:v>
                </c:pt>
                <c:pt idx="16">
                  <c:v>652.33000000000004</c:v>
                </c:pt>
                <c:pt idx="17">
                  <c:v>649.67999999999995</c:v>
                </c:pt>
                <c:pt idx="18">
                  <c:v>639.26</c:v>
                </c:pt>
                <c:pt idx="19">
                  <c:v>623.65</c:v>
                </c:pt>
                <c:pt idx="20">
                  <c:v>600.27</c:v>
                </c:pt>
                <c:pt idx="21">
                  <c:v>571.71</c:v>
                </c:pt>
                <c:pt idx="22">
                  <c:v>537.97</c:v>
                </c:pt>
                <c:pt idx="23">
                  <c:v>499.05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45-4524-A099-D946D4EFCDDC}"/>
            </c:ext>
          </c:extLst>
        </c:ser>
        <c:ser>
          <c:idx val="2"/>
          <c:order val="2"/>
          <c:tx>
            <c:strRef>
              <c:f>'[1]Диаграммы растяжения'!$E$1:$F$1</c:f>
              <c:strCache>
                <c:ptCount val="1"/>
                <c:pt idx="0">
                  <c:v>При t = 500oC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'[1]Диаграммы растяжения'!$E$3:$E$32</c:f>
              <c:numCache>
                <c:formatCode>General</c:formatCode>
                <c:ptCount val="30"/>
                <c:pt idx="0">
                  <c:v>0</c:v>
                </c:pt>
                <c:pt idx="1">
                  <c:v>0.22370000000000001</c:v>
                </c:pt>
                <c:pt idx="2">
                  <c:v>0.35799999999999998</c:v>
                </c:pt>
                <c:pt idx="3">
                  <c:v>0.51529999999999998</c:v>
                </c:pt>
                <c:pt idx="4">
                  <c:v>0.63429999999999997</c:v>
                </c:pt>
                <c:pt idx="5">
                  <c:v>1.1049</c:v>
                </c:pt>
                <c:pt idx="6">
                  <c:v>2.0354000000000001</c:v>
                </c:pt>
                <c:pt idx="7">
                  <c:v>3.3439999999999999</c:v>
                </c:pt>
                <c:pt idx="8">
                  <c:v>4.4054000000000002</c:v>
                </c:pt>
                <c:pt idx="9">
                  <c:v>5.907</c:v>
                </c:pt>
                <c:pt idx="10">
                  <c:v>7.4722999999999997</c:v>
                </c:pt>
                <c:pt idx="11">
                  <c:v>9.0383999999999993</c:v>
                </c:pt>
                <c:pt idx="12">
                  <c:v>10.542400000000001</c:v>
                </c:pt>
                <c:pt idx="13">
                  <c:v>11.608000000000001</c:v>
                </c:pt>
                <c:pt idx="14">
                  <c:v>13.112500000000001</c:v>
                </c:pt>
                <c:pt idx="15">
                  <c:v>14.6174</c:v>
                </c:pt>
                <c:pt idx="16">
                  <c:v>16.122399999999999</c:v>
                </c:pt>
                <c:pt idx="17">
                  <c:v>17.626799999999999</c:v>
                </c:pt>
                <c:pt idx="18">
                  <c:v>19.132200000000001</c:v>
                </c:pt>
                <c:pt idx="19">
                  <c:v>20.637699999999999</c:v>
                </c:pt>
                <c:pt idx="20">
                  <c:v>22.143999999999998</c:v>
                </c:pt>
                <c:pt idx="21">
                  <c:v>23.588699999999999</c:v>
                </c:pt>
                <c:pt idx="22">
                  <c:v>24.971599999999999</c:v>
                </c:pt>
                <c:pt idx="23">
                  <c:v>26.231200000000001</c:v>
                </c:pt>
                <c:pt idx="24">
                  <c:v>27.366</c:v>
                </c:pt>
                <c:pt idx="25">
                  <c:v>28.4391</c:v>
                </c:pt>
                <c:pt idx="26">
                  <c:v>29.387899999999998</c:v>
                </c:pt>
                <c:pt idx="27">
                  <c:v>30.338100000000001</c:v>
                </c:pt>
                <c:pt idx="28">
                  <c:v>31.1</c:v>
                </c:pt>
                <c:pt idx="29">
                  <c:v>31.799199999999999</c:v>
                </c:pt>
              </c:numCache>
            </c:numRef>
          </c:xVal>
          <c:yVal>
            <c:numRef>
              <c:f>'[1]Диаграммы растяжения'!$F$3:$F$32</c:f>
              <c:numCache>
                <c:formatCode>General</c:formatCode>
                <c:ptCount val="30"/>
                <c:pt idx="0">
                  <c:v>0</c:v>
                </c:pt>
                <c:pt idx="1">
                  <c:v>305.30200000000002</c:v>
                </c:pt>
                <c:pt idx="2">
                  <c:v>318.56</c:v>
                </c:pt>
                <c:pt idx="3">
                  <c:v>333.89</c:v>
                </c:pt>
                <c:pt idx="4">
                  <c:v>350.85</c:v>
                </c:pt>
                <c:pt idx="5">
                  <c:v>371.7</c:v>
                </c:pt>
                <c:pt idx="6">
                  <c:v>400.3</c:v>
                </c:pt>
                <c:pt idx="7">
                  <c:v>421.47</c:v>
                </c:pt>
                <c:pt idx="8">
                  <c:v>432.12</c:v>
                </c:pt>
                <c:pt idx="9">
                  <c:v>436.84</c:v>
                </c:pt>
                <c:pt idx="10">
                  <c:v>438.57</c:v>
                </c:pt>
                <c:pt idx="11">
                  <c:v>437.31</c:v>
                </c:pt>
                <c:pt idx="12">
                  <c:v>434.54</c:v>
                </c:pt>
                <c:pt idx="13">
                  <c:v>431.7</c:v>
                </c:pt>
                <c:pt idx="14">
                  <c:v>427.43</c:v>
                </c:pt>
                <c:pt idx="15">
                  <c:v>421.67</c:v>
                </c:pt>
                <c:pt idx="16">
                  <c:v>415.9</c:v>
                </c:pt>
                <c:pt idx="17">
                  <c:v>411.63</c:v>
                </c:pt>
                <c:pt idx="18">
                  <c:v>404.36</c:v>
                </c:pt>
                <c:pt idx="19">
                  <c:v>397.1</c:v>
                </c:pt>
                <c:pt idx="20">
                  <c:v>386.84</c:v>
                </c:pt>
                <c:pt idx="21">
                  <c:v>373.57</c:v>
                </c:pt>
                <c:pt idx="22">
                  <c:v>357.3</c:v>
                </c:pt>
                <c:pt idx="23">
                  <c:v>335.02</c:v>
                </c:pt>
                <c:pt idx="24">
                  <c:v>311.22000000000003</c:v>
                </c:pt>
                <c:pt idx="25">
                  <c:v>284.41000000000003</c:v>
                </c:pt>
                <c:pt idx="26">
                  <c:v>254.59</c:v>
                </c:pt>
                <c:pt idx="27">
                  <c:v>220.28</c:v>
                </c:pt>
                <c:pt idx="28">
                  <c:v>187.43</c:v>
                </c:pt>
                <c:pt idx="29">
                  <c:v>154.58000000000001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45-4524-A099-D946D4EFCDDC}"/>
            </c:ext>
          </c:extLst>
        </c:ser>
        <c:ser>
          <c:idx val="3"/>
          <c:order val="3"/>
          <c:tx>
            <c:strRef>
              <c:f>'[1]Диаграммы растяжения'!$G$1:$H$1</c:f>
              <c:strCache>
                <c:ptCount val="1"/>
                <c:pt idx="0">
                  <c:v>При t = 600oC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'[1]Диаграммы растяжения'!$G$3:$G$32</c:f>
              <c:numCache>
                <c:formatCode>General</c:formatCode>
                <c:ptCount val="30"/>
                <c:pt idx="0">
                  <c:v>0</c:v>
                </c:pt>
                <c:pt idx="1">
                  <c:v>0.22370000000000001</c:v>
                </c:pt>
                <c:pt idx="2">
                  <c:v>0.35799999999999998</c:v>
                </c:pt>
                <c:pt idx="3">
                  <c:v>0.51529999999999998</c:v>
                </c:pt>
                <c:pt idx="4">
                  <c:v>0.63429999999999997</c:v>
                </c:pt>
                <c:pt idx="5">
                  <c:v>1.1049</c:v>
                </c:pt>
                <c:pt idx="6">
                  <c:v>2.0354000000000001</c:v>
                </c:pt>
                <c:pt idx="7">
                  <c:v>3.3439999999999999</c:v>
                </c:pt>
                <c:pt idx="8">
                  <c:v>4.4054000000000002</c:v>
                </c:pt>
                <c:pt idx="9">
                  <c:v>5.907</c:v>
                </c:pt>
                <c:pt idx="10">
                  <c:v>7.4722999999999997</c:v>
                </c:pt>
                <c:pt idx="11">
                  <c:v>9.0383999999999993</c:v>
                </c:pt>
                <c:pt idx="12">
                  <c:v>10.542400000000001</c:v>
                </c:pt>
                <c:pt idx="13">
                  <c:v>11.608000000000001</c:v>
                </c:pt>
                <c:pt idx="14">
                  <c:v>13.112500000000001</c:v>
                </c:pt>
                <c:pt idx="15">
                  <c:v>14.6174</c:v>
                </c:pt>
                <c:pt idx="16">
                  <c:v>16.122399999999999</c:v>
                </c:pt>
                <c:pt idx="17">
                  <c:v>17.626799999999999</c:v>
                </c:pt>
                <c:pt idx="18">
                  <c:v>19.132200000000001</c:v>
                </c:pt>
                <c:pt idx="19">
                  <c:v>20.637699999999999</c:v>
                </c:pt>
                <c:pt idx="20">
                  <c:v>22.143999999999998</c:v>
                </c:pt>
                <c:pt idx="21">
                  <c:v>23.588699999999999</c:v>
                </c:pt>
                <c:pt idx="22">
                  <c:v>24.971599999999999</c:v>
                </c:pt>
                <c:pt idx="23">
                  <c:v>26.231200000000001</c:v>
                </c:pt>
                <c:pt idx="24">
                  <c:v>27.366</c:v>
                </c:pt>
                <c:pt idx="25">
                  <c:v>28.4391</c:v>
                </c:pt>
                <c:pt idx="26">
                  <c:v>29.387899999999998</c:v>
                </c:pt>
                <c:pt idx="27">
                  <c:v>30.338100000000001</c:v>
                </c:pt>
                <c:pt idx="28">
                  <c:v>31.1</c:v>
                </c:pt>
                <c:pt idx="29">
                  <c:v>31.799199999999999</c:v>
                </c:pt>
              </c:numCache>
            </c:numRef>
          </c:xVal>
          <c:yVal>
            <c:numRef>
              <c:f>'[1]Диаграммы растяжения'!$H$3:$H$32</c:f>
              <c:numCache>
                <c:formatCode>General</c:formatCode>
                <c:ptCount val="30"/>
                <c:pt idx="0">
                  <c:v>0</c:v>
                </c:pt>
                <c:pt idx="1">
                  <c:v>186.7</c:v>
                </c:pt>
                <c:pt idx="2">
                  <c:v>218.56</c:v>
                </c:pt>
                <c:pt idx="3">
                  <c:v>233.89</c:v>
                </c:pt>
                <c:pt idx="4">
                  <c:v>250.85000000000002</c:v>
                </c:pt>
                <c:pt idx="5">
                  <c:v>271.7</c:v>
                </c:pt>
                <c:pt idx="6">
                  <c:v>300.3</c:v>
                </c:pt>
                <c:pt idx="7">
                  <c:v>321.47000000000003</c:v>
                </c:pt>
                <c:pt idx="8">
                  <c:v>332.12</c:v>
                </c:pt>
                <c:pt idx="9">
                  <c:v>336.84</c:v>
                </c:pt>
                <c:pt idx="10">
                  <c:v>338.57</c:v>
                </c:pt>
                <c:pt idx="11">
                  <c:v>337.31</c:v>
                </c:pt>
                <c:pt idx="12">
                  <c:v>334.54</c:v>
                </c:pt>
                <c:pt idx="13">
                  <c:v>331.7</c:v>
                </c:pt>
                <c:pt idx="14">
                  <c:v>327.43</c:v>
                </c:pt>
                <c:pt idx="15">
                  <c:v>321.67</c:v>
                </c:pt>
                <c:pt idx="16">
                  <c:v>315.89999999999998</c:v>
                </c:pt>
                <c:pt idx="17">
                  <c:v>311.63</c:v>
                </c:pt>
                <c:pt idx="18">
                  <c:v>304.36</c:v>
                </c:pt>
                <c:pt idx="19">
                  <c:v>297.10000000000002</c:v>
                </c:pt>
                <c:pt idx="20">
                  <c:v>286.83999999999997</c:v>
                </c:pt>
                <c:pt idx="21">
                  <c:v>273.57</c:v>
                </c:pt>
                <c:pt idx="22">
                  <c:v>257.3</c:v>
                </c:pt>
                <c:pt idx="23">
                  <c:v>235.01999999999998</c:v>
                </c:pt>
                <c:pt idx="24">
                  <c:v>211.22000000000003</c:v>
                </c:pt>
                <c:pt idx="25">
                  <c:v>184.41000000000003</c:v>
                </c:pt>
                <c:pt idx="26">
                  <c:v>154.59</c:v>
                </c:pt>
                <c:pt idx="27">
                  <c:v>120.28</c:v>
                </c:pt>
                <c:pt idx="28">
                  <c:v>87.43</c:v>
                </c:pt>
                <c:pt idx="29">
                  <c:v>54.580000000000013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45-4524-A099-D946D4EFCDDC}"/>
            </c:ext>
          </c:extLst>
        </c:ser>
        <c:ser>
          <c:idx val="4"/>
          <c:order val="4"/>
          <c:tx>
            <c:strRef>
              <c:f>'[1]Диаграммы растяжения'!$I$1:$J$1</c:f>
              <c:strCache>
                <c:ptCount val="1"/>
                <c:pt idx="0">
                  <c:v>При t = 700oC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'[1]Диаграммы растяжения'!$I$3:$I$29</c:f>
              <c:numCache>
                <c:formatCode>General</c:formatCode>
                <c:ptCount val="27"/>
                <c:pt idx="0">
                  <c:v>0</c:v>
                </c:pt>
                <c:pt idx="1">
                  <c:v>0.20830000000000001</c:v>
                </c:pt>
                <c:pt idx="2">
                  <c:v>0.66490000000000005</c:v>
                </c:pt>
                <c:pt idx="3">
                  <c:v>0.74139999999999995</c:v>
                </c:pt>
                <c:pt idx="4">
                  <c:v>0.90959999999999996</c:v>
                </c:pt>
                <c:pt idx="5">
                  <c:v>1.8895999999999999</c:v>
                </c:pt>
                <c:pt idx="6">
                  <c:v>4.0544000000000002</c:v>
                </c:pt>
                <c:pt idx="7">
                  <c:v>6.1313000000000004</c:v>
                </c:pt>
                <c:pt idx="8">
                  <c:v>8.2081</c:v>
                </c:pt>
                <c:pt idx="9">
                  <c:v>10.285</c:v>
                </c:pt>
                <c:pt idx="10">
                  <c:v>12.452</c:v>
                </c:pt>
                <c:pt idx="11">
                  <c:v>14.5289</c:v>
                </c:pt>
                <c:pt idx="12">
                  <c:v>16.605699999999999</c:v>
                </c:pt>
                <c:pt idx="13">
                  <c:v>18.772099999999998</c:v>
                </c:pt>
                <c:pt idx="14">
                  <c:v>20.848500000000001</c:v>
                </c:pt>
                <c:pt idx="15">
                  <c:v>23.014900000000001</c:v>
                </c:pt>
                <c:pt idx="16">
                  <c:v>25.090699999999998</c:v>
                </c:pt>
                <c:pt idx="17">
                  <c:v>27.256499999999999</c:v>
                </c:pt>
                <c:pt idx="18">
                  <c:v>29.332899999999999</c:v>
                </c:pt>
                <c:pt idx="19">
                  <c:v>31.499300000000002</c:v>
                </c:pt>
                <c:pt idx="20">
                  <c:v>33.576700000000002</c:v>
                </c:pt>
                <c:pt idx="21">
                  <c:v>35.564599999999999</c:v>
                </c:pt>
                <c:pt idx="22">
                  <c:v>37.463500000000003</c:v>
                </c:pt>
                <c:pt idx="23">
                  <c:v>39.183300000000003</c:v>
                </c:pt>
                <c:pt idx="24">
                  <c:v>40.903100000000002</c:v>
                </c:pt>
                <c:pt idx="25">
                  <c:v>42.533900000000003</c:v>
                </c:pt>
                <c:pt idx="26">
                  <c:v>44.164700000000003</c:v>
                </c:pt>
              </c:numCache>
            </c:numRef>
          </c:xVal>
          <c:yVal>
            <c:numRef>
              <c:f>'[1]Диаграммы растяжения'!$J$3:$J$29</c:f>
              <c:numCache>
                <c:formatCode>General</c:formatCode>
                <c:ptCount val="27"/>
                <c:pt idx="0">
                  <c:v>0</c:v>
                </c:pt>
                <c:pt idx="1">
                  <c:v>99.796000000000006</c:v>
                </c:pt>
                <c:pt idx="2">
                  <c:v>111.931</c:v>
                </c:pt>
                <c:pt idx="3">
                  <c:v>127.056</c:v>
                </c:pt>
                <c:pt idx="4">
                  <c:v>140.37200000000001</c:v>
                </c:pt>
                <c:pt idx="5">
                  <c:v>152.52199999999999</c:v>
                </c:pt>
                <c:pt idx="6">
                  <c:v>149.61600000000001</c:v>
                </c:pt>
                <c:pt idx="7">
                  <c:v>144.285</c:v>
                </c:pt>
                <c:pt idx="8">
                  <c:v>138.95500000000001</c:v>
                </c:pt>
                <c:pt idx="9">
                  <c:v>133.624</c:v>
                </c:pt>
                <c:pt idx="10">
                  <c:v>128.29900000000001</c:v>
                </c:pt>
                <c:pt idx="11">
                  <c:v>122.968</c:v>
                </c:pt>
                <c:pt idx="12">
                  <c:v>117.63800000000001</c:v>
                </c:pt>
                <c:pt idx="13">
                  <c:v>112.917</c:v>
                </c:pt>
                <c:pt idx="14">
                  <c:v>108.191</c:v>
                </c:pt>
                <c:pt idx="15">
                  <c:v>103.471</c:v>
                </c:pt>
                <c:pt idx="16">
                  <c:v>99.35</c:v>
                </c:pt>
                <c:pt idx="17">
                  <c:v>95.233999999999995</c:v>
                </c:pt>
                <c:pt idx="18">
                  <c:v>90.507999999999996</c:v>
                </c:pt>
                <c:pt idx="19">
                  <c:v>85.787000000000006</c:v>
                </c:pt>
                <c:pt idx="20">
                  <c:v>79.852000000000004</c:v>
                </c:pt>
                <c:pt idx="21">
                  <c:v>73.307000000000002</c:v>
                </c:pt>
                <c:pt idx="22">
                  <c:v>65.546999999999997</c:v>
                </c:pt>
                <c:pt idx="23">
                  <c:v>56.567999999999998</c:v>
                </c:pt>
                <c:pt idx="24">
                  <c:v>47.588999999999999</c:v>
                </c:pt>
                <c:pt idx="25">
                  <c:v>37.396000000000001</c:v>
                </c:pt>
                <c:pt idx="26">
                  <c:v>27.202999999999999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45-4524-A099-D946D4EFCDDC}"/>
            </c:ext>
          </c:extLst>
        </c:ser>
        <c:ser>
          <c:idx val="5"/>
          <c:order val="5"/>
          <c:tx>
            <c:strRef>
              <c:f>'[1]Диаграммы растяжения'!$K$1:$L$1</c:f>
              <c:strCache>
                <c:ptCount val="1"/>
                <c:pt idx="0">
                  <c:v>При t = 800oC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'[1]Диаграммы растяжения'!$K$3:$K$31</c:f>
              <c:numCache>
                <c:formatCode>General</c:formatCode>
                <c:ptCount val="29"/>
                <c:pt idx="0">
                  <c:v>0</c:v>
                </c:pt>
                <c:pt idx="1">
                  <c:v>0.21390000000000001</c:v>
                </c:pt>
                <c:pt idx="2">
                  <c:v>0.28670000000000001</c:v>
                </c:pt>
                <c:pt idx="3">
                  <c:v>0.58160000000000001</c:v>
                </c:pt>
                <c:pt idx="4">
                  <c:v>1.3560000000000001</c:v>
                </c:pt>
                <c:pt idx="5">
                  <c:v>2.0028000000000001</c:v>
                </c:pt>
                <c:pt idx="6">
                  <c:v>2.8631000000000002</c:v>
                </c:pt>
                <c:pt idx="7">
                  <c:v>3.6377999999999999</c:v>
                </c:pt>
                <c:pt idx="8">
                  <c:v>4.4126000000000003</c:v>
                </c:pt>
                <c:pt idx="9">
                  <c:v>5.1875</c:v>
                </c:pt>
                <c:pt idx="10">
                  <c:v>6.1318000000000001</c:v>
                </c:pt>
                <c:pt idx="11">
                  <c:v>7.1189</c:v>
                </c:pt>
                <c:pt idx="12">
                  <c:v>8.1471</c:v>
                </c:pt>
                <c:pt idx="13">
                  <c:v>9.2186000000000003</c:v>
                </c:pt>
                <c:pt idx="14">
                  <c:v>10.247299999999999</c:v>
                </c:pt>
                <c:pt idx="15">
                  <c:v>11.276</c:v>
                </c:pt>
                <c:pt idx="16">
                  <c:v>12.3475</c:v>
                </c:pt>
                <c:pt idx="17">
                  <c:v>13.419</c:v>
                </c:pt>
                <c:pt idx="18">
                  <c:v>14.4475</c:v>
                </c:pt>
                <c:pt idx="19">
                  <c:v>15.5181</c:v>
                </c:pt>
                <c:pt idx="20">
                  <c:v>16.5457</c:v>
                </c:pt>
                <c:pt idx="21">
                  <c:v>17.5733</c:v>
                </c:pt>
                <c:pt idx="22">
                  <c:v>18.643999999999998</c:v>
                </c:pt>
                <c:pt idx="23">
                  <c:v>19.7151</c:v>
                </c:pt>
                <c:pt idx="24">
                  <c:v>20.7013</c:v>
                </c:pt>
                <c:pt idx="25">
                  <c:v>21.730399999999999</c:v>
                </c:pt>
                <c:pt idx="26">
                  <c:v>22.716699999999999</c:v>
                </c:pt>
                <c:pt idx="27">
                  <c:v>23.745799999999999</c:v>
                </c:pt>
                <c:pt idx="28">
                  <c:v>24.7319</c:v>
                </c:pt>
              </c:numCache>
            </c:numRef>
          </c:xVal>
          <c:yVal>
            <c:numRef>
              <c:f>'[1]Диаграммы растяжения'!$L$3:$L$31</c:f>
              <c:numCache>
                <c:formatCode>General</c:formatCode>
                <c:ptCount val="29"/>
                <c:pt idx="0">
                  <c:v>0</c:v>
                </c:pt>
                <c:pt idx="1">
                  <c:v>34.817999999999998</c:v>
                </c:pt>
                <c:pt idx="2">
                  <c:v>43.621000000000002</c:v>
                </c:pt>
                <c:pt idx="3">
                  <c:v>47.494999999999997</c:v>
                </c:pt>
                <c:pt idx="4">
                  <c:v>44.994</c:v>
                </c:pt>
                <c:pt idx="5">
                  <c:v>41.819000000000003</c:v>
                </c:pt>
                <c:pt idx="6">
                  <c:v>39.152999999999999</c:v>
                </c:pt>
                <c:pt idx="7">
                  <c:v>36.484000000000002</c:v>
                </c:pt>
                <c:pt idx="8">
                  <c:v>33.648000000000003</c:v>
                </c:pt>
                <c:pt idx="9">
                  <c:v>30.812000000000001</c:v>
                </c:pt>
                <c:pt idx="10">
                  <c:v>29.492999999999999</c:v>
                </c:pt>
                <c:pt idx="11">
                  <c:v>28.175000000000001</c:v>
                </c:pt>
                <c:pt idx="12">
                  <c:v>28.202000000000002</c:v>
                </c:pt>
                <c:pt idx="13">
                  <c:v>27.895</c:v>
                </c:pt>
                <c:pt idx="14">
                  <c:v>27.585999999999999</c:v>
                </c:pt>
                <c:pt idx="15">
                  <c:v>27.277999999999999</c:v>
                </c:pt>
                <c:pt idx="16">
                  <c:v>26.971</c:v>
                </c:pt>
                <c:pt idx="17">
                  <c:v>26.663</c:v>
                </c:pt>
                <c:pt idx="18">
                  <c:v>26.523</c:v>
                </c:pt>
                <c:pt idx="19">
                  <c:v>26.888000000000002</c:v>
                </c:pt>
                <c:pt idx="20">
                  <c:v>27.42</c:v>
                </c:pt>
                <c:pt idx="21">
                  <c:v>27.952000000000002</c:v>
                </c:pt>
                <c:pt idx="22">
                  <c:v>28.315999999999999</c:v>
                </c:pt>
                <c:pt idx="23">
                  <c:v>28.344999999999999</c:v>
                </c:pt>
                <c:pt idx="24">
                  <c:v>27.7</c:v>
                </c:pt>
                <c:pt idx="25">
                  <c:v>27.055</c:v>
                </c:pt>
                <c:pt idx="26">
                  <c:v>26.408999999999999</c:v>
                </c:pt>
                <c:pt idx="27">
                  <c:v>25.765000000000001</c:v>
                </c:pt>
                <c:pt idx="28">
                  <c:v>25.286999999999999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45-4524-A099-D946D4EFC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982848"/>
        <c:axId val="589976944"/>
      </c:scatterChart>
      <c:valAx>
        <c:axId val="589982848"/>
        <c:scaling>
          <c:orientation val="minMax"/>
          <c:max val="4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Удлинение,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9976944"/>
        <c:crosses val="autoZero"/>
        <c:crossBetween val="midCat"/>
      </c:valAx>
      <c:valAx>
        <c:axId val="589976944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Напряжение, МПа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9982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132</xdr:row>
      <xdr:rowOff>0</xdr:rowOff>
    </xdr:from>
    <xdr:to>
      <xdr:col>25</xdr:col>
      <xdr:colOff>5380</xdr:colOff>
      <xdr:row>152</xdr:row>
      <xdr:rowOff>134247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D0A0B42-28F3-4CBF-88CC-DA02A7350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.vinogradov2\Documents\S460ML_HR_14mm_SVS_Thermophysical_properties_Material%20Card_2017.12.17.xlsx" TargetMode="External"/><Relationship Id="rId1" Type="http://schemas.openxmlformats.org/officeDocument/2006/relationships/externalLinkPath" Target="/Users/da.vinogradov2/Documents/S460ML_HR_14mm_SVS_Thermophysical_properties_Material%20Card_2017.12.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Теплофизические свойства"/>
      <sheetName val="Диаграммы растяжения"/>
    </sheetNames>
    <sheetDataSet>
      <sheetData sheetId="0"/>
      <sheetData sheetId="1">
        <row r="1">
          <cell r="A1" t="str">
            <v>При t = 25oC</v>
          </cell>
          <cell r="C1" t="str">
            <v>При t = 200oC</v>
          </cell>
          <cell r="E1" t="str">
            <v>При t = 500oC</v>
          </cell>
          <cell r="G1" t="str">
            <v>При t = 600oC</v>
          </cell>
          <cell r="I1" t="str">
            <v>При t = 700oC</v>
          </cell>
          <cell r="K1" t="str">
            <v>При t = 800oC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>
            <v>0.20230000000000001</v>
          </cell>
          <cell r="B4">
            <v>533.13</v>
          </cell>
          <cell r="C4">
            <v>0.2</v>
          </cell>
          <cell r="D4">
            <v>439.6</v>
          </cell>
          <cell r="E4">
            <v>0.22370000000000001</v>
          </cell>
          <cell r="F4">
            <v>305.30200000000002</v>
          </cell>
          <cell r="G4">
            <v>0.22370000000000001</v>
          </cell>
          <cell r="H4">
            <v>186.7</v>
          </cell>
          <cell r="I4">
            <v>0.20830000000000001</v>
          </cell>
          <cell r="J4">
            <v>99.796000000000006</v>
          </cell>
          <cell r="K4">
            <v>0.21390000000000001</v>
          </cell>
          <cell r="L4">
            <v>34.817999999999998</v>
          </cell>
        </row>
        <row r="5">
          <cell r="A5">
            <v>1.9732000000000001</v>
          </cell>
          <cell r="B5">
            <v>597.37</v>
          </cell>
          <cell r="C5">
            <v>0.93579999999999997</v>
          </cell>
          <cell r="D5">
            <v>469.05</v>
          </cell>
          <cell r="E5">
            <v>0.35799999999999998</v>
          </cell>
          <cell r="F5">
            <v>318.56</v>
          </cell>
          <cell r="G5">
            <v>0.35799999999999998</v>
          </cell>
          <cell r="H5">
            <v>218.56</v>
          </cell>
          <cell r="I5">
            <v>0.66490000000000005</v>
          </cell>
          <cell r="J5">
            <v>111.931</v>
          </cell>
          <cell r="K5">
            <v>0.28670000000000001</v>
          </cell>
          <cell r="L5">
            <v>43.621000000000002</v>
          </cell>
        </row>
        <row r="6">
          <cell r="A6">
            <v>4.3258999999999999</v>
          </cell>
          <cell r="B6">
            <v>619.91</v>
          </cell>
          <cell r="C6">
            <v>1.7002999999999999</v>
          </cell>
          <cell r="D6">
            <v>505.29</v>
          </cell>
          <cell r="E6">
            <v>0.51529999999999998</v>
          </cell>
          <cell r="F6">
            <v>333.89</v>
          </cell>
          <cell r="G6">
            <v>0.51529999999999998</v>
          </cell>
          <cell r="H6">
            <v>233.89</v>
          </cell>
          <cell r="I6">
            <v>0.74139999999999995</v>
          </cell>
          <cell r="J6">
            <v>127.056</v>
          </cell>
          <cell r="K6">
            <v>0.58160000000000001</v>
          </cell>
          <cell r="L6">
            <v>47.494999999999997</v>
          </cell>
        </row>
        <row r="7">
          <cell r="A7">
            <v>5.8906000000000001</v>
          </cell>
          <cell r="B7">
            <v>631.25</v>
          </cell>
          <cell r="C7">
            <v>2.5007000000000001</v>
          </cell>
          <cell r="D7">
            <v>536.34</v>
          </cell>
          <cell r="E7">
            <v>0.63429999999999997</v>
          </cell>
          <cell r="F7">
            <v>350.85</v>
          </cell>
          <cell r="G7">
            <v>0.63429999999999997</v>
          </cell>
          <cell r="H7">
            <v>250.85000000000002</v>
          </cell>
          <cell r="I7">
            <v>0.90959999999999996</v>
          </cell>
          <cell r="J7">
            <v>140.37200000000001</v>
          </cell>
          <cell r="K7">
            <v>1.3560000000000001</v>
          </cell>
          <cell r="L7">
            <v>44.994</v>
          </cell>
        </row>
        <row r="8">
          <cell r="A8">
            <v>6.7095000000000002</v>
          </cell>
          <cell r="B8">
            <v>637.76</v>
          </cell>
          <cell r="C8">
            <v>3.3008000000000002</v>
          </cell>
          <cell r="D8">
            <v>562.21</v>
          </cell>
          <cell r="E8">
            <v>1.1049</v>
          </cell>
          <cell r="F8">
            <v>371.7</v>
          </cell>
          <cell r="G8">
            <v>1.1049</v>
          </cell>
          <cell r="H8">
            <v>271.7</v>
          </cell>
          <cell r="I8">
            <v>1.8895999999999999</v>
          </cell>
          <cell r="J8">
            <v>152.52199999999999</v>
          </cell>
          <cell r="K8">
            <v>2.0028000000000001</v>
          </cell>
          <cell r="L8">
            <v>41.819000000000003</v>
          </cell>
        </row>
        <row r="9">
          <cell r="A9">
            <v>7.5292000000000003</v>
          </cell>
          <cell r="B9">
            <v>641.78</v>
          </cell>
          <cell r="C9">
            <v>4.1371000000000002</v>
          </cell>
          <cell r="D9">
            <v>585.48</v>
          </cell>
          <cell r="E9">
            <v>2.0354000000000001</v>
          </cell>
          <cell r="F9">
            <v>400.3</v>
          </cell>
          <cell r="G9">
            <v>2.0354000000000001</v>
          </cell>
          <cell r="H9">
            <v>300.3</v>
          </cell>
          <cell r="I9">
            <v>4.0544000000000002</v>
          </cell>
          <cell r="J9">
            <v>149.61600000000001</v>
          </cell>
          <cell r="K9">
            <v>2.8631000000000002</v>
          </cell>
          <cell r="L9">
            <v>39.152999999999999</v>
          </cell>
        </row>
        <row r="10">
          <cell r="A10">
            <v>9.2055000000000007</v>
          </cell>
          <cell r="B10">
            <v>646.92999999999995</v>
          </cell>
          <cell r="C10">
            <v>5.0092999999999996</v>
          </cell>
          <cell r="D10">
            <v>603.55999999999995</v>
          </cell>
          <cell r="E10">
            <v>3.3439999999999999</v>
          </cell>
          <cell r="F10">
            <v>421.47</v>
          </cell>
          <cell r="G10">
            <v>3.3439999999999999</v>
          </cell>
          <cell r="H10">
            <v>321.47000000000003</v>
          </cell>
          <cell r="I10">
            <v>6.1313000000000004</v>
          </cell>
          <cell r="J10">
            <v>144.285</v>
          </cell>
          <cell r="K10">
            <v>3.6377999999999999</v>
          </cell>
          <cell r="L10">
            <v>36.484000000000002</v>
          </cell>
        </row>
        <row r="11">
          <cell r="A11">
            <v>10.062200000000001</v>
          </cell>
          <cell r="B11">
            <v>655.04</v>
          </cell>
          <cell r="C11">
            <v>5.8811999999999998</v>
          </cell>
          <cell r="D11">
            <v>616.47</v>
          </cell>
          <cell r="E11">
            <v>4.4054000000000002</v>
          </cell>
          <cell r="F11">
            <v>432.12</v>
          </cell>
          <cell r="G11">
            <v>4.4054000000000002</v>
          </cell>
          <cell r="H11">
            <v>332.12</v>
          </cell>
          <cell r="I11">
            <v>8.2081</v>
          </cell>
          <cell r="J11">
            <v>138.95500000000001</v>
          </cell>
          <cell r="K11">
            <v>4.4126000000000003</v>
          </cell>
          <cell r="L11">
            <v>33.648000000000003</v>
          </cell>
        </row>
        <row r="12">
          <cell r="A12">
            <v>10.919499999999999</v>
          </cell>
          <cell r="B12">
            <v>662.68</v>
          </cell>
          <cell r="C12">
            <v>6.7530000000000001</v>
          </cell>
          <cell r="D12">
            <v>626.78</v>
          </cell>
          <cell r="E12">
            <v>5.907</v>
          </cell>
          <cell r="F12">
            <v>436.84</v>
          </cell>
          <cell r="G12">
            <v>5.907</v>
          </cell>
          <cell r="H12">
            <v>336.84</v>
          </cell>
          <cell r="I12">
            <v>10.285</v>
          </cell>
          <cell r="J12">
            <v>133.624</v>
          </cell>
          <cell r="K12">
            <v>5.1875</v>
          </cell>
          <cell r="L12">
            <v>30.812000000000001</v>
          </cell>
        </row>
        <row r="13">
          <cell r="A13">
            <v>11.7439</v>
          </cell>
          <cell r="B13">
            <v>665.33</v>
          </cell>
          <cell r="C13">
            <v>7.1162999999999998</v>
          </cell>
          <cell r="D13">
            <v>631.94000000000005</v>
          </cell>
          <cell r="E13">
            <v>7.4722999999999997</v>
          </cell>
          <cell r="F13">
            <v>438.57</v>
          </cell>
          <cell r="G13">
            <v>7.4722999999999997</v>
          </cell>
          <cell r="H13">
            <v>338.57</v>
          </cell>
          <cell r="I13">
            <v>12.452</v>
          </cell>
          <cell r="J13">
            <v>128.29900000000001</v>
          </cell>
          <cell r="K13">
            <v>6.1318000000000001</v>
          </cell>
          <cell r="L13">
            <v>29.492999999999999</v>
          </cell>
        </row>
        <row r="14">
          <cell r="A14">
            <v>12.569000000000001</v>
          </cell>
          <cell r="B14">
            <v>668.49</v>
          </cell>
          <cell r="C14">
            <v>8.0239999999999991</v>
          </cell>
          <cell r="D14">
            <v>637.05999999999995</v>
          </cell>
          <cell r="E14">
            <v>9.0383999999999993</v>
          </cell>
          <cell r="F14">
            <v>437.31</v>
          </cell>
          <cell r="G14">
            <v>9.0383999999999993</v>
          </cell>
          <cell r="H14">
            <v>337.31</v>
          </cell>
          <cell r="I14">
            <v>14.5289</v>
          </cell>
          <cell r="J14">
            <v>122.968</v>
          </cell>
          <cell r="K14">
            <v>7.1189</v>
          </cell>
          <cell r="L14">
            <v>28.175000000000001</v>
          </cell>
        </row>
        <row r="15">
          <cell r="A15">
            <v>16.5749</v>
          </cell>
          <cell r="B15">
            <v>615.64</v>
          </cell>
          <cell r="C15">
            <v>8.8955000000000002</v>
          </cell>
          <cell r="D15">
            <v>642.19000000000005</v>
          </cell>
          <cell r="E15">
            <v>10.542400000000001</v>
          </cell>
          <cell r="F15">
            <v>434.54</v>
          </cell>
          <cell r="G15">
            <v>10.542400000000001</v>
          </cell>
          <cell r="H15">
            <v>334.54</v>
          </cell>
          <cell r="I15">
            <v>16.605699999999999</v>
          </cell>
          <cell r="J15">
            <v>117.63800000000001</v>
          </cell>
          <cell r="K15">
            <v>8.1471</v>
          </cell>
          <cell r="L15">
            <v>28.202000000000002</v>
          </cell>
        </row>
        <row r="16">
          <cell r="A16">
            <v>17.303899999999999</v>
          </cell>
          <cell r="B16">
            <v>606.9</v>
          </cell>
          <cell r="C16">
            <v>9.8032000000000004</v>
          </cell>
          <cell r="D16">
            <v>647.30999999999995</v>
          </cell>
          <cell r="E16">
            <v>11.608000000000001</v>
          </cell>
          <cell r="F16">
            <v>431.7</v>
          </cell>
          <cell r="G16">
            <v>11.608000000000001</v>
          </cell>
          <cell r="H16">
            <v>331.7</v>
          </cell>
          <cell r="I16">
            <v>18.772099999999998</v>
          </cell>
          <cell r="J16">
            <v>112.917</v>
          </cell>
          <cell r="K16">
            <v>9.2186000000000003</v>
          </cell>
          <cell r="L16">
            <v>27.895</v>
          </cell>
        </row>
        <row r="17">
          <cell r="A17">
            <v>18.693899999999999</v>
          </cell>
          <cell r="B17">
            <v>567.88</v>
          </cell>
          <cell r="C17">
            <v>10.6745</v>
          </cell>
          <cell r="D17">
            <v>649.85</v>
          </cell>
          <cell r="E17">
            <v>13.112500000000001</v>
          </cell>
          <cell r="F17">
            <v>427.43</v>
          </cell>
          <cell r="G17">
            <v>13.112500000000001</v>
          </cell>
          <cell r="H17">
            <v>327.43</v>
          </cell>
          <cell r="I17">
            <v>20.848500000000001</v>
          </cell>
          <cell r="J17">
            <v>108.191</v>
          </cell>
          <cell r="K17">
            <v>10.247299999999999</v>
          </cell>
          <cell r="L17">
            <v>27.585999999999999</v>
          </cell>
        </row>
        <row r="18">
          <cell r="A18">
            <v>19.390699999999999</v>
          </cell>
          <cell r="B18">
            <v>544.66999999999996</v>
          </cell>
          <cell r="C18">
            <v>11.582100000000001</v>
          </cell>
          <cell r="D18">
            <v>652.38</v>
          </cell>
          <cell r="E18">
            <v>14.6174</v>
          </cell>
          <cell r="F18">
            <v>421.67</v>
          </cell>
          <cell r="G18">
            <v>14.6174</v>
          </cell>
          <cell r="H18">
            <v>321.67</v>
          </cell>
          <cell r="I18">
            <v>23.014900000000001</v>
          </cell>
          <cell r="J18">
            <v>103.471</v>
          </cell>
          <cell r="K18">
            <v>11.276</v>
          </cell>
          <cell r="L18">
            <v>27.277999999999999</v>
          </cell>
        </row>
        <row r="19">
          <cell r="A19">
            <v>20.018799999999999</v>
          </cell>
          <cell r="B19">
            <v>521.4</v>
          </cell>
          <cell r="C19">
            <v>12.380699999999999</v>
          </cell>
          <cell r="D19">
            <v>652.33000000000004</v>
          </cell>
          <cell r="E19">
            <v>16.122399999999999</v>
          </cell>
          <cell r="F19">
            <v>415.9</v>
          </cell>
          <cell r="G19">
            <v>16.122399999999999</v>
          </cell>
          <cell r="H19">
            <v>315.89999999999998</v>
          </cell>
          <cell r="I19">
            <v>25.090699999999998</v>
          </cell>
          <cell r="J19">
            <v>99.35</v>
          </cell>
          <cell r="K19">
            <v>12.3475</v>
          </cell>
          <cell r="L19">
            <v>26.971</v>
          </cell>
        </row>
        <row r="20">
          <cell r="A20">
            <v>20.648299999999999</v>
          </cell>
          <cell r="B20">
            <v>495.17</v>
          </cell>
          <cell r="C20">
            <v>13.2516</v>
          </cell>
          <cell r="D20">
            <v>649.67999999999995</v>
          </cell>
          <cell r="E20">
            <v>17.626799999999999</v>
          </cell>
          <cell r="F20">
            <v>411.63</v>
          </cell>
          <cell r="G20">
            <v>17.626799999999999</v>
          </cell>
          <cell r="H20">
            <v>311.63</v>
          </cell>
          <cell r="I20">
            <v>27.256499999999999</v>
          </cell>
          <cell r="J20">
            <v>95.233999999999995</v>
          </cell>
          <cell r="K20">
            <v>13.419</v>
          </cell>
          <cell r="L20">
            <v>26.663</v>
          </cell>
        </row>
        <row r="21">
          <cell r="A21">
            <v>21.209199999999999</v>
          </cell>
          <cell r="B21">
            <v>468.88</v>
          </cell>
          <cell r="C21">
            <v>14.122199999999999</v>
          </cell>
          <cell r="D21">
            <v>639.26</v>
          </cell>
          <cell r="E21">
            <v>19.132200000000001</v>
          </cell>
          <cell r="F21">
            <v>404.36</v>
          </cell>
          <cell r="G21">
            <v>19.132200000000001</v>
          </cell>
          <cell r="H21">
            <v>304.36</v>
          </cell>
          <cell r="I21">
            <v>29.332899999999999</v>
          </cell>
          <cell r="J21">
            <v>90.507999999999996</v>
          </cell>
          <cell r="K21">
            <v>14.4475</v>
          </cell>
          <cell r="L21">
            <v>26.523</v>
          </cell>
        </row>
        <row r="22">
          <cell r="C22">
            <v>14.9924</v>
          </cell>
          <cell r="D22">
            <v>623.65</v>
          </cell>
          <cell r="E22">
            <v>20.637699999999999</v>
          </cell>
          <cell r="F22">
            <v>397.1</v>
          </cell>
          <cell r="G22">
            <v>20.637699999999999</v>
          </cell>
          <cell r="H22">
            <v>297.10000000000002</v>
          </cell>
          <cell r="I22">
            <v>31.499300000000002</v>
          </cell>
          <cell r="J22">
            <v>85.787000000000006</v>
          </cell>
          <cell r="K22">
            <v>15.5181</v>
          </cell>
          <cell r="L22">
            <v>26.888000000000002</v>
          </cell>
        </row>
        <row r="23">
          <cell r="C23">
            <v>15.8621</v>
          </cell>
          <cell r="D23">
            <v>600.27</v>
          </cell>
          <cell r="E23">
            <v>22.143999999999998</v>
          </cell>
          <cell r="F23">
            <v>386.84</v>
          </cell>
          <cell r="G23">
            <v>22.143999999999998</v>
          </cell>
          <cell r="H23">
            <v>286.83999999999997</v>
          </cell>
          <cell r="I23">
            <v>33.576700000000002</v>
          </cell>
          <cell r="J23">
            <v>79.852000000000004</v>
          </cell>
          <cell r="K23">
            <v>16.5457</v>
          </cell>
          <cell r="L23">
            <v>27.42</v>
          </cell>
        </row>
        <row r="24">
          <cell r="C24">
            <v>16.622599999999998</v>
          </cell>
          <cell r="D24">
            <v>571.71</v>
          </cell>
          <cell r="E24">
            <v>23.588699999999999</v>
          </cell>
          <cell r="F24">
            <v>373.57</v>
          </cell>
          <cell r="G24">
            <v>23.588699999999999</v>
          </cell>
          <cell r="H24">
            <v>273.57</v>
          </cell>
          <cell r="I24">
            <v>35.564599999999999</v>
          </cell>
          <cell r="J24">
            <v>73.307000000000002</v>
          </cell>
          <cell r="K24">
            <v>17.5733</v>
          </cell>
          <cell r="L24">
            <v>27.952000000000002</v>
          </cell>
        </row>
        <row r="25">
          <cell r="C25">
            <v>17.346499999999999</v>
          </cell>
          <cell r="D25">
            <v>537.97</v>
          </cell>
          <cell r="E25">
            <v>24.971599999999999</v>
          </cell>
          <cell r="F25">
            <v>357.3</v>
          </cell>
          <cell r="G25">
            <v>24.971599999999999</v>
          </cell>
          <cell r="H25">
            <v>257.3</v>
          </cell>
          <cell r="I25">
            <v>37.463500000000003</v>
          </cell>
          <cell r="J25">
            <v>65.546999999999997</v>
          </cell>
          <cell r="K25">
            <v>18.643999999999998</v>
          </cell>
          <cell r="L25">
            <v>28.315999999999999</v>
          </cell>
        </row>
        <row r="26">
          <cell r="C26">
            <v>18.033799999999999</v>
          </cell>
          <cell r="D26">
            <v>499.05</v>
          </cell>
          <cell r="E26">
            <v>26.231200000000001</v>
          </cell>
          <cell r="F26">
            <v>335.02</v>
          </cell>
          <cell r="G26">
            <v>26.231200000000001</v>
          </cell>
          <cell r="H26">
            <v>235.01999999999998</v>
          </cell>
          <cell r="I26">
            <v>39.183300000000003</v>
          </cell>
          <cell r="J26">
            <v>56.567999999999998</v>
          </cell>
          <cell r="K26">
            <v>19.7151</v>
          </cell>
          <cell r="L26">
            <v>28.344999999999999</v>
          </cell>
        </row>
        <row r="27">
          <cell r="E27">
            <v>27.366</v>
          </cell>
          <cell r="F27">
            <v>311.22000000000003</v>
          </cell>
          <cell r="G27">
            <v>27.366</v>
          </cell>
          <cell r="H27">
            <v>211.22000000000003</v>
          </cell>
          <cell r="I27">
            <v>40.903100000000002</v>
          </cell>
          <cell r="J27">
            <v>47.588999999999999</v>
          </cell>
          <cell r="K27">
            <v>20.7013</v>
          </cell>
          <cell r="L27">
            <v>27.7</v>
          </cell>
        </row>
        <row r="28">
          <cell r="E28">
            <v>28.4391</v>
          </cell>
          <cell r="F28">
            <v>284.41000000000003</v>
          </cell>
          <cell r="G28">
            <v>28.4391</v>
          </cell>
          <cell r="H28">
            <v>184.41000000000003</v>
          </cell>
          <cell r="I28">
            <v>42.533900000000003</v>
          </cell>
          <cell r="J28">
            <v>37.396000000000001</v>
          </cell>
          <cell r="K28">
            <v>21.730399999999999</v>
          </cell>
          <cell r="L28">
            <v>27.055</v>
          </cell>
        </row>
        <row r="29">
          <cell r="E29">
            <v>29.387899999999998</v>
          </cell>
          <cell r="F29">
            <v>254.59</v>
          </cell>
          <cell r="G29">
            <v>29.387899999999998</v>
          </cell>
          <cell r="H29">
            <v>154.59</v>
          </cell>
          <cell r="I29">
            <v>44.164700000000003</v>
          </cell>
          <cell r="J29">
            <v>27.202999999999999</v>
          </cell>
          <cell r="K29">
            <v>22.716699999999999</v>
          </cell>
          <cell r="L29">
            <v>26.408999999999999</v>
          </cell>
        </row>
        <row r="30">
          <cell r="E30">
            <v>30.338100000000001</v>
          </cell>
          <cell r="F30">
            <v>220.28</v>
          </cell>
          <cell r="G30">
            <v>30.338100000000001</v>
          </cell>
          <cell r="H30">
            <v>120.28</v>
          </cell>
          <cell r="K30">
            <v>23.745799999999999</v>
          </cell>
          <cell r="L30">
            <v>25.765000000000001</v>
          </cell>
        </row>
        <row r="31">
          <cell r="E31">
            <v>31.1</v>
          </cell>
          <cell r="F31">
            <v>187.43</v>
          </cell>
          <cell r="G31">
            <v>31.1</v>
          </cell>
          <cell r="H31">
            <v>87.43</v>
          </cell>
          <cell r="K31">
            <v>24.7319</v>
          </cell>
          <cell r="L31">
            <v>25.286999999999999</v>
          </cell>
        </row>
        <row r="32">
          <cell r="E32">
            <v>31.799199999999999</v>
          </cell>
          <cell r="F32">
            <v>154.58000000000001</v>
          </cell>
          <cell r="G32">
            <v>31.799199999999999</v>
          </cell>
          <cell r="H32">
            <v>54.580000000000013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zoomScale="85" zoomScaleNormal="85" workbookViewId="0">
      <selection activeCell="J31" sqref="J31"/>
    </sheetView>
  </sheetViews>
  <sheetFormatPr defaultColWidth="8.85546875" defaultRowHeight="15.75" x14ac:dyDescent="0.25"/>
  <cols>
    <col min="1" max="7" width="19.7109375" style="5" customWidth="1"/>
    <col min="8" max="8" width="18.28515625" style="5" customWidth="1"/>
    <col min="9" max="9" width="15.28515625" style="5" customWidth="1"/>
    <col min="10" max="11" width="13.42578125" style="5" customWidth="1"/>
    <col min="12" max="12" width="13.28515625" style="5" customWidth="1"/>
    <col min="13" max="16384" width="8.85546875" style="5"/>
  </cols>
  <sheetData>
    <row r="1" spans="1:14" ht="15.75" customHeight="1" x14ac:dyDescent="0.25"/>
    <row r="2" spans="1:14" ht="19.899999999999999" customHeight="1" x14ac:dyDescent="0.25">
      <c r="A2" s="50" t="s">
        <v>0</v>
      </c>
      <c r="B2" s="50"/>
      <c r="C2" s="50"/>
      <c r="D2" s="50"/>
      <c r="E2" s="50"/>
      <c r="F2" s="50"/>
      <c r="G2" s="50"/>
      <c r="H2" s="1"/>
    </row>
    <row r="4" spans="1:14" ht="31.9" customHeight="1" x14ac:dyDescent="0.25">
      <c r="C4" s="6" t="s">
        <v>1</v>
      </c>
      <c r="D4" s="6" t="s">
        <v>2</v>
      </c>
      <c r="E4" s="6" t="s">
        <v>3</v>
      </c>
      <c r="F4" s="6" t="s">
        <v>4</v>
      </c>
      <c r="G4" s="7" t="s">
        <v>5</v>
      </c>
    </row>
    <row r="5" spans="1:14" ht="31.9" customHeight="1" x14ac:dyDescent="0.25"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</row>
    <row r="6" spans="1:14" ht="48" customHeight="1" x14ac:dyDescent="0.25">
      <c r="C6" s="38" t="s">
        <v>60</v>
      </c>
      <c r="D6" s="38" t="s">
        <v>58</v>
      </c>
      <c r="E6" s="38" t="s">
        <v>59</v>
      </c>
      <c r="F6" s="39">
        <v>14</v>
      </c>
      <c r="G6" s="8">
        <v>43086</v>
      </c>
    </row>
    <row r="7" spans="1:14" ht="15.75" customHeight="1" x14ac:dyDescent="0.25">
      <c r="A7" s="2"/>
      <c r="B7" s="2"/>
      <c r="C7" s="3"/>
      <c r="D7" s="4"/>
    </row>
    <row r="8" spans="1:14" ht="19.899999999999999" customHeight="1" x14ac:dyDescent="0.25">
      <c r="A8" s="50" t="s">
        <v>11</v>
      </c>
      <c r="B8" s="50"/>
      <c r="C8" s="50"/>
      <c r="D8" s="50"/>
      <c r="E8" s="50"/>
      <c r="F8" s="50"/>
      <c r="G8" s="50"/>
      <c r="H8" s="1"/>
      <c r="I8" s="1"/>
      <c r="J8" s="1"/>
    </row>
    <row r="9" spans="1:14" ht="15.75" customHeight="1" x14ac:dyDescent="0.25">
      <c r="A9" s="24"/>
      <c r="B9" s="24"/>
      <c r="C9" s="24"/>
      <c r="D9" s="24"/>
      <c r="E9" s="24"/>
      <c r="F9" s="24"/>
      <c r="G9" s="24"/>
      <c r="H9" s="1"/>
      <c r="I9" s="1"/>
      <c r="J9" s="1"/>
    </row>
    <row r="10" spans="1:14" ht="19.149999999999999" customHeight="1" x14ac:dyDescent="0.25">
      <c r="A10" s="34" t="s">
        <v>12</v>
      </c>
      <c r="B10" s="34" t="s">
        <v>13</v>
      </c>
      <c r="C10" s="34" t="s">
        <v>14</v>
      </c>
      <c r="D10" s="34" t="s">
        <v>15</v>
      </c>
      <c r="E10" s="34" t="s">
        <v>16</v>
      </c>
      <c r="F10" s="34" t="s">
        <v>17</v>
      </c>
      <c r="G10" s="34" t="s">
        <v>18</v>
      </c>
      <c r="L10" s="10"/>
      <c r="M10" s="11"/>
      <c r="N10" s="12"/>
    </row>
    <row r="11" spans="1:14" ht="19.149999999999999" customHeight="1" x14ac:dyDescent="0.25">
      <c r="A11" s="36">
        <v>0.17</v>
      </c>
      <c r="B11" s="36">
        <v>0.45</v>
      </c>
      <c r="C11" s="36">
        <v>1.52</v>
      </c>
      <c r="D11" s="36">
        <v>1.2E-2</v>
      </c>
      <c r="E11" s="13">
        <v>4.0000000000000001E-3</v>
      </c>
      <c r="F11" s="13">
        <v>0.04</v>
      </c>
      <c r="G11" s="14">
        <v>2.1000000000000001E-2</v>
      </c>
      <c r="L11" s="10"/>
      <c r="M11" s="11"/>
      <c r="N11" s="12"/>
    </row>
    <row r="12" spans="1:14" ht="19.149999999999999" customHeight="1" x14ac:dyDescent="0.25">
      <c r="A12" s="34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10"/>
      <c r="I12" s="15"/>
      <c r="J12" s="15"/>
      <c r="K12" s="15"/>
      <c r="L12" s="10"/>
      <c r="M12" s="11"/>
      <c r="N12" s="12"/>
    </row>
    <row r="13" spans="1:14" ht="19.149999999999999" customHeight="1" x14ac:dyDescent="0.25">
      <c r="A13" s="16">
        <v>0.03</v>
      </c>
      <c r="B13" s="14">
        <v>2E-3</v>
      </c>
      <c r="C13" s="14">
        <v>5.7000000000000002E-2</v>
      </c>
      <c r="D13" s="14">
        <v>2.4E-2</v>
      </c>
      <c r="E13" s="14">
        <v>0.01</v>
      </c>
      <c r="F13" s="14">
        <v>0.01</v>
      </c>
      <c r="G13" s="40">
        <v>6.0000000000000001E-3</v>
      </c>
      <c r="H13" s="10"/>
      <c r="I13" s="15"/>
      <c r="J13" s="15"/>
    </row>
    <row r="14" spans="1:14" x14ac:dyDescent="0.25">
      <c r="A14" s="15"/>
      <c r="B14" s="15"/>
      <c r="C14" s="10"/>
      <c r="D14" s="12"/>
      <c r="F14" s="12"/>
      <c r="G14" s="12"/>
      <c r="H14" s="10"/>
      <c r="I14" s="15"/>
      <c r="J14" s="15"/>
    </row>
    <row r="15" spans="1:14" ht="19.899999999999999" customHeight="1" x14ac:dyDescent="0.25">
      <c r="A15" s="50" t="s">
        <v>26</v>
      </c>
      <c r="B15" s="50"/>
      <c r="C15" s="50"/>
      <c r="D15" s="50"/>
      <c r="E15" s="50"/>
      <c r="F15" s="50"/>
      <c r="G15" s="50"/>
      <c r="H15" s="10"/>
      <c r="I15" s="15"/>
      <c r="J15" s="15"/>
    </row>
    <row r="16" spans="1:14" ht="14.45" customHeight="1" x14ac:dyDescent="0.25">
      <c r="D16" s="17"/>
      <c r="E16" s="17"/>
      <c r="F16" s="17"/>
      <c r="G16" s="17"/>
      <c r="H16" s="17"/>
      <c r="K16" s="18"/>
      <c r="L16" s="18"/>
    </row>
    <row r="17" spans="1:13" ht="69.95" customHeight="1" x14ac:dyDescent="0.25">
      <c r="A17" s="34" t="s">
        <v>27</v>
      </c>
      <c r="B17" s="34" t="s">
        <v>28</v>
      </c>
      <c r="C17" s="34" t="s">
        <v>29</v>
      </c>
      <c r="D17" s="34" t="s">
        <v>30</v>
      </c>
      <c r="E17" s="34" t="s">
        <v>31</v>
      </c>
      <c r="F17" s="34" t="s">
        <v>32</v>
      </c>
      <c r="G17" s="34" t="s">
        <v>33</v>
      </c>
      <c r="J17" s="18"/>
      <c r="K17" s="18"/>
      <c r="L17" s="18"/>
    </row>
    <row r="18" spans="1:13" ht="69.95" customHeight="1" x14ac:dyDescent="0.25">
      <c r="A18" s="34" t="s">
        <v>34</v>
      </c>
      <c r="B18" s="34" t="s">
        <v>35</v>
      </c>
      <c r="C18" s="34" t="s">
        <v>36</v>
      </c>
      <c r="D18" s="34" t="s">
        <v>37</v>
      </c>
      <c r="E18" s="34" t="s">
        <v>38</v>
      </c>
      <c r="F18" s="34" t="s">
        <v>39</v>
      </c>
      <c r="G18" s="34" t="s">
        <v>40</v>
      </c>
      <c r="J18" s="18"/>
      <c r="K18" s="18"/>
      <c r="L18" s="18"/>
    </row>
    <row r="19" spans="1:13" ht="19.149999999999999" customHeight="1" x14ac:dyDescent="0.25">
      <c r="A19" s="36">
        <v>0</v>
      </c>
      <c r="B19" s="36">
        <v>210000</v>
      </c>
      <c r="C19" s="36">
        <v>0.3</v>
      </c>
      <c r="D19" s="36">
        <v>533</v>
      </c>
      <c r="E19" s="13">
        <v>567</v>
      </c>
      <c r="F19" s="32">
        <v>21.36</v>
      </c>
      <c r="G19" s="16" t="s">
        <v>41</v>
      </c>
      <c r="J19" s="18"/>
      <c r="K19" s="18"/>
      <c r="L19" s="18"/>
    </row>
    <row r="20" spans="1:13" ht="19.149999999999999" customHeight="1" x14ac:dyDescent="0.25">
      <c r="A20" s="35">
        <v>45</v>
      </c>
      <c r="B20" s="29">
        <v>210000</v>
      </c>
      <c r="C20" s="29">
        <v>0.3</v>
      </c>
      <c r="D20" s="58" t="s">
        <v>41</v>
      </c>
      <c r="E20" s="59" t="s">
        <v>41</v>
      </c>
      <c r="F20" s="60" t="s">
        <v>41</v>
      </c>
      <c r="G20" s="19" t="s">
        <v>41</v>
      </c>
      <c r="J20" s="18"/>
      <c r="K20" s="18"/>
      <c r="L20" s="18"/>
    </row>
    <row r="21" spans="1:13" ht="19.149999999999999" customHeight="1" x14ac:dyDescent="0.25">
      <c r="A21" s="36">
        <v>90</v>
      </c>
      <c r="B21" s="36">
        <v>210000</v>
      </c>
      <c r="C21" s="36">
        <v>0.3</v>
      </c>
      <c r="D21" s="61" t="s">
        <v>41</v>
      </c>
      <c r="E21" s="62" t="s">
        <v>41</v>
      </c>
      <c r="F21" s="63" t="s">
        <v>41</v>
      </c>
      <c r="G21" s="16" t="s">
        <v>41</v>
      </c>
      <c r="J21" s="18"/>
      <c r="K21" s="18"/>
      <c r="L21" s="18"/>
    </row>
    <row r="22" spans="1:13" x14ac:dyDescent="0.25">
      <c r="A22" s="52" t="s">
        <v>42</v>
      </c>
      <c r="B22" s="52"/>
      <c r="C22" s="51" t="s">
        <v>43</v>
      </c>
      <c r="D22" s="51"/>
      <c r="E22" s="51"/>
      <c r="F22" s="51"/>
      <c r="G22" s="31"/>
      <c r="H22" s="12"/>
      <c r="I22" s="12"/>
      <c r="J22" s="18"/>
    </row>
    <row r="23" spans="1:13" x14ac:dyDescent="0.25">
      <c r="A23" s="27"/>
      <c r="B23" s="27"/>
      <c r="C23" s="25"/>
      <c r="D23" s="25"/>
      <c r="E23" s="25"/>
      <c r="F23" s="25"/>
      <c r="G23" s="26"/>
      <c r="H23" s="12"/>
      <c r="I23" s="12"/>
      <c r="J23" s="18"/>
    </row>
    <row r="24" spans="1:13" ht="19.899999999999999" customHeight="1" x14ac:dyDescent="0.25">
      <c r="A24" s="44" t="s">
        <v>44</v>
      </c>
      <c r="B24" s="44"/>
      <c r="C24" s="44"/>
      <c r="D24" s="44"/>
      <c r="E24" s="44"/>
      <c r="F24" s="44"/>
      <c r="G24" s="44"/>
      <c r="H24" s="12"/>
      <c r="I24" s="12"/>
      <c r="J24" s="18"/>
    </row>
    <row r="25" spans="1:13" ht="15" customHeight="1" x14ac:dyDescent="0.25">
      <c r="D25" s="21"/>
      <c r="E25" s="22"/>
      <c r="K25" s="9"/>
      <c r="L25" s="9"/>
      <c r="M25" s="9"/>
    </row>
    <row r="26" spans="1:13" ht="34.9" customHeight="1" x14ac:dyDescent="0.25">
      <c r="A26" s="34" t="s">
        <v>45</v>
      </c>
      <c r="B26" s="49" t="s">
        <v>46</v>
      </c>
      <c r="C26" s="49"/>
      <c r="D26" s="49" t="s">
        <v>47</v>
      </c>
      <c r="E26" s="49"/>
      <c r="F26" s="41" t="s">
        <v>62</v>
      </c>
      <c r="G26" s="41" t="s">
        <v>63</v>
      </c>
      <c r="J26" s="9"/>
      <c r="K26" s="9"/>
      <c r="L26" s="9"/>
      <c r="M26" s="9"/>
    </row>
    <row r="27" spans="1:13" ht="34.9" customHeight="1" x14ac:dyDescent="0.25">
      <c r="A27" s="34" t="s">
        <v>48</v>
      </c>
      <c r="B27" s="49" t="s">
        <v>49</v>
      </c>
      <c r="C27" s="49"/>
      <c r="D27" s="49" t="s">
        <v>50</v>
      </c>
      <c r="E27" s="49"/>
      <c r="F27" s="41" t="s">
        <v>61</v>
      </c>
      <c r="G27" s="41" t="s">
        <v>35</v>
      </c>
      <c r="J27" s="9"/>
      <c r="K27" s="20"/>
      <c r="L27" s="23"/>
      <c r="M27" s="10"/>
    </row>
    <row r="28" spans="1:13" ht="19.149999999999999" customHeight="1" x14ac:dyDescent="0.25">
      <c r="A28" s="42">
        <v>7815.77</v>
      </c>
      <c r="B28" s="54">
        <v>447.39</v>
      </c>
      <c r="C28" s="55"/>
      <c r="D28" s="75">
        <v>55.837069999999997</v>
      </c>
      <c r="E28" s="76">
        <v>55.837069999999997</v>
      </c>
      <c r="F28" s="74">
        <v>0.28952816419999999</v>
      </c>
      <c r="G28" s="74">
        <v>210121.32</v>
      </c>
      <c r="J28" s="20"/>
    </row>
    <row r="29" spans="1:13" x14ac:dyDescent="0.25">
      <c r="A29" s="77" t="s">
        <v>51</v>
      </c>
      <c r="B29" s="77"/>
      <c r="C29" s="77"/>
      <c r="D29" s="77"/>
      <c r="E29" s="77"/>
      <c r="F29" s="77"/>
      <c r="G29" s="77"/>
    </row>
    <row r="31" spans="1:13" ht="43.9" customHeight="1" x14ac:dyDescent="0.25">
      <c r="A31" s="47" t="s">
        <v>52</v>
      </c>
      <c r="B31" s="48"/>
      <c r="C31" s="48"/>
      <c r="D31" s="48"/>
      <c r="E31" s="48"/>
      <c r="F31" s="48"/>
      <c r="G31" s="48"/>
    </row>
    <row r="32" spans="1:13" x14ac:dyDescent="0.25">
      <c r="B32" s="28"/>
      <c r="C32"/>
    </row>
    <row r="33" spans="1:1" x14ac:dyDescent="0.25">
      <c r="A33" s="30"/>
    </row>
  </sheetData>
  <mergeCells count="14">
    <mergeCell ref="A15:G15"/>
    <mergeCell ref="A8:G8"/>
    <mergeCell ref="A2:G2"/>
    <mergeCell ref="C22:F22"/>
    <mergeCell ref="A22:B22"/>
    <mergeCell ref="A24:G24"/>
    <mergeCell ref="A31:G31"/>
    <mergeCell ref="B26:C26"/>
    <mergeCell ref="B27:C27"/>
    <mergeCell ref="B28:C28"/>
    <mergeCell ref="D26:E26"/>
    <mergeCell ref="D27:E27"/>
    <mergeCell ref="D28:E28"/>
    <mergeCell ref="A29:G29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166"/>
  <sheetViews>
    <sheetView tabSelected="1" zoomScale="85" zoomScaleNormal="85" workbookViewId="0">
      <selection activeCell="D130" sqref="D130:E130"/>
    </sheetView>
  </sheetViews>
  <sheetFormatPr defaultColWidth="8.85546875" defaultRowHeight="15.75" x14ac:dyDescent="0.25"/>
  <cols>
    <col min="1" max="7" width="19.7109375" style="5" customWidth="1"/>
    <col min="8" max="8" width="19" style="5" customWidth="1"/>
    <col min="9" max="9" width="21.5703125" style="5" customWidth="1"/>
    <col min="10" max="10" width="15" style="5" customWidth="1"/>
    <col min="11" max="11" width="19.42578125" style="5" customWidth="1"/>
    <col min="12" max="12" width="18.7109375" style="5" customWidth="1"/>
    <col min="13" max="16384" width="8.85546875" style="5"/>
  </cols>
  <sheetData>
    <row r="2" spans="1:9" ht="20.100000000000001" customHeight="1" x14ac:dyDescent="0.25">
      <c r="A2" s="50" t="s">
        <v>0</v>
      </c>
      <c r="B2" s="50"/>
      <c r="C2" s="50"/>
      <c r="D2" s="50"/>
      <c r="E2" s="50"/>
      <c r="F2" s="50"/>
      <c r="G2" s="50"/>
    </row>
    <row r="4" spans="1:9" ht="31.9" customHeight="1" x14ac:dyDescent="0.25">
      <c r="C4" s="6" t="s">
        <v>1</v>
      </c>
      <c r="D4" s="6" t="s">
        <v>2</v>
      </c>
      <c r="E4" s="6" t="s">
        <v>3</v>
      </c>
      <c r="F4" s="6" t="s">
        <v>4</v>
      </c>
      <c r="G4" s="7" t="s">
        <v>5</v>
      </c>
    </row>
    <row r="5" spans="1:9" ht="31.9" customHeight="1" x14ac:dyDescent="0.25"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</row>
    <row r="6" spans="1:9" ht="47.25" customHeight="1" x14ac:dyDescent="0.25">
      <c r="C6" s="37" t="str">
        <f>'1Base Properties'!C6</f>
        <v>STO 00186217-223-2013</v>
      </c>
      <c r="D6" s="37" t="str">
        <f>'1Base Properties'!D6</f>
        <v>Hot rolled steel / Горячекатаная сталь</v>
      </c>
      <c r="E6" s="37" t="str">
        <f>'1Base Properties'!E6</f>
        <v>S460ML</v>
      </c>
      <c r="F6" s="37">
        <f>'1Base Properties'!F6</f>
        <v>14</v>
      </c>
      <c r="G6" s="8">
        <f>'1Base Properties'!G6</f>
        <v>43086</v>
      </c>
    </row>
    <row r="8" spans="1:9" ht="20.100000000000001" customHeight="1" x14ac:dyDescent="0.25">
      <c r="A8" s="44" t="s">
        <v>53</v>
      </c>
      <c r="B8" s="44"/>
      <c r="C8" s="44"/>
      <c r="D8" s="44"/>
      <c r="E8" s="44"/>
      <c r="F8" s="44"/>
      <c r="G8" s="44"/>
    </row>
    <row r="10" spans="1:9" ht="49.15" customHeight="1" x14ac:dyDescent="0.25">
      <c r="A10" s="34" t="s">
        <v>54</v>
      </c>
      <c r="B10" s="34" t="s">
        <v>45</v>
      </c>
      <c r="C10" s="34" t="s">
        <v>46</v>
      </c>
      <c r="D10" s="49" t="s">
        <v>47</v>
      </c>
      <c r="E10" s="49"/>
      <c r="F10" s="49" t="s">
        <v>56</v>
      </c>
      <c r="G10" s="49"/>
      <c r="H10" s="41" t="s">
        <v>62</v>
      </c>
      <c r="I10" s="41" t="s">
        <v>63</v>
      </c>
    </row>
    <row r="11" spans="1:9" ht="49.15" customHeight="1" x14ac:dyDescent="0.25">
      <c r="A11" s="34" t="s">
        <v>55</v>
      </c>
      <c r="B11" s="34" t="s">
        <v>48</v>
      </c>
      <c r="C11" s="34" t="s">
        <v>49</v>
      </c>
      <c r="D11" s="49" t="s">
        <v>50</v>
      </c>
      <c r="E11" s="49"/>
      <c r="F11" s="49" t="s">
        <v>57</v>
      </c>
      <c r="G11" s="49"/>
      <c r="H11" s="41" t="s">
        <v>61</v>
      </c>
      <c r="I11" s="41" t="s">
        <v>35</v>
      </c>
    </row>
    <row r="12" spans="1:9" ht="19.149999999999999" customHeight="1" x14ac:dyDescent="0.25">
      <c r="A12" s="32">
        <v>1200</v>
      </c>
      <c r="B12" s="42">
        <v>7399.9300000000012</v>
      </c>
      <c r="C12" s="42">
        <v>661.47</v>
      </c>
      <c r="D12" s="54">
        <v>31.102969999999999</v>
      </c>
      <c r="E12" s="55">
        <v>31.102969999999999</v>
      </c>
      <c r="F12" s="54">
        <v>15.906940000000001</v>
      </c>
      <c r="G12" s="55">
        <v>15.906940000000001</v>
      </c>
      <c r="H12" s="42">
        <v>0.36286000000000002</v>
      </c>
      <c r="I12" s="42">
        <v>85296.95</v>
      </c>
    </row>
    <row r="13" spans="1:9" ht="19.149999999999999" customHeight="1" x14ac:dyDescent="0.25">
      <c r="A13" s="33">
        <v>1190</v>
      </c>
      <c r="B13" s="43">
        <v>7405.3000000000011</v>
      </c>
      <c r="C13" s="43">
        <v>660.0200000000001</v>
      </c>
      <c r="D13" s="56">
        <v>30.98359</v>
      </c>
      <c r="E13" s="57">
        <v>30.98359</v>
      </c>
      <c r="F13" s="56">
        <v>15.824540000000001</v>
      </c>
      <c r="G13" s="57">
        <v>15.824540000000001</v>
      </c>
      <c r="H13" s="43">
        <v>0.36226999999999998</v>
      </c>
      <c r="I13" s="43">
        <v>86327.16</v>
      </c>
    </row>
    <row r="14" spans="1:9" ht="19.149999999999999" customHeight="1" x14ac:dyDescent="0.25">
      <c r="A14" s="32">
        <v>1180</v>
      </c>
      <c r="B14" s="42">
        <v>7410.67</v>
      </c>
      <c r="C14" s="42">
        <v>663.04</v>
      </c>
      <c r="D14" s="54">
        <v>30.864360000000001</v>
      </c>
      <c r="E14" s="55">
        <v>30.864360000000001</v>
      </c>
      <c r="F14" s="54">
        <v>15.74072</v>
      </c>
      <c r="G14" s="55">
        <v>15.74072</v>
      </c>
      <c r="H14" s="42">
        <v>0.36168</v>
      </c>
      <c r="I14" s="42">
        <v>87356.840000000011</v>
      </c>
    </row>
    <row r="15" spans="1:9" ht="19.149999999999999" customHeight="1" x14ac:dyDescent="0.25">
      <c r="A15" s="33">
        <v>1170</v>
      </c>
      <c r="B15" s="43">
        <v>7416.06</v>
      </c>
      <c r="C15" s="43">
        <v>661.01</v>
      </c>
      <c r="D15" s="56">
        <v>30.745519999999999</v>
      </c>
      <c r="E15" s="57">
        <v>30.745519999999999</v>
      </c>
      <c r="F15" s="56">
        <v>15.655189999999999</v>
      </c>
      <c r="G15" s="57">
        <v>15.655189999999999</v>
      </c>
      <c r="H15" s="43">
        <v>0.36109000000000002</v>
      </c>
      <c r="I15" s="43">
        <v>88386.95</v>
      </c>
    </row>
    <row r="16" spans="1:9" ht="19.149999999999999" customHeight="1" x14ac:dyDescent="0.25">
      <c r="A16" s="32">
        <v>1160</v>
      </c>
      <c r="B16" s="42">
        <v>7421.4500000000007</v>
      </c>
      <c r="C16" s="42">
        <v>658.93000000000006</v>
      </c>
      <c r="D16" s="54">
        <v>30.626609999999999</v>
      </c>
      <c r="E16" s="55">
        <v>30.626609999999999</v>
      </c>
      <c r="F16" s="54">
        <v>15.568350000000001</v>
      </c>
      <c r="G16" s="55">
        <v>15.568350000000001</v>
      </c>
      <c r="H16" s="42">
        <v>0.36049999999999999</v>
      </c>
      <c r="I16" s="42">
        <v>89415.61</v>
      </c>
    </row>
    <row r="17" spans="1:9" ht="19.149999999999999" customHeight="1" x14ac:dyDescent="0.25">
      <c r="A17" s="33">
        <v>1150</v>
      </c>
      <c r="B17" s="43">
        <v>7426.8400000000011</v>
      </c>
      <c r="C17" s="43">
        <v>656.93000000000006</v>
      </c>
      <c r="D17" s="56">
        <v>30.507650000000002</v>
      </c>
      <c r="E17" s="57">
        <v>30.507650000000002</v>
      </c>
      <c r="F17" s="56">
        <v>15.48016</v>
      </c>
      <c r="G17" s="57">
        <v>15.48016</v>
      </c>
      <c r="H17" s="43">
        <v>0.35991000000000001</v>
      </c>
      <c r="I17" s="43">
        <v>90442.81</v>
      </c>
    </row>
    <row r="18" spans="1:9" ht="19.149999999999999" customHeight="1" x14ac:dyDescent="0.25">
      <c r="A18" s="32">
        <v>1140</v>
      </c>
      <c r="B18" s="42">
        <v>7432.2400000000007</v>
      </c>
      <c r="C18" s="42">
        <v>654.93999999999994</v>
      </c>
      <c r="D18" s="54">
        <v>30.388629999999999</v>
      </c>
      <c r="E18" s="55">
        <v>30.388629999999999</v>
      </c>
      <c r="F18" s="54">
        <v>15.39058</v>
      </c>
      <c r="G18" s="55">
        <v>15.39058</v>
      </c>
      <c r="H18" s="42">
        <v>0.35931999999999997</v>
      </c>
      <c r="I18" s="42">
        <v>91468.549999999988</v>
      </c>
    </row>
    <row r="19" spans="1:9" ht="19.149999999999999" customHeight="1" x14ac:dyDescent="0.25">
      <c r="A19" s="33">
        <v>1130</v>
      </c>
      <c r="B19" s="43">
        <v>7437.6400000000012</v>
      </c>
      <c r="C19" s="43">
        <v>653.01</v>
      </c>
      <c r="D19" s="56">
        <v>30.269570000000002</v>
      </c>
      <c r="E19" s="57">
        <v>30.269570000000002</v>
      </c>
      <c r="F19" s="56">
        <v>15.29956</v>
      </c>
      <c r="G19" s="57">
        <v>15.29956</v>
      </c>
      <c r="H19" s="43">
        <v>0.35872999999999999</v>
      </c>
      <c r="I19" s="43">
        <v>92492.84</v>
      </c>
    </row>
    <row r="20" spans="1:9" ht="19.149999999999999" customHeight="1" x14ac:dyDescent="0.25">
      <c r="A20" s="32">
        <v>1120</v>
      </c>
      <c r="B20" s="42">
        <v>7443.04</v>
      </c>
      <c r="C20" s="42">
        <v>651.07000000000005</v>
      </c>
      <c r="D20" s="54">
        <v>30.150459999999999</v>
      </c>
      <c r="E20" s="55">
        <v>30.150459999999999</v>
      </c>
      <c r="F20" s="54">
        <v>15.20706</v>
      </c>
      <c r="G20" s="55">
        <v>15.20706</v>
      </c>
      <c r="H20" s="42">
        <v>0.35815000000000002</v>
      </c>
      <c r="I20" s="42">
        <v>93515.66</v>
      </c>
    </row>
    <row r="21" spans="1:9" ht="19.149999999999999" customHeight="1" x14ac:dyDescent="0.25">
      <c r="A21" s="33">
        <v>1110</v>
      </c>
      <c r="B21" s="43">
        <v>7448.4500000000007</v>
      </c>
      <c r="C21" s="43">
        <v>649.19000000000005</v>
      </c>
      <c r="D21" s="56">
        <v>30.031310000000001</v>
      </c>
      <c r="E21" s="57">
        <v>30.031310000000001</v>
      </c>
      <c r="F21" s="56">
        <v>15.11304</v>
      </c>
      <c r="G21" s="57">
        <v>15.11304</v>
      </c>
      <c r="H21" s="43">
        <v>0.35755999999999999</v>
      </c>
      <c r="I21" s="43">
        <v>94537.02</v>
      </c>
    </row>
    <row r="22" spans="1:9" ht="19.149999999999999" customHeight="1" x14ac:dyDescent="0.25">
      <c r="A22" s="32">
        <v>1100</v>
      </c>
      <c r="B22" s="42">
        <v>7453.86</v>
      </c>
      <c r="C22" s="42">
        <v>647.31000000000006</v>
      </c>
      <c r="D22" s="54">
        <v>29.912130000000001</v>
      </c>
      <c r="E22" s="55">
        <v>29.912130000000001</v>
      </c>
      <c r="F22" s="54">
        <v>15.017429999999999</v>
      </c>
      <c r="G22" s="55">
        <v>15.017429999999999</v>
      </c>
      <c r="H22" s="42">
        <v>0.35697000000000001</v>
      </c>
      <c r="I22" s="42">
        <v>95556.92</v>
      </c>
    </row>
    <row r="23" spans="1:9" ht="19.149999999999999" customHeight="1" x14ac:dyDescent="0.25">
      <c r="A23" s="33">
        <v>1090</v>
      </c>
      <c r="B23" s="43">
        <v>7459.28</v>
      </c>
      <c r="C23" s="43">
        <v>645.46</v>
      </c>
      <c r="D23" s="56">
        <v>29.792919999999999</v>
      </c>
      <c r="E23" s="57">
        <v>29.792919999999999</v>
      </c>
      <c r="F23" s="56">
        <v>14.920210000000001</v>
      </c>
      <c r="G23" s="57">
        <v>14.920210000000001</v>
      </c>
      <c r="H23" s="43">
        <v>0.35637999999999997</v>
      </c>
      <c r="I23" s="43">
        <v>96575.35</v>
      </c>
    </row>
    <row r="24" spans="1:9" ht="19.149999999999999" customHeight="1" x14ac:dyDescent="0.25">
      <c r="A24" s="32">
        <v>1080</v>
      </c>
      <c r="B24" s="42">
        <v>7464.6900000000005</v>
      </c>
      <c r="C24" s="42">
        <v>643.62</v>
      </c>
      <c r="D24" s="54">
        <v>29.673680000000001</v>
      </c>
      <c r="E24" s="55">
        <v>29.673680000000001</v>
      </c>
      <c r="F24" s="54">
        <v>14.82131</v>
      </c>
      <c r="G24" s="55">
        <v>14.82131</v>
      </c>
      <c r="H24" s="42">
        <v>0.35579</v>
      </c>
      <c r="I24" s="42">
        <v>97592.31</v>
      </c>
    </row>
    <row r="25" spans="1:9" ht="19.149999999999999" customHeight="1" x14ac:dyDescent="0.25">
      <c r="A25" s="33">
        <v>1070</v>
      </c>
      <c r="B25" s="43">
        <v>7470.1200000000008</v>
      </c>
      <c r="C25" s="43">
        <v>641.80000000000007</v>
      </c>
      <c r="D25" s="56">
        <v>29.55442</v>
      </c>
      <c r="E25" s="57">
        <v>29.55442</v>
      </c>
      <c r="F25" s="56">
        <v>14.72068</v>
      </c>
      <c r="G25" s="57">
        <v>14.72068</v>
      </c>
      <c r="H25" s="43">
        <v>0.35520000000000002</v>
      </c>
      <c r="I25" s="43">
        <v>98607.81</v>
      </c>
    </row>
    <row r="26" spans="1:9" ht="19.149999999999999" customHeight="1" x14ac:dyDescent="0.25">
      <c r="A26" s="32">
        <v>1060</v>
      </c>
      <c r="B26" s="42">
        <v>7475.55</v>
      </c>
      <c r="C26" s="42">
        <v>640.01</v>
      </c>
      <c r="D26" s="54">
        <v>29.435130000000001</v>
      </c>
      <c r="E26" s="55">
        <v>29.435130000000001</v>
      </c>
      <c r="F26" s="54">
        <v>14.618270000000001</v>
      </c>
      <c r="G26" s="55">
        <v>14.618270000000001</v>
      </c>
      <c r="H26" s="42">
        <v>0.35460999999999998</v>
      </c>
      <c r="I26" s="42">
        <v>99621.83</v>
      </c>
    </row>
    <row r="27" spans="1:9" ht="19.149999999999999" customHeight="1" x14ac:dyDescent="0.25">
      <c r="A27" s="33">
        <v>1050</v>
      </c>
      <c r="B27" s="43">
        <v>7480.9800000000005</v>
      </c>
      <c r="C27" s="43">
        <v>638.24</v>
      </c>
      <c r="D27" s="56">
        <v>29.315819999999999</v>
      </c>
      <c r="E27" s="57">
        <v>29.315819999999999</v>
      </c>
      <c r="F27" s="56">
        <v>14.51402</v>
      </c>
      <c r="G27" s="57">
        <v>14.51402</v>
      </c>
      <c r="H27" s="43">
        <v>0.35402</v>
      </c>
      <c r="I27" s="43">
        <v>100634.4</v>
      </c>
    </row>
    <row r="28" spans="1:9" ht="19.149999999999999" customHeight="1" x14ac:dyDescent="0.25">
      <c r="A28" s="32">
        <v>1040</v>
      </c>
      <c r="B28" s="42">
        <v>7486.42</v>
      </c>
      <c r="C28" s="42">
        <v>636.44000000000005</v>
      </c>
      <c r="D28" s="54">
        <v>29.1965</v>
      </c>
      <c r="E28" s="55">
        <v>29.1965</v>
      </c>
      <c r="F28" s="54">
        <v>14.40789</v>
      </c>
      <c r="G28" s="55">
        <v>14.40789</v>
      </c>
      <c r="H28" s="42">
        <v>0.35343000000000002</v>
      </c>
      <c r="I28" s="42">
        <v>101645.5</v>
      </c>
    </row>
    <row r="29" spans="1:9" ht="19.149999999999999" customHeight="1" x14ac:dyDescent="0.25">
      <c r="A29" s="33">
        <v>1030</v>
      </c>
      <c r="B29" s="43">
        <v>7491.8600000000006</v>
      </c>
      <c r="C29" s="43">
        <v>634.68999999999994</v>
      </c>
      <c r="D29" s="56">
        <v>29.077159999999999</v>
      </c>
      <c r="E29" s="57">
        <v>29.077159999999999</v>
      </c>
      <c r="F29" s="56">
        <v>14.299799999999999</v>
      </c>
      <c r="G29" s="57">
        <v>14.299799999999999</v>
      </c>
      <c r="H29" s="43">
        <v>0.35285</v>
      </c>
      <c r="I29" s="43">
        <v>102655.14</v>
      </c>
    </row>
    <row r="30" spans="1:9" ht="19.149999999999999" customHeight="1" x14ac:dyDescent="0.25">
      <c r="A30" s="32">
        <v>1020</v>
      </c>
      <c r="B30" s="42">
        <v>7497.3</v>
      </c>
      <c r="C30" s="42">
        <v>632.95000000000005</v>
      </c>
      <c r="D30" s="54">
        <v>28.957809999999998</v>
      </c>
      <c r="E30" s="55">
        <v>28.957809999999998</v>
      </c>
      <c r="F30" s="54">
        <v>14.189690000000001</v>
      </c>
      <c r="G30" s="55">
        <v>14.189690000000001</v>
      </c>
      <c r="H30" s="42">
        <v>0.35226000000000002</v>
      </c>
      <c r="I30" s="42">
        <v>103663.33</v>
      </c>
    </row>
    <row r="31" spans="1:9" ht="19.149999999999999" customHeight="1" x14ac:dyDescent="0.25">
      <c r="A31" s="33">
        <v>1010</v>
      </c>
      <c r="B31" s="43">
        <v>7502.75</v>
      </c>
      <c r="C31" s="43">
        <v>631.2299999999999</v>
      </c>
      <c r="D31" s="56">
        <v>28.838450000000002</v>
      </c>
      <c r="E31" s="57">
        <v>28.838450000000002</v>
      </c>
      <c r="F31" s="56">
        <v>14.07751</v>
      </c>
      <c r="G31" s="57">
        <v>14.07751</v>
      </c>
      <c r="H31" s="43">
        <v>0.35166999999999998</v>
      </c>
      <c r="I31" s="43">
        <v>104670.06999999999</v>
      </c>
    </row>
    <row r="32" spans="1:9" ht="19.149999999999999" customHeight="1" x14ac:dyDescent="0.25">
      <c r="A32" s="32">
        <v>1000</v>
      </c>
      <c r="B32" s="42">
        <v>7508.2100000000009</v>
      </c>
      <c r="C32" s="42">
        <v>629.52</v>
      </c>
      <c r="D32" s="54">
        <v>28.719080000000002</v>
      </c>
      <c r="E32" s="55">
        <v>28.719080000000002</v>
      </c>
      <c r="F32" s="54">
        <v>13.963179999999999</v>
      </c>
      <c r="G32" s="55">
        <v>13.963179999999999</v>
      </c>
      <c r="H32" s="42">
        <v>0.35108</v>
      </c>
      <c r="I32" s="42">
        <v>105675.36</v>
      </c>
    </row>
    <row r="33" spans="1:9" ht="19.149999999999999" customHeight="1" x14ac:dyDescent="0.25">
      <c r="A33" s="33">
        <v>990</v>
      </c>
      <c r="B33" s="43">
        <v>7513.67</v>
      </c>
      <c r="C33" s="43">
        <v>627.82000000000005</v>
      </c>
      <c r="D33" s="56">
        <v>28.599699999999999</v>
      </c>
      <c r="E33" s="57">
        <v>28.599699999999999</v>
      </c>
      <c r="F33" s="56">
        <v>13.846629999999999</v>
      </c>
      <c r="G33" s="57">
        <v>13.846629999999999</v>
      </c>
      <c r="H33" s="43">
        <v>0.35049000000000002</v>
      </c>
      <c r="I33" s="43">
        <v>106679.23000000001</v>
      </c>
    </row>
    <row r="34" spans="1:9" ht="19.149999999999999" customHeight="1" x14ac:dyDescent="0.25">
      <c r="A34" s="32">
        <v>980</v>
      </c>
      <c r="B34" s="42">
        <v>7519.13</v>
      </c>
      <c r="C34" s="42">
        <v>626.12</v>
      </c>
      <c r="D34" s="54">
        <v>28.480309999999999</v>
      </c>
      <c r="E34" s="55">
        <v>28.480309999999999</v>
      </c>
      <c r="F34" s="54">
        <v>13.7278</v>
      </c>
      <c r="G34" s="55">
        <v>13.7278</v>
      </c>
      <c r="H34" s="42">
        <v>0.34989999999999999</v>
      </c>
      <c r="I34" s="42">
        <v>107681.67</v>
      </c>
    </row>
    <row r="35" spans="1:9" ht="19.149999999999999" customHeight="1" x14ac:dyDescent="0.25">
      <c r="A35" s="33">
        <v>970</v>
      </c>
      <c r="B35" s="43">
        <v>7524.6</v>
      </c>
      <c r="C35" s="43">
        <v>624.49</v>
      </c>
      <c r="D35" s="56">
        <v>28.36092</v>
      </c>
      <c r="E35" s="57">
        <v>28.36092</v>
      </c>
      <c r="F35" s="56">
        <v>13.6066</v>
      </c>
      <c r="G35" s="57">
        <v>13.6066</v>
      </c>
      <c r="H35" s="43">
        <v>0.34932000000000002</v>
      </c>
      <c r="I35" s="43">
        <v>108682.68999999999</v>
      </c>
    </row>
    <row r="36" spans="1:9" ht="19.149999999999999" customHeight="1" x14ac:dyDescent="0.25">
      <c r="A36" s="32">
        <v>960</v>
      </c>
      <c r="B36" s="42">
        <v>7530.0700000000006</v>
      </c>
      <c r="C36" s="42">
        <v>622.83000000000004</v>
      </c>
      <c r="D36" s="54">
        <v>28.241520000000001</v>
      </c>
      <c r="E36" s="55">
        <v>28.241520000000001</v>
      </c>
      <c r="F36" s="54">
        <v>13.48296</v>
      </c>
      <c r="G36" s="55">
        <v>13.48296</v>
      </c>
      <c r="H36" s="42">
        <v>0.34872999999999998</v>
      </c>
      <c r="I36" s="42">
        <v>109682.3</v>
      </c>
    </row>
    <row r="37" spans="1:9" ht="19.149999999999999" customHeight="1" x14ac:dyDescent="0.25">
      <c r="A37" s="33">
        <v>950</v>
      </c>
      <c r="B37" s="43">
        <v>7535.55</v>
      </c>
      <c r="C37" s="43">
        <v>621.17999999999995</v>
      </c>
      <c r="D37" s="56">
        <v>28.122109999999999</v>
      </c>
      <c r="E37" s="57">
        <v>28.122109999999999</v>
      </c>
      <c r="F37" s="56">
        <v>13.35679</v>
      </c>
      <c r="G37" s="57">
        <v>13.35679</v>
      </c>
      <c r="H37" s="43">
        <v>0.34814000000000001</v>
      </c>
      <c r="I37" s="43">
        <v>110680.53</v>
      </c>
    </row>
    <row r="38" spans="1:9" ht="19.149999999999999" customHeight="1" x14ac:dyDescent="0.25">
      <c r="A38" s="32">
        <v>940</v>
      </c>
      <c r="B38" s="42">
        <v>7541.04</v>
      </c>
      <c r="C38" s="42">
        <v>619.55999999999995</v>
      </c>
      <c r="D38" s="54">
        <v>28.002700000000001</v>
      </c>
      <c r="E38" s="55">
        <v>28.002700000000001</v>
      </c>
      <c r="F38" s="54">
        <v>13.228</v>
      </c>
      <c r="G38" s="55">
        <v>13.228</v>
      </c>
      <c r="H38" s="42">
        <v>0.34755000000000003</v>
      </c>
      <c r="I38" s="42">
        <v>111677.37</v>
      </c>
    </row>
    <row r="39" spans="1:9" ht="19.149999999999999" customHeight="1" x14ac:dyDescent="0.25">
      <c r="A39" s="33">
        <v>930</v>
      </c>
      <c r="B39" s="43">
        <v>7546.5300000000007</v>
      </c>
      <c r="C39" s="43">
        <v>617.95000000000005</v>
      </c>
      <c r="D39" s="56">
        <v>27.883279999999999</v>
      </c>
      <c r="E39" s="57">
        <v>27.883279999999999</v>
      </c>
      <c r="F39" s="56">
        <v>13.09652</v>
      </c>
      <c r="G39" s="57">
        <v>13.09652</v>
      </c>
      <c r="H39" s="43">
        <v>0.34695999999999999</v>
      </c>
      <c r="I39" s="43">
        <v>112672.84</v>
      </c>
    </row>
    <row r="40" spans="1:9" ht="19.149999999999999" customHeight="1" x14ac:dyDescent="0.25">
      <c r="A40" s="32">
        <v>920</v>
      </c>
      <c r="B40" s="42">
        <v>7552.0199999999995</v>
      </c>
      <c r="C40" s="42">
        <v>616.34999999999991</v>
      </c>
      <c r="D40" s="54">
        <v>27.763860000000001</v>
      </c>
      <c r="E40" s="55">
        <v>27.763860000000001</v>
      </c>
      <c r="F40" s="54">
        <v>12.96223</v>
      </c>
      <c r="G40" s="55">
        <v>12.96223</v>
      </c>
      <c r="H40" s="42">
        <v>0.34637000000000001</v>
      </c>
      <c r="I40" s="42">
        <v>113666.95</v>
      </c>
    </row>
    <row r="41" spans="1:9" ht="19.149999999999999" customHeight="1" x14ac:dyDescent="0.25">
      <c r="A41" s="33">
        <v>910</v>
      </c>
      <c r="B41" s="43">
        <v>7557.5200000000013</v>
      </c>
      <c r="C41" s="43">
        <v>614.76</v>
      </c>
      <c r="D41" s="56">
        <v>27.64443</v>
      </c>
      <c r="E41" s="57">
        <v>27.64443</v>
      </c>
      <c r="F41" s="56">
        <v>12.825049999999999</v>
      </c>
      <c r="G41" s="57">
        <v>12.825049999999999</v>
      </c>
      <c r="H41" s="43">
        <v>0.34578999999999999</v>
      </c>
      <c r="I41" s="43">
        <v>114659.73</v>
      </c>
    </row>
    <row r="42" spans="1:9" ht="19.149999999999999" customHeight="1" x14ac:dyDescent="0.25">
      <c r="A42" s="32">
        <v>900</v>
      </c>
      <c r="B42" s="42">
        <v>7563.0300000000007</v>
      </c>
      <c r="C42" s="42">
        <v>613.19999999999993</v>
      </c>
      <c r="D42" s="54">
        <v>27.524999999999999</v>
      </c>
      <c r="E42" s="55">
        <v>27.524999999999999</v>
      </c>
      <c r="F42" s="54">
        <v>12.68487</v>
      </c>
      <c r="G42" s="55">
        <v>12.68487</v>
      </c>
      <c r="H42" s="42">
        <v>0.34520000000000001</v>
      </c>
      <c r="I42" s="42">
        <v>115651.18</v>
      </c>
    </row>
    <row r="43" spans="1:9" ht="19.149999999999999" customHeight="1" x14ac:dyDescent="0.25">
      <c r="A43" s="33">
        <v>890</v>
      </c>
      <c r="B43" s="43">
        <v>7568.54</v>
      </c>
      <c r="C43" s="43">
        <v>611.64</v>
      </c>
      <c r="D43" s="56">
        <v>27.405570000000001</v>
      </c>
      <c r="E43" s="57">
        <v>27.405570000000001</v>
      </c>
      <c r="F43" s="56">
        <v>12.541589999999999</v>
      </c>
      <c r="G43" s="57">
        <v>12.541589999999999</v>
      </c>
      <c r="H43" s="43">
        <v>0.34461000000000003</v>
      </c>
      <c r="I43" s="43">
        <v>116641.33</v>
      </c>
    </row>
    <row r="44" spans="1:9" ht="19.149999999999999" customHeight="1" x14ac:dyDescent="0.25">
      <c r="A44" s="32">
        <v>880</v>
      </c>
      <c r="B44" s="42">
        <v>7574.05</v>
      </c>
      <c r="C44" s="42">
        <v>610.12</v>
      </c>
      <c r="D44" s="54">
        <v>27.28613</v>
      </c>
      <c r="E44" s="55">
        <v>27.28613</v>
      </c>
      <c r="F44" s="54">
        <v>12.39508</v>
      </c>
      <c r="G44" s="55">
        <v>12.39508</v>
      </c>
      <c r="H44" s="42">
        <v>0.34401999999999999</v>
      </c>
      <c r="I44" s="42">
        <v>117630.18</v>
      </c>
    </row>
    <row r="45" spans="1:9" ht="19.149999999999999" customHeight="1" x14ac:dyDescent="0.25">
      <c r="A45" s="33">
        <v>870</v>
      </c>
      <c r="B45" s="43">
        <v>7579.58</v>
      </c>
      <c r="C45" s="43">
        <v>608.61</v>
      </c>
      <c r="D45" s="56">
        <v>27.166679999999999</v>
      </c>
      <c r="E45" s="57">
        <v>27.166679999999999</v>
      </c>
      <c r="F45" s="56">
        <v>12.245229999999999</v>
      </c>
      <c r="G45" s="57">
        <v>12.245229999999999</v>
      </c>
      <c r="H45" s="43">
        <v>0.34343000000000001</v>
      </c>
      <c r="I45" s="43">
        <v>118617.76999999999</v>
      </c>
    </row>
    <row r="46" spans="1:9" ht="19.149999999999999" customHeight="1" x14ac:dyDescent="0.25">
      <c r="A46" s="32">
        <v>860</v>
      </c>
      <c r="B46" s="42">
        <v>7585.1</v>
      </c>
      <c r="C46" s="42">
        <v>607.09</v>
      </c>
      <c r="D46" s="54">
        <v>27.047229999999999</v>
      </c>
      <c r="E46" s="55">
        <v>27.047229999999999</v>
      </c>
      <c r="F46" s="54">
        <v>12.09192</v>
      </c>
      <c r="G46" s="55">
        <v>12.09192</v>
      </c>
      <c r="H46" s="42">
        <v>0.34284999999999999</v>
      </c>
      <c r="I46" s="42">
        <v>119604.12</v>
      </c>
    </row>
    <row r="47" spans="1:9" ht="19.149999999999999" customHeight="1" x14ac:dyDescent="0.25">
      <c r="A47" s="33">
        <v>850</v>
      </c>
      <c r="B47" s="43">
        <v>7590.64</v>
      </c>
      <c r="C47" s="43">
        <v>605.61</v>
      </c>
      <c r="D47" s="56">
        <v>26.927769999999999</v>
      </c>
      <c r="E47" s="57">
        <v>26.927769999999999</v>
      </c>
      <c r="F47" s="56">
        <v>11.93501</v>
      </c>
      <c r="G47" s="57">
        <v>11.93501</v>
      </c>
      <c r="H47" s="43">
        <v>0.34226000000000001</v>
      </c>
      <c r="I47" s="43">
        <v>120589.25</v>
      </c>
    </row>
    <row r="48" spans="1:9" ht="19.149999999999999" customHeight="1" x14ac:dyDescent="0.25">
      <c r="A48" s="32">
        <v>840</v>
      </c>
      <c r="B48" s="42">
        <v>7596.18</v>
      </c>
      <c r="C48" s="42">
        <v>604.14</v>
      </c>
      <c r="D48" s="54">
        <v>26.808299999999999</v>
      </c>
      <c r="E48" s="55">
        <v>26.808299999999999</v>
      </c>
      <c r="F48" s="54">
        <v>11.774369999999999</v>
      </c>
      <c r="G48" s="55">
        <v>11.774369999999999</v>
      </c>
      <c r="H48" s="42">
        <v>0.34166999999999997</v>
      </c>
      <c r="I48" s="42">
        <v>121573.18</v>
      </c>
    </row>
    <row r="49" spans="1:9" ht="19.149999999999999" customHeight="1" x14ac:dyDescent="0.25">
      <c r="A49" s="33">
        <v>830</v>
      </c>
      <c r="B49" s="43">
        <v>7601.72</v>
      </c>
      <c r="C49" s="43">
        <v>602.72</v>
      </c>
      <c r="D49" s="56">
        <v>26.688829999999999</v>
      </c>
      <c r="E49" s="57">
        <v>26.688829999999999</v>
      </c>
      <c r="F49" s="56">
        <v>11.60985</v>
      </c>
      <c r="G49" s="57">
        <v>11.60985</v>
      </c>
      <c r="H49" s="43">
        <v>0.34107999999999999</v>
      </c>
      <c r="I49" s="43">
        <v>122555.94</v>
      </c>
    </row>
    <row r="50" spans="1:9" ht="19.149999999999999" customHeight="1" x14ac:dyDescent="0.25">
      <c r="A50" s="32">
        <v>820</v>
      </c>
      <c r="B50" s="42">
        <v>7600.27</v>
      </c>
      <c r="C50" s="42">
        <v>970.41</v>
      </c>
      <c r="D50" s="54">
        <v>26.846160000000001</v>
      </c>
      <c r="E50" s="55">
        <v>26.846160000000001</v>
      </c>
      <c r="F50" s="54">
        <v>11.83849</v>
      </c>
      <c r="G50" s="55">
        <v>11.83849</v>
      </c>
      <c r="H50" s="42">
        <v>0.33893000000000001</v>
      </c>
      <c r="I50" s="42">
        <v>123699.1</v>
      </c>
    </row>
    <row r="51" spans="1:9" ht="19.149999999999999" customHeight="1" x14ac:dyDescent="0.25">
      <c r="A51" s="33">
        <v>810</v>
      </c>
      <c r="B51" s="43">
        <v>7595.04</v>
      </c>
      <c r="C51" s="43">
        <v>986.56999999999994</v>
      </c>
      <c r="D51" s="56">
        <v>27.166630000000001</v>
      </c>
      <c r="E51" s="57">
        <v>27.166630000000001</v>
      </c>
      <c r="F51" s="56">
        <v>12.28975</v>
      </c>
      <c r="G51" s="57">
        <v>12.28975</v>
      </c>
      <c r="H51" s="43">
        <v>0.33610000000000001</v>
      </c>
      <c r="I51" s="43">
        <v>124942.55</v>
      </c>
    </row>
    <row r="52" spans="1:9" ht="19.149999999999999" customHeight="1" x14ac:dyDescent="0.25">
      <c r="A52" s="32">
        <v>800</v>
      </c>
      <c r="B52" s="42">
        <v>7591.0800000000008</v>
      </c>
      <c r="C52" s="42">
        <v>964.91000000000008</v>
      </c>
      <c r="D52" s="54">
        <v>27.48133</v>
      </c>
      <c r="E52" s="55">
        <v>27.48133</v>
      </c>
      <c r="F52" s="54">
        <v>12.679220000000001</v>
      </c>
      <c r="G52" s="55">
        <v>12.679220000000001</v>
      </c>
      <c r="H52" s="42">
        <v>0.33362999999999998</v>
      </c>
      <c r="I52" s="42">
        <v>126202.94</v>
      </c>
    </row>
    <row r="53" spans="1:9" ht="19.149999999999999" customHeight="1" x14ac:dyDescent="0.25">
      <c r="A53" s="33">
        <v>790</v>
      </c>
      <c r="B53" s="43">
        <v>7588.1</v>
      </c>
      <c r="C53" s="43">
        <v>965.73</v>
      </c>
      <c r="D53" s="56">
        <v>27.790970000000002</v>
      </c>
      <c r="E53" s="57">
        <v>27.790970000000002</v>
      </c>
      <c r="F53" s="56">
        <v>13.021369999999999</v>
      </c>
      <c r="G53" s="57">
        <v>13.021369999999999</v>
      </c>
      <c r="H53" s="43">
        <v>0.33145999999999998</v>
      </c>
      <c r="I53" s="43">
        <v>127514.55</v>
      </c>
    </row>
    <row r="54" spans="1:9" ht="19.149999999999999" customHeight="1" x14ac:dyDescent="0.25">
      <c r="A54" s="32">
        <v>780</v>
      </c>
      <c r="B54" s="42">
        <v>7585.9100000000008</v>
      </c>
      <c r="C54" s="42">
        <v>968.46</v>
      </c>
      <c r="D54" s="54">
        <v>28.096530000000001</v>
      </c>
      <c r="E54" s="55">
        <v>28.096530000000001</v>
      </c>
      <c r="F54" s="54">
        <v>13.324780000000001</v>
      </c>
      <c r="G54" s="55">
        <v>13.324780000000001</v>
      </c>
      <c r="H54" s="42">
        <v>0.32952999999999999</v>
      </c>
      <c r="I54" s="42">
        <v>128882.48999999999</v>
      </c>
    </row>
    <row r="55" spans="1:9" ht="19.149999999999999" customHeight="1" x14ac:dyDescent="0.25">
      <c r="A55" s="33">
        <v>770</v>
      </c>
      <c r="B55" s="43">
        <v>7584.4600000000009</v>
      </c>
      <c r="C55" s="43">
        <v>974.42</v>
      </c>
      <c r="D55" s="56">
        <v>28.396070000000002</v>
      </c>
      <c r="E55" s="57">
        <v>28.396070000000002</v>
      </c>
      <c r="F55" s="56">
        <v>13.592029999999999</v>
      </c>
      <c r="G55" s="57">
        <v>13.592029999999999</v>
      </c>
      <c r="H55" s="43">
        <v>0.32782</v>
      </c>
      <c r="I55" s="43">
        <v>130298.72</v>
      </c>
    </row>
    <row r="56" spans="1:9" ht="19.149999999999999" customHeight="1" x14ac:dyDescent="0.25">
      <c r="A56" s="32">
        <v>760</v>
      </c>
      <c r="B56" s="42">
        <v>7583.6500000000005</v>
      </c>
      <c r="C56" s="42">
        <v>984.54</v>
      </c>
      <c r="D56" s="54">
        <v>28.69284</v>
      </c>
      <c r="E56" s="55">
        <v>28.69284</v>
      </c>
      <c r="F56" s="54">
        <v>13.82662</v>
      </c>
      <c r="G56" s="55">
        <v>13.82662</v>
      </c>
      <c r="H56" s="42">
        <v>0.32629999999999998</v>
      </c>
      <c r="I56" s="42">
        <v>131753.75</v>
      </c>
    </row>
    <row r="57" spans="1:9" ht="19.149999999999999" customHeight="1" x14ac:dyDescent="0.25">
      <c r="A57" s="33">
        <v>750</v>
      </c>
      <c r="B57" s="43">
        <v>7583.41</v>
      </c>
      <c r="C57" s="43">
        <v>999.67</v>
      </c>
      <c r="D57" s="56">
        <v>28.986049999999999</v>
      </c>
      <c r="E57" s="57">
        <v>28.986049999999999</v>
      </c>
      <c r="F57" s="56">
        <v>14.032220000000001</v>
      </c>
      <c r="G57" s="57">
        <v>14.032220000000001</v>
      </c>
      <c r="H57" s="43">
        <v>0.32494000000000001</v>
      </c>
      <c r="I57" s="43">
        <v>133238.63</v>
      </c>
    </row>
    <row r="58" spans="1:9" ht="19.149999999999999" customHeight="1" x14ac:dyDescent="0.25">
      <c r="A58" s="32">
        <v>740</v>
      </c>
      <c r="B58" s="42">
        <v>7583.7100000000009</v>
      </c>
      <c r="C58" s="42">
        <v>1088.97</v>
      </c>
      <c r="D58" s="54">
        <v>29.278130000000001</v>
      </c>
      <c r="E58" s="55">
        <v>29.278130000000001</v>
      </c>
      <c r="F58" s="54">
        <v>14.209910000000001</v>
      </c>
      <c r="G58" s="55">
        <v>14.209910000000001</v>
      </c>
      <c r="H58" s="42">
        <v>0.32372000000000001</v>
      </c>
      <c r="I58" s="42">
        <v>134744.11000000002</v>
      </c>
    </row>
    <row r="59" spans="1:9" ht="19.149999999999999" customHeight="1" x14ac:dyDescent="0.25">
      <c r="A59" s="33">
        <v>730</v>
      </c>
      <c r="B59" s="43">
        <v>7584.34</v>
      </c>
      <c r="C59" s="43">
        <v>1078.6899999999998</v>
      </c>
      <c r="D59" s="56">
        <v>29.57226</v>
      </c>
      <c r="E59" s="57">
        <v>29.57226</v>
      </c>
      <c r="F59" s="56">
        <v>14.370799999999999</v>
      </c>
      <c r="G59" s="57">
        <v>14.370799999999999</v>
      </c>
      <c r="H59" s="43">
        <v>0.3226</v>
      </c>
      <c r="I59" s="43">
        <v>136269.07</v>
      </c>
    </row>
    <row r="60" spans="1:9" ht="19.149999999999999" customHeight="1" x14ac:dyDescent="0.25">
      <c r="A60" s="32">
        <v>720</v>
      </c>
      <c r="B60" s="42">
        <v>7585.3000000000011</v>
      </c>
      <c r="C60" s="42">
        <v>1063.3799999999999</v>
      </c>
      <c r="D60" s="54">
        <v>29.865760000000002</v>
      </c>
      <c r="E60" s="55">
        <v>29.865760000000002</v>
      </c>
      <c r="F60" s="54">
        <v>14.51484</v>
      </c>
      <c r="G60" s="55">
        <v>14.51484</v>
      </c>
      <c r="H60" s="42">
        <v>0.32157000000000002</v>
      </c>
      <c r="I60" s="42">
        <v>137806.63999999998</v>
      </c>
    </row>
    <row r="61" spans="1:9" ht="19.149999999999999" customHeight="1" x14ac:dyDescent="0.25">
      <c r="A61" s="33">
        <v>710</v>
      </c>
      <c r="B61" s="43">
        <v>7586.58</v>
      </c>
      <c r="C61" s="43">
        <v>1044.96</v>
      </c>
      <c r="D61" s="56">
        <v>30.157150000000001</v>
      </c>
      <c r="E61" s="57">
        <v>30.157150000000001</v>
      </c>
      <c r="F61" s="56">
        <v>14.64223</v>
      </c>
      <c r="G61" s="57">
        <v>14.64223</v>
      </c>
      <c r="H61" s="43">
        <v>0.32062000000000002</v>
      </c>
      <c r="I61" s="43">
        <v>139350.63</v>
      </c>
    </row>
    <row r="62" spans="1:9" ht="19.149999999999999" customHeight="1" x14ac:dyDescent="0.25">
      <c r="A62" s="32">
        <v>700</v>
      </c>
      <c r="B62" s="42">
        <v>7586.76</v>
      </c>
      <c r="C62" s="42">
        <v>1000</v>
      </c>
      <c r="D62" s="54">
        <v>30.60622</v>
      </c>
      <c r="E62" s="55">
        <v>30.60622</v>
      </c>
      <c r="F62" s="54">
        <v>14.846869999999999</v>
      </c>
      <c r="G62" s="55">
        <v>14.846869999999999</v>
      </c>
      <c r="H62" s="42">
        <v>0.31909999999999999</v>
      </c>
      <c r="I62" s="42">
        <v>141121.71000000002</v>
      </c>
    </row>
    <row r="63" spans="1:9" ht="19.149999999999999" customHeight="1" x14ac:dyDescent="0.25">
      <c r="A63" s="33">
        <v>690</v>
      </c>
      <c r="B63" s="43">
        <v>7583.06</v>
      </c>
      <c r="C63" s="43">
        <v>980</v>
      </c>
      <c r="D63" s="56">
        <v>31.50441</v>
      </c>
      <c r="E63" s="57">
        <v>31.50441</v>
      </c>
      <c r="F63" s="56">
        <v>15.32249</v>
      </c>
      <c r="G63" s="57">
        <v>15.32249</v>
      </c>
      <c r="H63" s="43">
        <v>0.31575999999999999</v>
      </c>
      <c r="I63" s="43">
        <v>143728.71000000002</v>
      </c>
    </row>
    <row r="64" spans="1:9" ht="19.149999999999999" customHeight="1" x14ac:dyDescent="0.25">
      <c r="A64" s="32">
        <v>680</v>
      </c>
      <c r="B64" s="42">
        <v>7584.84</v>
      </c>
      <c r="C64" s="42">
        <v>938.32</v>
      </c>
      <c r="D64" s="54">
        <v>31.91958</v>
      </c>
      <c r="E64" s="55">
        <v>31.91958</v>
      </c>
      <c r="F64" s="54">
        <v>15.43299</v>
      </c>
      <c r="G64" s="55">
        <v>15.43299</v>
      </c>
      <c r="H64" s="42">
        <v>0.31458999999999998</v>
      </c>
      <c r="I64" s="42">
        <v>145585.85</v>
      </c>
    </row>
    <row r="65" spans="1:9" ht="19.149999999999999" customHeight="1" x14ac:dyDescent="0.25">
      <c r="A65" s="33">
        <v>670</v>
      </c>
      <c r="B65" s="43">
        <v>7588.9000000000005</v>
      </c>
      <c r="C65" s="43">
        <v>918.86</v>
      </c>
      <c r="D65" s="56">
        <v>32.122869999999999</v>
      </c>
      <c r="E65" s="57">
        <v>32.122869999999999</v>
      </c>
      <c r="F65" s="56">
        <v>15.38735</v>
      </c>
      <c r="G65" s="57">
        <v>15.38735</v>
      </c>
      <c r="H65" s="43">
        <v>0.31419999999999998</v>
      </c>
      <c r="I65" s="43">
        <v>147057.54999999999</v>
      </c>
    </row>
    <row r="66" spans="1:9" ht="19.149999999999999" customHeight="1" x14ac:dyDescent="0.25">
      <c r="A66" s="32">
        <v>660</v>
      </c>
      <c r="B66" s="42">
        <v>7592.94</v>
      </c>
      <c r="C66" s="42">
        <v>900.64</v>
      </c>
      <c r="D66" s="54">
        <v>32.333060000000003</v>
      </c>
      <c r="E66" s="55">
        <v>32.333060000000003</v>
      </c>
      <c r="F66" s="54">
        <v>15.342040000000001</v>
      </c>
      <c r="G66" s="55">
        <v>15.342040000000001</v>
      </c>
      <c r="H66" s="42">
        <v>0.31381999999999999</v>
      </c>
      <c r="I66" s="42">
        <v>148520.32000000001</v>
      </c>
    </row>
    <row r="67" spans="1:9" ht="19.149999999999999" customHeight="1" x14ac:dyDescent="0.25">
      <c r="A67" s="33">
        <v>650</v>
      </c>
      <c r="B67" s="43">
        <v>7596.9600000000009</v>
      </c>
      <c r="C67" s="43">
        <v>883.54</v>
      </c>
      <c r="D67" s="56">
        <v>32.550020000000004</v>
      </c>
      <c r="E67" s="57">
        <v>32.550020000000004</v>
      </c>
      <c r="F67" s="56">
        <v>15.296989999999999</v>
      </c>
      <c r="G67" s="57">
        <v>15.296989999999999</v>
      </c>
      <c r="H67" s="43">
        <v>0.31342999999999999</v>
      </c>
      <c r="I67" s="43">
        <v>149973.86000000002</v>
      </c>
    </row>
    <row r="68" spans="1:9" ht="19.149999999999999" customHeight="1" x14ac:dyDescent="0.25">
      <c r="A68" s="32">
        <v>640</v>
      </c>
      <c r="B68" s="42">
        <v>7600.97</v>
      </c>
      <c r="C68" s="42">
        <v>867.46</v>
      </c>
      <c r="D68" s="54">
        <v>32.773609999999998</v>
      </c>
      <c r="E68" s="55">
        <v>32.773609999999998</v>
      </c>
      <c r="F68" s="54">
        <v>15.25212</v>
      </c>
      <c r="G68" s="55">
        <v>15.25212</v>
      </c>
      <c r="H68" s="42">
        <v>0.31304999999999999</v>
      </c>
      <c r="I68" s="42">
        <v>151417.84999999998</v>
      </c>
    </row>
    <row r="69" spans="1:9" ht="19.149999999999999" customHeight="1" x14ac:dyDescent="0.25">
      <c r="A69" s="33">
        <v>630</v>
      </c>
      <c r="B69" s="43">
        <v>7604.9500000000007</v>
      </c>
      <c r="C69" s="43">
        <v>852.3</v>
      </c>
      <c r="D69" s="56">
        <v>33.003700000000002</v>
      </c>
      <c r="E69" s="57">
        <v>33.003700000000002</v>
      </c>
      <c r="F69" s="56">
        <v>15.20739</v>
      </c>
      <c r="G69" s="57">
        <v>15.20739</v>
      </c>
      <c r="H69" s="43">
        <v>0.31267</v>
      </c>
      <c r="I69" s="43">
        <v>152851.99</v>
      </c>
    </row>
    <row r="70" spans="1:9" ht="19.149999999999999" customHeight="1" x14ac:dyDescent="0.25">
      <c r="A70" s="32">
        <v>620</v>
      </c>
      <c r="B70" s="42">
        <v>7608.920000000001</v>
      </c>
      <c r="C70" s="42">
        <v>838</v>
      </c>
      <c r="D70" s="54">
        <v>33.240180000000002</v>
      </c>
      <c r="E70" s="55">
        <v>33.240180000000002</v>
      </c>
      <c r="F70" s="54">
        <v>15.16273</v>
      </c>
      <c r="G70" s="55">
        <v>15.16273</v>
      </c>
      <c r="H70" s="42">
        <v>0.31229000000000001</v>
      </c>
      <c r="I70" s="42">
        <v>154275.96</v>
      </c>
    </row>
    <row r="71" spans="1:9" ht="19.149999999999999" customHeight="1" x14ac:dyDescent="0.25">
      <c r="A71" s="33">
        <v>610</v>
      </c>
      <c r="B71" s="43">
        <v>7612.87</v>
      </c>
      <c r="C71" s="43">
        <v>824.45999999999992</v>
      </c>
      <c r="D71" s="56">
        <v>33.48292</v>
      </c>
      <c r="E71" s="57">
        <v>33.48292</v>
      </c>
      <c r="F71" s="56">
        <v>15.118080000000001</v>
      </c>
      <c r="G71" s="57">
        <v>15.118080000000001</v>
      </c>
      <c r="H71" s="43">
        <v>0.31191000000000002</v>
      </c>
      <c r="I71" s="43">
        <v>155689.43</v>
      </c>
    </row>
    <row r="72" spans="1:9" ht="19.149999999999999" customHeight="1" x14ac:dyDescent="0.25">
      <c r="A72" s="32">
        <v>600</v>
      </c>
      <c r="B72" s="42">
        <v>7616.81</v>
      </c>
      <c r="C72" s="42">
        <v>811.63</v>
      </c>
      <c r="D72" s="54">
        <v>33.731830000000002</v>
      </c>
      <c r="E72" s="55">
        <v>33.731830000000002</v>
      </c>
      <c r="F72" s="54">
        <v>15.07339</v>
      </c>
      <c r="G72" s="55">
        <v>15.07339</v>
      </c>
      <c r="H72" s="42">
        <v>0.31152000000000002</v>
      </c>
      <c r="I72" s="42">
        <v>157092.08000000002</v>
      </c>
    </row>
    <row r="73" spans="1:9" ht="19.149999999999999" customHeight="1" x14ac:dyDescent="0.25">
      <c r="A73" s="33">
        <v>590</v>
      </c>
      <c r="B73" s="43">
        <v>7620.7300000000005</v>
      </c>
      <c r="C73" s="43">
        <v>799.45</v>
      </c>
      <c r="D73" s="56">
        <v>33.986809999999998</v>
      </c>
      <c r="E73" s="57">
        <v>33.986809999999998</v>
      </c>
      <c r="F73" s="56">
        <v>15.028600000000001</v>
      </c>
      <c r="G73" s="57">
        <v>15.028600000000001</v>
      </c>
      <c r="H73" s="43">
        <v>0.31114000000000003</v>
      </c>
      <c r="I73" s="43">
        <v>158483.59</v>
      </c>
    </row>
    <row r="74" spans="1:9" ht="19.149999999999999" customHeight="1" x14ac:dyDescent="0.25">
      <c r="A74" s="32">
        <v>580</v>
      </c>
      <c r="B74" s="42">
        <v>7624.64</v>
      </c>
      <c r="C74" s="42">
        <v>787.86</v>
      </c>
      <c r="D74" s="54">
        <v>34.247770000000003</v>
      </c>
      <c r="E74" s="55">
        <v>34.247770000000003</v>
      </c>
      <c r="F74" s="54">
        <v>14.98366</v>
      </c>
      <c r="G74" s="55">
        <v>14.98366</v>
      </c>
      <c r="H74" s="42">
        <v>0.31075999999999998</v>
      </c>
      <c r="I74" s="42">
        <v>159863.63</v>
      </c>
    </row>
    <row r="75" spans="1:9" ht="19.149999999999999" customHeight="1" x14ac:dyDescent="0.25">
      <c r="A75" s="33">
        <v>570</v>
      </c>
      <c r="B75" s="43">
        <v>7628.5400000000009</v>
      </c>
      <c r="C75" s="43">
        <v>776.81999999999994</v>
      </c>
      <c r="D75" s="56">
        <v>34.514650000000003</v>
      </c>
      <c r="E75" s="57">
        <v>34.514650000000003</v>
      </c>
      <c r="F75" s="56">
        <v>14.938510000000001</v>
      </c>
      <c r="G75" s="57">
        <v>14.938510000000001</v>
      </c>
      <c r="H75" s="43">
        <v>0.31037999999999999</v>
      </c>
      <c r="I75" s="43">
        <v>161231.87</v>
      </c>
    </row>
    <row r="76" spans="1:9" ht="19.149999999999999" customHeight="1" x14ac:dyDescent="0.25">
      <c r="A76" s="32">
        <v>560</v>
      </c>
      <c r="B76" s="42">
        <v>7632.42</v>
      </c>
      <c r="C76" s="42">
        <v>766.28</v>
      </c>
      <c r="D76" s="54">
        <v>34.787390000000002</v>
      </c>
      <c r="E76" s="55">
        <v>34.787390000000002</v>
      </c>
      <c r="F76" s="54">
        <v>14.89311</v>
      </c>
      <c r="G76" s="55">
        <v>14.89311</v>
      </c>
      <c r="H76" s="42">
        <v>0.31</v>
      </c>
      <c r="I76" s="42">
        <v>162587.97999999998</v>
      </c>
    </row>
    <row r="77" spans="1:9" ht="19.149999999999999" customHeight="1" x14ac:dyDescent="0.25">
      <c r="A77" s="33">
        <v>550</v>
      </c>
      <c r="B77" s="43">
        <v>7636.29</v>
      </c>
      <c r="C77" s="43">
        <v>756.19999999999993</v>
      </c>
      <c r="D77" s="56">
        <v>35.065959999999997</v>
      </c>
      <c r="E77" s="57">
        <v>35.065959999999997</v>
      </c>
      <c r="F77" s="56">
        <v>14.84741</v>
      </c>
      <c r="G77" s="57">
        <v>14.84741</v>
      </c>
      <c r="H77" s="43">
        <v>0.30962000000000001</v>
      </c>
      <c r="I77" s="43">
        <v>163931.62</v>
      </c>
    </row>
    <row r="78" spans="1:9" ht="19.149999999999999" customHeight="1" x14ac:dyDescent="0.25">
      <c r="A78" s="32">
        <v>540</v>
      </c>
      <c r="B78" s="42">
        <v>7640.14</v>
      </c>
      <c r="C78" s="42">
        <v>746.55000000000007</v>
      </c>
      <c r="D78" s="54">
        <v>35.35033</v>
      </c>
      <c r="E78" s="55">
        <v>35.35033</v>
      </c>
      <c r="F78" s="54">
        <v>14.80134</v>
      </c>
      <c r="G78" s="55">
        <v>14.80134</v>
      </c>
      <c r="H78" s="42">
        <v>0.30924000000000001</v>
      </c>
      <c r="I78" s="42">
        <v>165262.46</v>
      </c>
    </row>
    <row r="79" spans="1:9" ht="19.149999999999999" customHeight="1" x14ac:dyDescent="0.25">
      <c r="A79" s="33">
        <v>530</v>
      </c>
      <c r="B79" s="43">
        <v>7643.99</v>
      </c>
      <c r="C79" s="43">
        <v>737.31000000000006</v>
      </c>
      <c r="D79" s="56">
        <v>35.64049</v>
      </c>
      <c r="E79" s="57">
        <v>35.64049</v>
      </c>
      <c r="F79" s="56">
        <v>14.754860000000001</v>
      </c>
      <c r="G79" s="57">
        <v>14.754860000000001</v>
      </c>
      <c r="H79" s="43">
        <v>0.30886000000000002</v>
      </c>
      <c r="I79" s="43">
        <v>166580.17000000001</v>
      </c>
    </row>
    <row r="80" spans="1:9" ht="19.149999999999999" customHeight="1" x14ac:dyDescent="0.25">
      <c r="A80" s="32">
        <v>520</v>
      </c>
      <c r="B80" s="42">
        <v>7647.8200000000006</v>
      </c>
      <c r="C80" s="42">
        <v>728.42</v>
      </c>
      <c r="D80" s="54">
        <v>35.936450000000001</v>
      </c>
      <c r="E80" s="55">
        <v>35.936450000000001</v>
      </c>
      <c r="F80" s="54">
        <v>14.707929999999999</v>
      </c>
      <c r="G80" s="55">
        <v>14.707929999999999</v>
      </c>
      <c r="H80" s="42">
        <v>0.30847000000000002</v>
      </c>
      <c r="I80" s="42">
        <v>167884.4</v>
      </c>
    </row>
    <row r="81" spans="1:9" ht="19.149999999999999" customHeight="1" x14ac:dyDescent="0.25">
      <c r="A81" s="33">
        <v>510</v>
      </c>
      <c r="B81" s="43">
        <v>7651.64</v>
      </c>
      <c r="C81" s="43">
        <v>719.86</v>
      </c>
      <c r="D81" s="56">
        <v>36.238259999999997</v>
      </c>
      <c r="E81" s="57">
        <v>36.238259999999997</v>
      </c>
      <c r="F81" s="56">
        <v>14.66048</v>
      </c>
      <c r="G81" s="57">
        <v>14.66048</v>
      </c>
      <c r="H81" s="43">
        <v>0.30808999999999997</v>
      </c>
      <c r="I81" s="43">
        <v>169174.83</v>
      </c>
    </row>
    <row r="82" spans="1:9" ht="19.149999999999999" customHeight="1" x14ac:dyDescent="0.25">
      <c r="A82" s="32">
        <v>500</v>
      </c>
      <c r="B82" s="42">
        <v>7655.4500000000007</v>
      </c>
      <c r="C82" s="42">
        <v>711.63</v>
      </c>
      <c r="D82" s="54">
        <v>36.545969999999997</v>
      </c>
      <c r="E82" s="55">
        <v>36.545969999999997</v>
      </c>
      <c r="F82" s="54">
        <v>14.61248</v>
      </c>
      <c r="G82" s="55">
        <v>14.61248</v>
      </c>
      <c r="H82" s="42">
        <v>0.30770999999999998</v>
      </c>
      <c r="I82" s="42">
        <v>170451.1</v>
      </c>
    </row>
    <row r="83" spans="1:9" ht="19.149999999999999" customHeight="1" x14ac:dyDescent="0.25">
      <c r="A83" s="33">
        <v>490</v>
      </c>
      <c r="B83" s="43">
        <v>7659.2500000000009</v>
      </c>
      <c r="C83" s="43">
        <v>703.68</v>
      </c>
      <c r="D83" s="56">
        <v>36.859630000000003</v>
      </c>
      <c r="E83" s="57">
        <v>36.859630000000003</v>
      </c>
      <c r="F83" s="56">
        <v>14.56387</v>
      </c>
      <c r="G83" s="57">
        <v>14.56387</v>
      </c>
      <c r="H83" s="43">
        <v>0.30732999999999999</v>
      </c>
      <c r="I83" s="43">
        <v>171712.88999999998</v>
      </c>
    </row>
    <row r="84" spans="1:9" ht="19.149999999999999" customHeight="1" x14ac:dyDescent="0.25">
      <c r="A84" s="32">
        <v>480</v>
      </c>
      <c r="B84" s="42">
        <v>7663.04</v>
      </c>
      <c r="C84" s="42">
        <v>695.99</v>
      </c>
      <c r="D84" s="54">
        <v>37.179349999999999</v>
      </c>
      <c r="E84" s="55">
        <v>37.179349999999999</v>
      </c>
      <c r="F84" s="54">
        <v>14.5146</v>
      </c>
      <c r="G84" s="55">
        <v>14.5146</v>
      </c>
      <c r="H84" s="42">
        <v>0.30695</v>
      </c>
      <c r="I84" s="42">
        <v>172959.84999999998</v>
      </c>
    </row>
    <row r="85" spans="1:9" ht="19.149999999999999" customHeight="1" x14ac:dyDescent="0.25">
      <c r="A85" s="33">
        <v>470</v>
      </c>
      <c r="B85" s="43">
        <v>7666.81</v>
      </c>
      <c r="C85" s="43">
        <v>688.54000000000008</v>
      </c>
      <c r="D85" s="56">
        <v>37.505229999999997</v>
      </c>
      <c r="E85" s="57">
        <v>37.505229999999997</v>
      </c>
      <c r="F85" s="56">
        <v>14.46462</v>
      </c>
      <c r="G85" s="57">
        <v>14.46462</v>
      </c>
      <c r="H85" s="43">
        <v>0.30657000000000001</v>
      </c>
      <c r="I85" s="43">
        <v>174191.64</v>
      </c>
    </row>
    <row r="86" spans="1:9" ht="19.149999999999999" customHeight="1" x14ac:dyDescent="0.25">
      <c r="A86" s="32">
        <v>460</v>
      </c>
      <c r="B86" s="42">
        <v>7670.7</v>
      </c>
      <c r="C86" s="42">
        <v>675</v>
      </c>
      <c r="D86" s="54">
        <v>37.903959999999998</v>
      </c>
      <c r="E86" s="55">
        <v>37.903959999999998</v>
      </c>
      <c r="F86" s="54">
        <v>14.40096</v>
      </c>
      <c r="G86" s="55">
        <v>14.40096</v>
      </c>
      <c r="H86" s="42">
        <v>0.30614999999999998</v>
      </c>
      <c r="I86" s="42">
        <v>175448.38999999998</v>
      </c>
    </row>
    <row r="87" spans="1:9" ht="19.149999999999999" customHeight="1" x14ac:dyDescent="0.25">
      <c r="A87" s="33">
        <v>450</v>
      </c>
      <c r="B87" s="43">
        <v>7675.0800000000008</v>
      </c>
      <c r="C87" s="43">
        <v>670</v>
      </c>
      <c r="D87" s="56">
        <v>38.573239999999998</v>
      </c>
      <c r="E87" s="57">
        <v>38.573239999999998</v>
      </c>
      <c r="F87" s="56">
        <v>14.284560000000001</v>
      </c>
      <c r="G87" s="57">
        <v>14.284560000000001</v>
      </c>
      <c r="H87" s="43">
        <v>0.30557000000000001</v>
      </c>
      <c r="I87" s="43">
        <v>176833.59999999998</v>
      </c>
    </row>
    <row r="88" spans="1:9" ht="19.149999999999999" customHeight="1" x14ac:dyDescent="0.25">
      <c r="A88" s="32">
        <v>440</v>
      </c>
      <c r="B88" s="42">
        <v>7679.37</v>
      </c>
      <c r="C88" s="42">
        <v>665.55</v>
      </c>
      <c r="D88" s="54">
        <v>39.219630000000002</v>
      </c>
      <c r="E88" s="55">
        <v>39.219630000000002</v>
      </c>
      <c r="F88" s="54">
        <v>14.17188</v>
      </c>
      <c r="G88" s="55">
        <v>14.17188</v>
      </c>
      <c r="H88" s="42">
        <v>0.30503999999999998</v>
      </c>
      <c r="I88" s="42">
        <v>178164.95</v>
      </c>
    </row>
    <row r="89" spans="1:9" ht="19.149999999999999" customHeight="1" x14ac:dyDescent="0.25">
      <c r="A89" s="33">
        <v>430</v>
      </c>
      <c r="B89" s="43">
        <v>7683.0100000000011</v>
      </c>
      <c r="C89" s="43">
        <v>658.5</v>
      </c>
      <c r="D89" s="56">
        <v>39.576830000000001</v>
      </c>
      <c r="E89" s="57">
        <v>39.576830000000001</v>
      </c>
      <c r="F89" s="56">
        <v>14.12481</v>
      </c>
      <c r="G89" s="57">
        <v>14.12481</v>
      </c>
      <c r="H89" s="43">
        <v>0.30464999999999998</v>
      </c>
      <c r="I89" s="43">
        <v>179333.40999999997</v>
      </c>
    </row>
    <row r="90" spans="1:9" ht="19.149999999999999" customHeight="1" x14ac:dyDescent="0.25">
      <c r="A90" s="32">
        <v>420</v>
      </c>
      <c r="B90" s="42">
        <v>7686.63</v>
      </c>
      <c r="C90" s="42">
        <v>651.64</v>
      </c>
      <c r="D90" s="54">
        <v>39.93882</v>
      </c>
      <c r="E90" s="55">
        <v>39.93882</v>
      </c>
      <c r="F90" s="54">
        <v>14.07746</v>
      </c>
      <c r="G90" s="55">
        <v>14.07746</v>
      </c>
      <c r="H90" s="42">
        <v>0.30425999999999997</v>
      </c>
      <c r="I90" s="42">
        <v>180484.43</v>
      </c>
    </row>
    <row r="91" spans="1:9" ht="19.149999999999999" customHeight="1" x14ac:dyDescent="0.25">
      <c r="A91" s="33">
        <v>410</v>
      </c>
      <c r="B91" s="43">
        <v>7690.2400000000007</v>
      </c>
      <c r="C91" s="43">
        <v>644.95999999999992</v>
      </c>
      <c r="D91" s="56">
        <v>40.305599999999998</v>
      </c>
      <c r="E91" s="57">
        <v>40.305599999999998</v>
      </c>
      <c r="F91" s="56">
        <v>14.0298</v>
      </c>
      <c r="G91" s="57">
        <v>14.0298</v>
      </c>
      <c r="H91" s="43">
        <v>0.30387999999999998</v>
      </c>
      <c r="I91" s="43">
        <v>181617.69</v>
      </c>
    </row>
    <row r="92" spans="1:9" ht="19.149999999999999" customHeight="1" x14ac:dyDescent="0.25">
      <c r="A92" s="32">
        <v>400</v>
      </c>
      <c r="B92" s="42">
        <v>7693.84</v>
      </c>
      <c r="C92" s="42">
        <v>638.44000000000005</v>
      </c>
      <c r="D92" s="54">
        <v>40.677140000000001</v>
      </c>
      <c r="E92" s="55">
        <v>40.677140000000001</v>
      </c>
      <c r="F92" s="54">
        <v>13.98179</v>
      </c>
      <c r="G92" s="55">
        <v>13.98179</v>
      </c>
      <c r="H92" s="42">
        <v>0.30348999999999998</v>
      </c>
      <c r="I92" s="42">
        <v>182732.86</v>
      </c>
    </row>
    <row r="93" spans="1:9" ht="19.149999999999999" customHeight="1" x14ac:dyDescent="0.25">
      <c r="A93" s="33">
        <v>390</v>
      </c>
      <c r="B93" s="43">
        <v>7697.42</v>
      </c>
      <c r="C93" s="43">
        <v>632.07000000000005</v>
      </c>
      <c r="D93" s="56">
        <v>41.05341</v>
      </c>
      <c r="E93" s="57">
        <v>41.05341</v>
      </c>
      <c r="F93" s="56">
        <v>13.933400000000001</v>
      </c>
      <c r="G93" s="57">
        <v>13.933400000000001</v>
      </c>
      <c r="H93" s="43">
        <v>0.30310999999999999</v>
      </c>
      <c r="I93" s="43">
        <v>183829.63</v>
      </c>
    </row>
    <row r="94" spans="1:9" ht="19.149999999999999" customHeight="1" x14ac:dyDescent="0.25">
      <c r="A94" s="32">
        <v>380</v>
      </c>
      <c r="B94" s="42">
        <v>7700.97</v>
      </c>
      <c r="C94" s="42">
        <v>626.16999999999996</v>
      </c>
      <c r="D94" s="54">
        <v>41.434809999999999</v>
      </c>
      <c r="E94" s="55">
        <v>41.434809999999999</v>
      </c>
      <c r="F94" s="54">
        <v>13.88575</v>
      </c>
      <c r="G94" s="55">
        <v>13.88575</v>
      </c>
      <c r="H94" s="42">
        <v>0.30232999999999999</v>
      </c>
      <c r="I94" s="42">
        <v>184908.11</v>
      </c>
    </row>
    <row r="95" spans="1:9" ht="19.149999999999999" customHeight="1" x14ac:dyDescent="0.25">
      <c r="A95" s="33">
        <v>370</v>
      </c>
      <c r="B95" s="43">
        <v>7704.49</v>
      </c>
      <c r="C95" s="43">
        <v>620.05999999999995</v>
      </c>
      <c r="D95" s="56">
        <v>41.821860000000001</v>
      </c>
      <c r="E95" s="57">
        <v>41.821860000000001</v>
      </c>
      <c r="F95" s="56">
        <v>13.84036</v>
      </c>
      <c r="G95" s="57">
        <v>13.84036</v>
      </c>
      <c r="H95" s="43">
        <v>0.30195</v>
      </c>
      <c r="I95" s="43">
        <v>185968.56</v>
      </c>
    </row>
    <row r="96" spans="1:9" ht="19.149999999999999" customHeight="1" x14ac:dyDescent="0.25">
      <c r="A96" s="32">
        <v>360</v>
      </c>
      <c r="B96" s="42">
        <v>7708.0000000000009</v>
      </c>
      <c r="C96" s="42">
        <v>614.07000000000005</v>
      </c>
      <c r="D96" s="54">
        <v>42.2136</v>
      </c>
      <c r="E96" s="55">
        <v>42.2136</v>
      </c>
      <c r="F96" s="54">
        <v>13.794700000000001</v>
      </c>
      <c r="G96" s="55">
        <v>13.794700000000001</v>
      </c>
      <c r="H96" s="42">
        <v>0.30155999999999999</v>
      </c>
      <c r="I96" s="42">
        <v>187009.7</v>
      </c>
    </row>
    <row r="97" spans="1:9" ht="19.149999999999999" customHeight="1" x14ac:dyDescent="0.25">
      <c r="A97" s="33">
        <v>350</v>
      </c>
      <c r="B97" s="43">
        <v>7711.4900000000007</v>
      </c>
      <c r="C97" s="43">
        <v>608.19999999999993</v>
      </c>
      <c r="D97" s="56">
        <v>42.60998</v>
      </c>
      <c r="E97" s="57">
        <v>42.60998</v>
      </c>
      <c r="F97" s="56">
        <v>13.748760000000001</v>
      </c>
      <c r="G97" s="57">
        <v>13.748760000000001</v>
      </c>
      <c r="H97" s="43">
        <v>0.30118</v>
      </c>
      <c r="I97" s="43">
        <v>188031.27000000002</v>
      </c>
    </row>
    <row r="98" spans="1:9" ht="19.149999999999999" customHeight="1" x14ac:dyDescent="0.25">
      <c r="A98" s="32">
        <v>340</v>
      </c>
      <c r="B98" s="42">
        <v>7714.96</v>
      </c>
      <c r="C98" s="42">
        <v>603.55000000000007</v>
      </c>
      <c r="D98" s="54">
        <v>43.011479999999999</v>
      </c>
      <c r="E98" s="55">
        <v>43.011479999999999</v>
      </c>
      <c r="F98" s="54">
        <v>13.702500000000001</v>
      </c>
      <c r="G98" s="55">
        <v>13.702500000000001</v>
      </c>
      <c r="H98" s="42">
        <v>0.3004</v>
      </c>
      <c r="I98" s="42">
        <v>189032.91999999998</v>
      </c>
    </row>
    <row r="99" spans="1:9" ht="19.149999999999999" customHeight="1" x14ac:dyDescent="0.25">
      <c r="A99" s="33">
        <v>330</v>
      </c>
      <c r="B99" s="43">
        <v>7718.42</v>
      </c>
      <c r="C99" s="43">
        <v>597.73</v>
      </c>
      <c r="D99" s="56">
        <v>43.419589999999999</v>
      </c>
      <c r="E99" s="57">
        <v>43.419589999999999</v>
      </c>
      <c r="F99" s="56">
        <v>13.655889999999999</v>
      </c>
      <c r="G99" s="57">
        <v>13.655889999999999</v>
      </c>
      <c r="H99" s="43">
        <v>0.30002000000000001</v>
      </c>
      <c r="I99" s="43">
        <v>190014.19999999998</v>
      </c>
    </row>
    <row r="100" spans="1:9" ht="19.149999999999999" customHeight="1" x14ac:dyDescent="0.25">
      <c r="A100" s="32">
        <v>320</v>
      </c>
      <c r="B100" s="42">
        <v>7721.8600000000006</v>
      </c>
      <c r="C100" s="42">
        <v>592.02</v>
      </c>
      <c r="D100" s="54">
        <v>43.832149999999999</v>
      </c>
      <c r="E100" s="55">
        <v>43.832149999999999</v>
      </c>
      <c r="F100" s="54">
        <v>13.60895</v>
      </c>
      <c r="G100" s="55">
        <v>13.60895</v>
      </c>
      <c r="H100" s="42">
        <v>0.29963000000000001</v>
      </c>
      <c r="I100" s="42">
        <v>190975.15999999997</v>
      </c>
    </row>
    <row r="101" spans="1:9" ht="19.149999999999999" customHeight="1" x14ac:dyDescent="0.25">
      <c r="A101" s="33">
        <v>310</v>
      </c>
      <c r="B101" s="43">
        <v>7725.2800000000007</v>
      </c>
      <c r="C101" s="43">
        <v>586.41</v>
      </c>
      <c r="D101" s="56">
        <v>44.249090000000002</v>
      </c>
      <c r="E101" s="57">
        <v>44.249090000000002</v>
      </c>
      <c r="F101" s="56">
        <v>13.561680000000001</v>
      </c>
      <c r="G101" s="57">
        <v>13.561680000000001</v>
      </c>
      <c r="H101" s="43">
        <v>0.29924000000000001</v>
      </c>
      <c r="I101" s="43">
        <v>191915.56</v>
      </c>
    </row>
    <row r="102" spans="1:9" ht="19.149999999999999" customHeight="1" x14ac:dyDescent="0.25">
      <c r="A102" s="32">
        <v>300</v>
      </c>
      <c r="B102" s="42">
        <v>7728.6900000000014</v>
      </c>
      <c r="C102" s="42">
        <v>580.91000000000008</v>
      </c>
      <c r="D102" s="54">
        <v>44.670229999999997</v>
      </c>
      <c r="E102" s="55">
        <v>44.670229999999997</v>
      </c>
      <c r="F102" s="54">
        <v>13.51407</v>
      </c>
      <c r="G102" s="55">
        <v>13.51407</v>
      </c>
      <c r="H102" s="42">
        <v>0.29886000000000001</v>
      </c>
      <c r="I102" s="42">
        <v>192835.18000000002</v>
      </c>
    </row>
    <row r="103" spans="1:9" ht="19.149999999999999" customHeight="1" x14ac:dyDescent="0.25">
      <c r="A103" s="33">
        <v>290</v>
      </c>
      <c r="B103" s="43">
        <v>7732.08</v>
      </c>
      <c r="C103" s="43">
        <v>575.52</v>
      </c>
      <c r="D103" s="56">
        <v>45.095350000000003</v>
      </c>
      <c r="E103" s="57">
        <v>45.095350000000003</v>
      </c>
      <c r="F103" s="56">
        <v>13.466100000000001</v>
      </c>
      <c r="G103" s="57">
        <v>13.466100000000001</v>
      </c>
      <c r="H103" s="43">
        <v>0.29847000000000001</v>
      </c>
      <c r="I103" s="43">
        <v>193733.81</v>
      </c>
    </row>
    <row r="104" spans="1:9" ht="19.149999999999999" customHeight="1" x14ac:dyDescent="0.25">
      <c r="A104" s="32">
        <v>280</v>
      </c>
      <c r="B104" s="42">
        <v>7735.46</v>
      </c>
      <c r="C104" s="42">
        <v>570.20000000000005</v>
      </c>
      <c r="D104" s="54">
        <v>45.524209999999997</v>
      </c>
      <c r="E104" s="55">
        <v>45.524209999999997</v>
      </c>
      <c r="F104" s="54">
        <v>13.417759999999999</v>
      </c>
      <c r="G104" s="55">
        <v>13.417759999999999</v>
      </c>
      <c r="H104" s="42">
        <v>0.29809000000000002</v>
      </c>
      <c r="I104" s="42">
        <v>194611.25999999998</v>
      </c>
    </row>
    <row r="105" spans="1:9" ht="19.149999999999999" customHeight="1" x14ac:dyDescent="0.25">
      <c r="A105" s="33">
        <v>270</v>
      </c>
      <c r="B105" s="43">
        <v>7738.82</v>
      </c>
      <c r="C105" s="43">
        <v>566.7299999999999</v>
      </c>
      <c r="D105" s="56">
        <v>45.954999999999998</v>
      </c>
      <c r="E105" s="57">
        <v>45.954999999999998</v>
      </c>
      <c r="F105" s="56">
        <v>13.36889</v>
      </c>
      <c r="G105" s="57">
        <v>13.36889</v>
      </c>
      <c r="H105" s="43">
        <v>0.29732999999999998</v>
      </c>
      <c r="I105" s="43">
        <v>195468.3</v>
      </c>
    </row>
    <row r="106" spans="1:9" ht="19.149999999999999" customHeight="1" x14ac:dyDescent="0.25">
      <c r="A106" s="32">
        <v>260</v>
      </c>
      <c r="B106" s="42">
        <v>7742.1600000000008</v>
      </c>
      <c r="C106" s="42">
        <v>561.41</v>
      </c>
      <c r="D106" s="54">
        <v>46.380070000000003</v>
      </c>
      <c r="E106" s="55">
        <v>46.380070000000003</v>
      </c>
      <c r="F106" s="54">
        <v>13.318820000000001</v>
      </c>
      <c r="G106" s="55">
        <v>13.318820000000001</v>
      </c>
      <c r="H106" s="42">
        <v>0.29694999999999999</v>
      </c>
      <c r="I106" s="42">
        <v>196307.97</v>
      </c>
    </row>
    <row r="107" spans="1:9" ht="19.149999999999999" customHeight="1" x14ac:dyDescent="0.25">
      <c r="A107" s="33">
        <v>250</v>
      </c>
      <c r="B107" s="43">
        <v>7745.4900000000007</v>
      </c>
      <c r="C107" s="43">
        <v>556.15</v>
      </c>
      <c r="D107" s="56">
        <v>46.808819999999997</v>
      </c>
      <c r="E107" s="57">
        <v>46.808819999999997</v>
      </c>
      <c r="F107" s="56">
        <v>13.26843</v>
      </c>
      <c r="G107" s="57">
        <v>13.26843</v>
      </c>
      <c r="H107" s="43">
        <v>0.29657</v>
      </c>
      <c r="I107" s="43">
        <v>197125.62</v>
      </c>
    </row>
    <row r="108" spans="1:9" ht="19.149999999999999" customHeight="1" x14ac:dyDescent="0.25">
      <c r="A108" s="32">
        <v>240</v>
      </c>
      <c r="B108" s="42">
        <v>7748.8</v>
      </c>
      <c r="C108" s="42">
        <v>550.96999999999991</v>
      </c>
      <c r="D108" s="54">
        <v>47.240580000000001</v>
      </c>
      <c r="E108" s="55">
        <v>47.240580000000001</v>
      </c>
      <c r="F108" s="54">
        <v>13.21772</v>
      </c>
      <c r="G108" s="55">
        <v>13.21772</v>
      </c>
      <c r="H108" s="42">
        <v>0.29618</v>
      </c>
      <c r="I108" s="42">
        <v>197921.16999999998</v>
      </c>
    </row>
    <row r="109" spans="1:9" ht="19.149999999999999" customHeight="1" x14ac:dyDescent="0.25">
      <c r="A109" s="33">
        <v>230</v>
      </c>
      <c r="B109" s="43">
        <v>7752.09</v>
      </c>
      <c r="C109" s="43">
        <v>545.89</v>
      </c>
      <c r="D109" s="56">
        <v>47.67492</v>
      </c>
      <c r="E109" s="57">
        <v>47.67492</v>
      </c>
      <c r="F109" s="56">
        <v>13.166689999999999</v>
      </c>
      <c r="G109" s="57">
        <v>13.166689999999999</v>
      </c>
      <c r="H109" s="43">
        <v>0.29580000000000001</v>
      </c>
      <c r="I109" s="43">
        <v>198694.59</v>
      </c>
    </row>
    <row r="110" spans="1:9" ht="19.149999999999999" customHeight="1" x14ac:dyDescent="0.25">
      <c r="A110" s="32">
        <v>220</v>
      </c>
      <c r="B110" s="42">
        <v>7755.36</v>
      </c>
      <c r="C110" s="42">
        <v>540.89</v>
      </c>
      <c r="D110" s="54">
        <v>48.111359999999998</v>
      </c>
      <c r="E110" s="55">
        <v>48.111359999999998</v>
      </c>
      <c r="F110" s="54">
        <v>13.11537</v>
      </c>
      <c r="G110" s="55">
        <v>13.11537</v>
      </c>
      <c r="H110" s="42">
        <v>0.29542000000000002</v>
      </c>
      <c r="I110" s="42">
        <v>199445.87000000002</v>
      </c>
    </row>
    <row r="111" spans="1:9" ht="19.149999999999999" customHeight="1" x14ac:dyDescent="0.25">
      <c r="A111" s="33">
        <v>210</v>
      </c>
      <c r="B111" s="43">
        <v>7758.6100000000006</v>
      </c>
      <c r="C111" s="43">
        <v>535.93999999999994</v>
      </c>
      <c r="D111" s="56">
        <v>48.549370000000003</v>
      </c>
      <c r="E111" s="57">
        <v>48.549370000000003</v>
      </c>
      <c r="F111" s="56">
        <v>13.06377</v>
      </c>
      <c r="G111" s="57">
        <v>13.06377</v>
      </c>
      <c r="H111" s="43">
        <v>0.29503000000000001</v>
      </c>
      <c r="I111" s="43">
        <v>200175.04</v>
      </c>
    </row>
    <row r="112" spans="1:9" ht="19.149999999999999" customHeight="1" x14ac:dyDescent="0.25">
      <c r="A112" s="32">
        <v>200</v>
      </c>
      <c r="B112" s="42">
        <v>7761.8400000000011</v>
      </c>
      <c r="C112" s="42">
        <v>532.80000000000007</v>
      </c>
      <c r="D112" s="54">
        <v>49.000900000000001</v>
      </c>
      <c r="E112" s="55">
        <v>49.000900000000001</v>
      </c>
      <c r="F112" s="54">
        <v>13.010999999999999</v>
      </c>
      <c r="G112" s="55">
        <v>13.010999999999999</v>
      </c>
      <c r="H112" s="42">
        <v>0.29465000000000002</v>
      </c>
      <c r="I112" s="42">
        <v>200883.37000000002</v>
      </c>
    </row>
    <row r="113" spans="1:9" ht="19.149999999999999" customHeight="1" x14ac:dyDescent="0.25">
      <c r="A113" s="33">
        <v>190</v>
      </c>
      <c r="B113" s="43">
        <v>7765.05</v>
      </c>
      <c r="C113" s="43">
        <v>527.64</v>
      </c>
      <c r="D113" s="56">
        <v>49.459429999999998</v>
      </c>
      <c r="E113" s="57">
        <v>49.459429999999998</v>
      </c>
      <c r="F113" s="56">
        <v>12.95762</v>
      </c>
      <c r="G113" s="57">
        <v>12.95762</v>
      </c>
      <c r="H113" s="43">
        <v>0.29426000000000002</v>
      </c>
      <c r="I113" s="43">
        <v>201570.15000000002</v>
      </c>
    </row>
    <row r="114" spans="1:9" ht="19.149999999999999" customHeight="1" x14ac:dyDescent="0.25">
      <c r="A114" s="32">
        <v>180</v>
      </c>
      <c r="B114" s="42">
        <v>7768.25</v>
      </c>
      <c r="C114" s="42">
        <v>522.54</v>
      </c>
      <c r="D114" s="54">
        <v>49.915170000000003</v>
      </c>
      <c r="E114" s="55">
        <v>49.915170000000003</v>
      </c>
      <c r="F114" s="54">
        <v>12.904400000000001</v>
      </c>
      <c r="G114" s="55">
        <v>12.904400000000001</v>
      </c>
      <c r="H114" s="42">
        <v>0.29387999999999997</v>
      </c>
      <c r="I114" s="42">
        <v>202234.91999999998</v>
      </c>
    </row>
    <row r="115" spans="1:9" ht="19.149999999999999" customHeight="1" x14ac:dyDescent="0.25">
      <c r="A115" s="33">
        <v>170</v>
      </c>
      <c r="B115" s="43">
        <v>7771.4100000000008</v>
      </c>
      <c r="C115" s="43">
        <v>517.59999999999991</v>
      </c>
      <c r="D115" s="56">
        <v>50.367620000000002</v>
      </c>
      <c r="E115" s="57">
        <v>50.367620000000002</v>
      </c>
      <c r="F115" s="56">
        <v>12.85134</v>
      </c>
      <c r="G115" s="57">
        <v>12.85134</v>
      </c>
      <c r="H115" s="43">
        <v>0.29348999999999997</v>
      </c>
      <c r="I115" s="43">
        <v>202877.97</v>
      </c>
    </row>
    <row r="116" spans="1:9" ht="19.149999999999999" customHeight="1" x14ac:dyDescent="0.25">
      <c r="A116" s="32">
        <v>160</v>
      </c>
      <c r="B116" s="42">
        <v>7774.5600000000013</v>
      </c>
      <c r="C116" s="42">
        <v>512.70000000000005</v>
      </c>
      <c r="D116" s="54">
        <v>50.81682</v>
      </c>
      <c r="E116" s="55">
        <v>50.81682</v>
      </c>
      <c r="F116" s="54">
        <v>12.79848</v>
      </c>
      <c r="G116" s="55">
        <v>12.79848</v>
      </c>
      <c r="H116" s="42">
        <v>0.29310000000000003</v>
      </c>
      <c r="I116" s="42">
        <v>203499.64</v>
      </c>
    </row>
    <row r="117" spans="1:9" ht="19.149999999999999" customHeight="1" x14ac:dyDescent="0.25">
      <c r="A117" s="33">
        <v>150</v>
      </c>
      <c r="B117" s="43">
        <v>7777.68</v>
      </c>
      <c r="C117" s="43">
        <v>507.90999999999997</v>
      </c>
      <c r="D117" s="56">
        <v>51.260840000000002</v>
      </c>
      <c r="E117" s="57">
        <v>51.260840000000002</v>
      </c>
      <c r="F117" s="56">
        <v>12.74586</v>
      </c>
      <c r="G117" s="57">
        <v>12.74586</v>
      </c>
      <c r="H117" s="43">
        <v>0.29271999999999998</v>
      </c>
      <c r="I117" s="43">
        <v>204100.35</v>
      </c>
    </row>
    <row r="118" spans="1:9" ht="19.149999999999999" customHeight="1" x14ac:dyDescent="0.25">
      <c r="A118" s="32">
        <v>140</v>
      </c>
      <c r="B118" s="42">
        <v>7780.8400000000011</v>
      </c>
      <c r="C118" s="42">
        <v>502.53000000000003</v>
      </c>
      <c r="D118" s="54">
        <v>51.693089999999998</v>
      </c>
      <c r="E118" s="55">
        <v>51.693089999999998</v>
      </c>
      <c r="F118" s="54">
        <v>12.67146</v>
      </c>
      <c r="G118" s="55">
        <v>12.67146</v>
      </c>
      <c r="H118" s="42">
        <v>0.29232999999999998</v>
      </c>
      <c r="I118" s="42">
        <v>204677.39</v>
      </c>
    </row>
    <row r="119" spans="1:9" ht="19.149999999999999" customHeight="1" x14ac:dyDescent="0.25">
      <c r="A119" s="33">
        <v>130</v>
      </c>
      <c r="B119" s="43">
        <v>7784.0000000000009</v>
      </c>
      <c r="C119" s="43">
        <v>497.67</v>
      </c>
      <c r="D119" s="56">
        <v>52.113439999999997</v>
      </c>
      <c r="E119" s="57">
        <v>52.113439999999997</v>
      </c>
      <c r="F119" s="56">
        <v>12.58568</v>
      </c>
      <c r="G119" s="57">
        <v>12.58568</v>
      </c>
      <c r="H119" s="43">
        <v>0.29193999999999998</v>
      </c>
      <c r="I119" s="43">
        <v>205233.43</v>
      </c>
    </row>
    <row r="120" spans="1:9" ht="19.149999999999999" customHeight="1" x14ac:dyDescent="0.25">
      <c r="A120" s="32">
        <v>120</v>
      </c>
      <c r="B120" s="42">
        <v>7787.14</v>
      </c>
      <c r="C120" s="42">
        <v>492.82</v>
      </c>
      <c r="D120" s="54">
        <v>52.523569999999999</v>
      </c>
      <c r="E120" s="55">
        <v>52.523569999999999</v>
      </c>
      <c r="F120" s="54">
        <v>12.491210000000001</v>
      </c>
      <c r="G120" s="55">
        <v>12.491210000000001</v>
      </c>
      <c r="H120" s="42">
        <v>0.29154999999999998</v>
      </c>
      <c r="I120" s="42">
        <v>205769.87</v>
      </c>
    </row>
    <row r="121" spans="1:9" ht="19.149999999999999" customHeight="1" x14ac:dyDescent="0.25">
      <c r="A121" s="33">
        <v>110</v>
      </c>
      <c r="B121" s="43">
        <v>7790.26</v>
      </c>
      <c r="C121" s="43">
        <v>488.15</v>
      </c>
      <c r="D121" s="56">
        <v>52.922020000000003</v>
      </c>
      <c r="E121" s="57">
        <v>52.922020000000003</v>
      </c>
      <c r="F121" s="56">
        <v>12.38491</v>
      </c>
      <c r="G121" s="57">
        <v>12.38491</v>
      </c>
      <c r="H121" s="43">
        <v>0.29116999999999998</v>
      </c>
      <c r="I121" s="43">
        <v>206287.46000000002</v>
      </c>
    </row>
    <row r="122" spans="1:9" ht="19.149999999999999" customHeight="1" x14ac:dyDescent="0.25">
      <c r="A122" s="32">
        <v>100</v>
      </c>
      <c r="B122" s="42">
        <v>7793.3600000000006</v>
      </c>
      <c r="C122" s="42">
        <v>483.33</v>
      </c>
      <c r="D122" s="54">
        <v>53.307340000000003</v>
      </c>
      <c r="E122" s="55">
        <v>53.307340000000003</v>
      </c>
      <c r="F122" s="54">
        <v>12.262</v>
      </c>
      <c r="G122" s="55">
        <v>12.262</v>
      </c>
      <c r="H122" s="42">
        <v>0.29077999999999998</v>
      </c>
      <c r="I122" s="42">
        <v>206787.12</v>
      </c>
    </row>
    <row r="123" spans="1:9" ht="19.149999999999999" customHeight="1" x14ac:dyDescent="0.25">
      <c r="A123" s="33">
        <v>90</v>
      </c>
      <c r="B123" s="43">
        <v>7796.4400000000005</v>
      </c>
      <c r="C123" s="43">
        <v>478.54999999999995</v>
      </c>
      <c r="D123" s="56">
        <v>53.678280000000001</v>
      </c>
      <c r="E123" s="57">
        <v>53.678280000000001</v>
      </c>
      <c r="F123" s="56">
        <v>12.114739999999999</v>
      </c>
      <c r="G123" s="57">
        <v>12.114739999999999</v>
      </c>
      <c r="H123" s="43">
        <v>0.29038999999999998</v>
      </c>
      <c r="I123" s="43">
        <v>207269.92</v>
      </c>
    </row>
    <row r="124" spans="1:9" ht="19.149999999999999" customHeight="1" x14ac:dyDescent="0.25">
      <c r="A124" s="32">
        <v>80</v>
      </c>
      <c r="B124" s="42">
        <v>7799.51</v>
      </c>
      <c r="C124" s="42">
        <v>473.8</v>
      </c>
      <c r="D124" s="54">
        <v>54.033969999999997</v>
      </c>
      <c r="E124" s="55">
        <v>54.033969999999997</v>
      </c>
      <c r="F124" s="54">
        <v>11.9297</v>
      </c>
      <c r="G124" s="55">
        <v>11.9297</v>
      </c>
      <c r="H124" s="42">
        <v>0.28999999999999998</v>
      </c>
      <c r="I124" s="42">
        <v>207737.11000000002</v>
      </c>
    </row>
    <row r="125" spans="1:9" ht="19.149999999999999" customHeight="1" x14ac:dyDescent="0.25">
      <c r="A125" s="33">
        <v>70</v>
      </c>
      <c r="B125" s="43">
        <v>7802.56</v>
      </c>
      <c r="C125" s="43">
        <v>469.08</v>
      </c>
      <c r="D125" s="56">
        <v>54.374040000000001</v>
      </c>
      <c r="E125" s="57">
        <v>54.374040000000001</v>
      </c>
      <c r="F125" s="56">
        <v>11.681419999999999</v>
      </c>
      <c r="G125" s="57">
        <v>11.681419999999999</v>
      </c>
      <c r="H125" s="43">
        <v>0.28961999999999999</v>
      </c>
      <c r="I125" s="43">
        <v>208190.14</v>
      </c>
    </row>
    <row r="126" spans="1:9" ht="19.149999999999999" customHeight="1" x14ac:dyDescent="0.25">
      <c r="A126" s="32">
        <v>60</v>
      </c>
      <c r="B126" s="42">
        <v>7805.59</v>
      </c>
      <c r="C126" s="42">
        <v>464.45</v>
      </c>
      <c r="D126" s="54">
        <v>54.698689999999999</v>
      </c>
      <c r="E126" s="55">
        <v>54.698689999999999</v>
      </c>
      <c r="F126" s="54">
        <v>11.315340000000001</v>
      </c>
      <c r="G126" s="55">
        <v>11.315340000000001</v>
      </c>
      <c r="H126" s="42">
        <v>0.28924</v>
      </c>
      <c r="I126" s="42">
        <v>208630.71</v>
      </c>
    </row>
    <row r="127" spans="1:9" ht="19.149999999999999" customHeight="1" x14ac:dyDescent="0.25">
      <c r="A127" s="33">
        <v>50</v>
      </c>
      <c r="B127" s="43">
        <v>7808.6000000000013</v>
      </c>
      <c r="C127" s="43">
        <v>459.82</v>
      </c>
      <c r="D127" s="56">
        <v>55.008650000000003</v>
      </c>
      <c r="E127" s="57">
        <v>55.008650000000003</v>
      </c>
      <c r="F127" s="56">
        <v>11.5</v>
      </c>
      <c r="G127" s="57">
        <v>11.5</v>
      </c>
      <c r="H127" s="43">
        <v>0.28904000000000002</v>
      </c>
      <c r="I127" s="43">
        <v>209060.75</v>
      </c>
    </row>
    <row r="128" spans="1:9" ht="19.149999999999999" customHeight="1" x14ac:dyDescent="0.25">
      <c r="A128" s="32">
        <v>40</v>
      </c>
      <c r="B128" s="42">
        <v>7811.6</v>
      </c>
      <c r="C128" s="42">
        <v>455.09</v>
      </c>
      <c r="D128" s="54">
        <v>55.304929999999999</v>
      </c>
      <c r="E128" s="55">
        <v>55.304929999999999</v>
      </c>
      <c r="F128" s="54">
        <v>11.7</v>
      </c>
      <c r="G128" s="55">
        <v>11.7</v>
      </c>
      <c r="H128" s="42">
        <v>0.29009983480000001</v>
      </c>
      <c r="I128" s="42">
        <v>209482.49000000002</v>
      </c>
    </row>
    <row r="129" spans="1:12" ht="19.149999999999999" customHeight="1" x14ac:dyDescent="0.25">
      <c r="A129" s="33">
        <v>30</v>
      </c>
      <c r="B129" s="43">
        <v>7814.28</v>
      </c>
      <c r="C129" s="43">
        <v>449.65</v>
      </c>
      <c r="D129" s="56">
        <v>55.70035</v>
      </c>
      <c r="E129" s="57">
        <v>55.70035</v>
      </c>
      <c r="F129" s="56">
        <v>12.684990000000001</v>
      </c>
      <c r="G129" s="57">
        <v>12.684990000000001</v>
      </c>
      <c r="H129" s="43">
        <v>0.28971871960000001</v>
      </c>
      <c r="I129" s="43">
        <v>209914.83</v>
      </c>
    </row>
    <row r="130" spans="1:12" ht="19.149999999999999" customHeight="1" x14ac:dyDescent="0.25">
      <c r="A130" s="32">
        <v>25</v>
      </c>
      <c r="B130" s="42">
        <v>7815.77</v>
      </c>
      <c r="C130" s="42">
        <v>447.39</v>
      </c>
      <c r="D130" s="54">
        <v>55.837069999999997</v>
      </c>
      <c r="E130" s="55">
        <v>55.837069999999997</v>
      </c>
      <c r="F130" s="54" t="s">
        <v>41</v>
      </c>
      <c r="G130" s="55" t="s">
        <v>41</v>
      </c>
      <c r="H130" s="42">
        <v>0.28952816419999999</v>
      </c>
      <c r="I130" s="42">
        <v>210121.32</v>
      </c>
    </row>
    <row r="131" spans="1:12" ht="25.15" customHeight="1" x14ac:dyDescent="0.25">
      <c r="A131" s="53" t="s">
        <v>51</v>
      </c>
      <c r="B131" s="53"/>
      <c r="C131" s="53"/>
      <c r="D131" s="53"/>
      <c r="E131" s="53"/>
      <c r="F131" s="53"/>
      <c r="G131" s="53"/>
    </row>
    <row r="132" spans="1:12" ht="25.15" customHeight="1" x14ac:dyDescent="0.25">
      <c r="A132" s="45" t="s">
        <v>64</v>
      </c>
      <c r="B132" s="46"/>
      <c r="C132" s="45" t="s">
        <v>65</v>
      </c>
      <c r="D132" s="46"/>
      <c r="E132" s="45" t="s">
        <v>66</v>
      </c>
      <c r="F132" s="46"/>
      <c r="G132" s="45" t="s">
        <v>67</v>
      </c>
      <c r="H132" s="46"/>
      <c r="I132" s="45" t="s">
        <v>68</v>
      </c>
      <c r="J132" s="46"/>
      <c r="K132" s="45" t="s">
        <v>69</v>
      </c>
      <c r="L132" s="46"/>
    </row>
    <row r="133" spans="1:12" ht="47.25" x14ac:dyDescent="0.25">
      <c r="A133" s="41" t="s">
        <v>70</v>
      </c>
      <c r="B133" s="41" t="s">
        <v>71</v>
      </c>
      <c r="C133" s="41" t="s">
        <v>70</v>
      </c>
      <c r="D133" s="41" t="s">
        <v>71</v>
      </c>
      <c r="E133" s="41" t="s">
        <v>70</v>
      </c>
      <c r="F133" s="41" t="s">
        <v>71</v>
      </c>
      <c r="G133" s="41" t="s">
        <v>70</v>
      </c>
      <c r="H133" s="41" t="s">
        <v>71</v>
      </c>
      <c r="I133" s="41" t="s">
        <v>70</v>
      </c>
      <c r="J133" s="41" t="s">
        <v>71</v>
      </c>
      <c r="K133" s="41" t="s">
        <v>70</v>
      </c>
      <c r="L133" s="41" t="s">
        <v>71</v>
      </c>
    </row>
    <row r="134" spans="1:12" ht="14.25" customHeight="1" x14ac:dyDescent="0.25">
      <c r="A134" s="65">
        <v>0</v>
      </c>
      <c r="B134" s="66">
        <v>0</v>
      </c>
      <c r="C134" s="65">
        <v>0</v>
      </c>
      <c r="D134" s="66">
        <v>0</v>
      </c>
      <c r="E134" s="65">
        <v>0</v>
      </c>
      <c r="F134" s="66">
        <v>0</v>
      </c>
      <c r="G134" s="65">
        <v>0</v>
      </c>
      <c r="H134" s="66">
        <v>0</v>
      </c>
      <c r="I134" s="65">
        <v>0</v>
      </c>
      <c r="J134" s="66">
        <v>0</v>
      </c>
      <c r="K134" s="65">
        <v>0</v>
      </c>
      <c r="L134" s="67">
        <v>0</v>
      </c>
    </row>
    <row r="135" spans="1:12" x14ac:dyDescent="0.25">
      <c r="A135" s="68">
        <v>0.20230000000000001</v>
      </c>
      <c r="B135" s="69">
        <v>533.13</v>
      </c>
      <c r="C135" s="68">
        <v>0.2</v>
      </c>
      <c r="D135" s="69">
        <v>439.6</v>
      </c>
      <c r="E135" s="68">
        <v>0.22370000000000001</v>
      </c>
      <c r="F135" s="69">
        <v>305.30200000000002</v>
      </c>
      <c r="G135" s="68">
        <v>0.22370000000000001</v>
      </c>
      <c r="H135" s="69">
        <v>186.7</v>
      </c>
      <c r="I135" s="68">
        <v>0.20830000000000001</v>
      </c>
      <c r="J135" s="69">
        <v>99.796000000000006</v>
      </c>
      <c r="K135" s="68">
        <v>0.21390000000000001</v>
      </c>
      <c r="L135" s="70">
        <v>34.817999999999998</v>
      </c>
    </row>
    <row r="136" spans="1:12" x14ac:dyDescent="0.25">
      <c r="A136" s="68">
        <v>1.9732000000000001</v>
      </c>
      <c r="B136" s="69">
        <v>597.37</v>
      </c>
      <c r="C136" s="68">
        <v>0.93579999999999997</v>
      </c>
      <c r="D136" s="69">
        <v>469.05</v>
      </c>
      <c r="E136" s="68">
        <v>0.35799999999999998</v>
      </c>
      <c r="F136" s="69">
        <v>318.56</v>
      </c>
      <c r="G136" s="68">
        <v>0.35799999999999998</v>
      </c>
      <c r="H136" s="69">
        <v>218.56</v>
      </c>
      <c r="I136" s="68">
        <v>0.66490000000000005</v>
      </c>
      <c r="J136" s="69">
        <v>111.931</v>
      </c>
      <c r="K136" s="68">
        <v>0.28670000000000001</v>
      </c>
      <c r="L136" s="70">
        <v>43.621000000000002</v>
      </c>
    </row>
    <row r="137" spans="1:12" x14ac:dyDescent="0.25">
      <c r="A137" s="68">
        <v>4.3258999999999999</v>
      </c>
      <c r="B137" s="69">
        <v>619.91</v>
      </c>
      <c r="C137" s="68">
        <v>1.7002999999999999</v>
      </c>
      <c r="D137" s="69">
        <v>505.29</v>
      </c>
      <c r="E137" s="68">
        <v>0.51529999999999998</v>
      </c>
      <c r="F137" s="69">
        <v>333.89</v>
      </c>
      <c r="G137" s="68">
        <v>0.51529999999999998</v>
      </c>
      <c r="H137" s="69">
        <v>233.89</v>
      </c>
      <c r="I137" s="68">
        <v>0.74139999999999995</v>
      </c>
      <c r="J137" s="69">
        <v>127.056</v>
      </c>
      <c r="K137" s="68">
        <v>0.58160000000000001</v>
      </c>
      <c r="L137" s="70">
        <v>47.494999999999997</v>
      </c>
    </row>
    <row r="138" spans="1:12" x14ac:dyDescent="0.25">
      <c r="A138" s="68">
        <v>5.8906000000000001</v>
      </c>
      <c r="B138" s="69">
        <v>631.25</v>
      </c>
      <c r="C138" s="68">
        <v>2.5007000000000001</v>
      </c>
      <c r="D138" s="69">
        <v>536.34</v>
      </c>
      <c r="E138" s="68">
        <v>0.63429999999999997</v>
      </c>
      <c r="F138" s="69">
        <v>350.85</v>
      </c>
      <c r="G138" s="68">
        <v>0.63429999999999997</v>
      </c>
      <c r="H138" s="69">
        <v>250.85000000000002</v>
      </c>
      <c r="I138" s="68">
        <v>0.90959999999999996</v>
      </c>
      <c r="J138" s="69">
        <v>140.37200000000001</v>
      </c>
      <c r="K138" s="68">
        <v>1.3560000000000001</v>
      </c>
      <c r="L138" s="70">
        <v>44.994</v>
      </c>
    </row>
    <row r="139" spans="1:12" x14ac:dyDescent="0.25">
      <c r="A139" s="68">
        <v>6.7095000000000002</v>
      </c>
      <c r="B139" s="69">
        <v>637.76</v>
      </c>
      <c r="C139" s="68">
        <v>3.3008000000000002</v>
      </c>
      <c r="D139" s="69">
        <v>562.21</v>
      </c>
      <c r="E139" s="68">
        <v>1.1049</v>
      </c>
      <c r="F139" s="69">
        <v>371.7</v>
      </c>
      <c r="G139" s="68">
        <v>1.1049</v>
      </c>
      <c r="H139" s="69">
        <v>271.7</v>
      </c>
      <c r="I139" s="68">
        <v>1.8895999999999999</v>
      </c>
      <c r="J139" s="69">
        <v>152.52199999999999</v>
      </c>
      <c r="K139" s="68">
        <v>2.0028000000000001</v>
      </c>
      <c r="L139" s="70">
        <v>41.819000000000003</v>
      </c>
    </row>
    <row r="140" spans="1:12" x14ac:dyDescent="0.25">
      <c r="A140" s="68">
        <v>7.5292000000000003</v>
      </c>
      <c r="B140" s="69">
        <v>641.78</v>
      </c>
      <c r="C140" s="68">
        <v>4.1371000000000002</v>
      </c>
      <c r="D140" s="69">
        <v>585.48</v>
      </c>
      <c r="E140" s="68">
        <v>2.0354000000000001</v>
      </c>
      <c r="F140" s="69">
        <v>400.3</v>
      </c>
      <c r="G140" s="68">
        <v>2.0354000000000001</v>
      </c>
      <c r="H140" s="69">
        <v>300.3</v>
      </c>
      <c r="I140" s="68">
        <v>4.0544000000000002</v>
      </c>
      <c r="J140" s="69">
        <v>149.61600000000001</v>
      </c>
      <c r="K140" s="68">
        <v>2.8631000000000002</v>
      </c>
      <c r="L140" s="70">
        <v>39.152999999999999</v>
      </c>
    </row>
    <row r="141" spans="1:12" x14ac:dyDescent="0.25">
      <c r="A141" s="68">
        <v>9.2055000000000007</v>
      </c>
      <c r="B141" s="69">
        <v>646.92999999999995</v>
      </c>
      <c r="C141" s="68">
        <v>5.0092999999999996</v>
      </c>
      <c r="D141" s="69">
        <v>603.55999999999995</v>
      </c>
      <c r="E141" s="68">
        <v>3.3439999999999999</v>
      </c>
      <c r="F141" s="69">
        <v>421.47</v>
      </c>
      <c r="G141" s="68">
        <v>3.3439999999999999</v>
      </c>
      <c r="H141" s="69">
        <v>321.47000000000003</v>
      </c>
      <c r="I141" s="68">
        <v>6.1313000000000004</v>
      </c>
      <c r="J141" s="69">
        <v>144.285</v>
      </c>
      <c r="K141" s="68">
        <v>3.6377999999999999</v>
      </c>
      <c r="L141" s="70">
        <v>36.484000000000002</v>
      </c>
    </row>
    <row r="142" spans="1:12" x14ac:dyDescent="0.25">
      <c r="A142" s="68">
        <v>10.062200000000001</v>
      </c>
      <c r="B142" s="69">
        <v>655.04</v>
      </c>
      <c r="C142" s="68">
        <v>5.8811999999999998</v>
      </c>
      <c r="D142" s="69">
        <v>616.47</v>
      </c>
      <c r="E142" s="68">
        <v>4.4054000000000002</v>
      </c>
      <c r="F142" s="69">
        <v>432.12</v>
      </c>
      <c r="G142" s="68">
        <v>4.4054000000000002</v>
      </c>
      <c r="H142" s="69">
        <v>332.12</v>
      </c>
      <c r="I142" s="68">
        <v>8.2081</v>
      </c>
      <c r="J142" s="69">
        <v>138.95500000000001</v>
      </c>
      <c r="K142" s="68">
        <v>4.4126000000000003</v>
      </c>
      <c r="L142" s="70">
        <v>33.648000000000003</v>
      </c>
    </row>
    <row r="143" spans="1:12" x14ac:dyDescent="0.25">
      <c r="A143" s="68">
        <v>10.919499999999999</v>
      </c>
      <c r="B143" s="69">
        <v>662.68</v>
      </c>
      <c r="C143" s="68">
        <v>6.7530000000000001</v>
      </c>
      <c r="D143" s="69">
        <v>626.78</v>
      </c>
      <c r="E143" s="68">
        <v>5.907</v>
      </c>
      <c r="F143" s="69">
        <v>436.84</v>
      </c>
      <c r="G143" s="68">
        <v>5.907</v>
      </c>
      <c r="H143" s="69">
        <v>336.84</v>
      </c>
      <c r="I143" s="68">
        <v>10.285</v>
      </c>
      <c r="J143" s="69">
        <v>133.624</v>
      </c>
      <c r="K143" s="68">
        <v>5.1875</v>
      </c>
      <c r="L143" s="70">
        <v>30.812000000000001</v>
      </c>
    </row>
    <row r="144" spans="1:12" x14ac:dyDescent="0.25">
      <c r="A144" s="68">
        <v>11.7439</v>
      </c>
      <c r="B144" s="69">
        <v>665.33</v>
      </c>
      <c r="C144" s="68">
        <v>7.1162999999999998</v>
      </c>
      <c r="D144" s="69">
        <v>631.94000000000005</v>
      </c>
      <c r="E144" s="68">
        <v>7.4722999999999997</v>
      </c>
      <c r="F144" s="69">
        <v>438.57</v>
      </c>
      <c r="G144" s="68">
        <v>7.4722999999999997</v>
      </c>
      <c r="H144" s="69">
        <v>338.57</v>
      </c>
      <c r="I144" s="68">
        <v>12.452</v>
      </c>
      <c r="J144" s="69">
        <v>128.29900000000001</v>
      </c>
      <c r="K144" s="68">
        <v>6.1318000000000001</v>
      </c>
      <c r="L144" s="70">
        <v>29.492999999999999</v>
      </c>
    </row>
    <row r="145" spans="1:12" x14ac:dyDescent="0.25">
      <c r="A145" s="68">
        <v>12.569000000000001</v>
      </c>
      <c r="B145" s="69">
        <v>668.49</v>
      </c>
      <c r="C145" s="68">
        <v>8.0239999999999991</v>
      </c>
      <c r="D145" s="69">
        <v>637.05999999999995</v>
      </c>
      <c r="E145" s="68">
        <v>9.0383999999999993</v>
      </c>
      <c r="F145" s="69">
        <v>437.31</v>
      </c>
      <c r="G145" s="68">
        <v>9.0383999999999993</v>
      </c>
      <c r="H145" s="69">
        <v>337.31</v>
      </c>
      <c r="I145" s="68">
        <v>14.5289</v>
      </c>
      <c r="J145" s="69">
        <v>122.968</v>
      </c>
      <c r="K145" s="68">
        <v>7.1189</v>
      </c>
      <c r="L145" s="70">
        <v>28.175000000000001</v>
      </c>
    </row>
    <row r="146" spans="1:12" x14ac:dyDescent="0.25">
      <c r="A146" s="68">
        <v>16.5749</v>
      </c>
      <c r="B146" s="69">
        <v>615.64</v>
      </c>
      <c r="C146" s="68">
        <v>8.8955000000000002</v>
      </c>
      <c r="D146" s="69">
        <v>642.19000000000005</v>
      </c>
      <c r="E146" s="68">
        <v>10.542400000000001</v>
      </c>
      <c r="F146" s="69">
        <v>434.54</v>
      </c>
      <c r="G146" s="68">
        <v>10.542400000000001</v>
      </c>
      <c r="H146" s="69">
        <v>334.54</v>
      </c>
      <c r="I146" s="68">
        <v>16.605699999999999</v>
      </c>
      <c r="J146" s="69">
        <v>117.63800000000001</v>
      </c>
      <c r="K146" s="68">
        <v>8.1471</v>
      </c>
      <c r="L146" s="70">
        <v>28.202000000000002</v>
      </c>
    </row>
    <row r="147" spans="1:12" x14ac:dyDescent="0.25">
      <c r="A147" s="68">
        <v>17.303899999999999</v>
      </c>
      <c r="B147" s="69">
        <v>606.9</v>
      </c>
      <c r="C147" s="68">
        <v>9.8032000000000004</v>
      </c>
      <c r="D147" s="69">
        <v>647.30999999999995</v>
      </c>
      <c r="E147" s="68">
        <v>11.608000000000001</v>
      </c>
      <c r="F147" s="69">
        <v>431.7</v>
      </c>
      <c r="G147" s="68">
        <v>11.608000000000001</v>
      </c>
      <c r="H147" s="69">
        <v>331.7</v>
      </c>
      <c r="I147" s="68">
        <v>18.772099999999998</v>
      </c>
      <c r="J147" s="69">
        <v>112.917</v>
      </c>
      <c r="K147" s="68">
        <v>9.2186000000000003</v>
      </c>
      <c r="L147" s="70">
        <v>27.895</v>
      </c>
    </row>
    <row r="148" spans="1:12" x14ac:dyDescent="0.25">
      <c r="A148" s="68">
        <v>18.693899999999999</v>
      </c>
      <c r="B148" s="69">
        <v>567.88</v>
      </c>
      <c r="C148" s="68">
        <v>10.6745</v>
      </c>
      <c r="D148" s="69">
        <v>649.85</v>
      </c>
      <c r="E148" s="68">
        <v>13.112500000000001</v>
      </c>
      <c r="F148" s="69">
        <v>427.43</v>
      </c>
      <c r="G148" s="68">
        <v>13.112500000000001</v>
      </c>
      <c r="H148" s="69">
        <v>327.43</v>
      </c>
      <c r="I148" s="68">
        <v>20.848500000000001</v>
      </c>
      <c r="J148" s="69">
        <v>108.191</v>
      </c>
      <c r="K148" s="68">
        <v>10.247299999999999</v>
      </c>
      <c r="L148" s="70">
        <v>27.585999999999999</v>
      </c>
    </row>
    <row r="149" spans="1:12" x14ac:dyDescent="0.25">
      <c r="A149" s="68">
        <v>19.390699999999999</v>
      </c>
      <c r="B149" s="69">
        <v>544.66999999999996</v>
      </c>
      <c r="C149" s="68">
        <v>11.582100000000001</v>
      </c>
      <c r="D149" s="69">
        <v>652.38</v>
      </c>
      <c r="E149" s="68">
        <v>14.6174</v>
      </c>
      <c r="F149" s="69">
        <v>421.67</v>
      </c>
      <c r="G149" s="68">
        <v>14.6174</v>
      </c>
      <c r="H149" s="69">
        <v>321.67</v>
      </c>
      <c r="I149" s="68">
        <v>23.014900000000001</v>
      </c>
      <c r="J149" s="69">
        <v>103.471</v>
      </c>
      <c r="K149" s="68">
        <v>11.276</v>
      </c>
      <c r="L149" s="70">
        <v>27.277999999999999</v>
      </c>
    </row>
    <row r="150" spans="1:12" x14ac:dyDescent="0.25">
      <c r="A150" s="68">
        <v>20.018799999999999</v>
      </c>
      <c r="B150" s="69">
        <v>521.4</v>
      </c>
      <c r="C150" s="68">
        <v>12.380699999999999</v>
      </c>
      <c r="D150" s="69">
        <v>652.33000000000004</v>
      </c>
      <c r="E150" s="68">
        <v>16.122399999999999</v>
      </c>
      <c r="F150" s="69">
        <v>415.9</v>
      </c>
      <c r="G150" s="68">
        <v>16.122399999999999</v>
      </c>
      <c r="H150" s="69">
        <v>315.89999999999998</v>
      </c>
      <c r="I150" s="68">
        <v>25.090699999999998</v>
      </c>
      <c r="J150" s="69">
        <v>99.35</v>
      </c>
      <c r="K150" s="68">
        <v>12.3475</v>
      </c>
      <c r="L150" s="70">
        <v>26.971</v>
      </c>
    </row>
    <row r="151" spans="1:12" x14ac:dyDescent="0.25">
      <c r="A151" s="68">
        <v>20.648299999999999</v>
      </c>
      <c r="B151" s="69">
        <v>495.17</v>
      </c>
      <c r="C151" s="68">
        <v>13.2516</v>
      </c>
      <c r="D151" s="69">
        <v>649.67999999999995</v>
      </c>
      <c r="E151" s="68">
        <v>17.626799999999999</v>
      </c>
      <c r="F151" s="69">
        <v>411.63</v>
      </c>
      <c r="G151" s="68">
        <v>17.626799999999999</v>
      </c>
      <c r="H151" s="69">
        <v>311.63</v>
      </c>
      <c r="I151" s="68">
        <v>27.256499999999999</v>
      </c>
      <c r="J151" s="69">
        <v>95.233999999999995</v>
      </c>
      <c r="K151" s="68">
        <v>13.419</v>
      </c>
      <c r="L151" s="70">
        <v>26.663</v>
      </c>
    </row>
    <row r="152" spans="1:12" ht="16.5" thickBot="1" x14ac:dyDescent="0.3">
      <c r="A152" s="71">
        <v>21.209199999999999</v>
      </c>
      <c r="B152" s="72">
        <v>468.88</v>
      </c>
      <c r="C152" s="68">
        <v>14.122199999999999</v>
      </c>
      <c r="D152" s="69">
        <v>639.26</v>
      </c>
      <c r="E152" s="68">
        <v>19.132200000000001</v>
      </c>
      <c r="F152" s="69">
        <v>404.36</v>
      </c>
      <c r="G152" s="68">
        <v>19.132200000000001</v>
      </c>
      <c r="H152" s="69">
        <v>304.36</v>
      </c>
      <c r="I152" s="68">
        <v>29.332899999999999</v>
      </c>
      <c r="J152" s="69">
        <v>90.507999999999996</v>
      </c>
      <c r="K152" s="68">
        <v>14.4475</v>
      </c>
      <c r="L152" s="70">
        <v>26.523</v>
      </c>
    </row>
    <row r="153" spans="1:12" x14ac:dyDescent="0.25">
      <c r="A153"/>
      <c r="B153"/>
      <c r="C153" s="68">
        <v>14.9924</v>
      </c>
      <c r="D153" s="69">
        <v>623.65</v>
      </c>
      <c r="E153" s="68">
        <v>20.637699999999999</v>
      </c>
      <c r="F153" s="69">
        <v>397.1</v>
      </c>
      <c r="G153" s="68">
        <v>20.637699999999999</v>
      </c>
      <c r="H153" s="69">
        <v>297.10000000000002</v>
      </c>
      <c r="I153" s="68">
        <v>31.499300000000002</v>
      </c>
      <c r="J153" s="69">
        <v>85.787000000000006</v>
      </c>
      <c r="K153" s="68">
        <v>15.5181</v>
      </c>
      <c r="L153" s="70">
        <v>26.888000000000002</v>
      </c>
    </row>
    <row r="154" spans="1:12" x14ac:dyDescent="0.25">
      <c r="A154"/>
      <c r="B154"/>
      <c r="C154" s="68">
        <v>15.8621</v>
      </c>
      <c r="D154" s="69">
        <v>600.27</v>
      </c>
      <c r="E154" s="68">
        <v>22.143999999999998</v>
      </c>
      <c r="F154" s="69">
        <v>386.84</v>
      </c>
      <c r="G154" s="68">
        <v>22.143999999999998</v>
      </c>
      <c r="H154" s="69">
        <v>286.83999999999997</v>
      </c>
      <c r="I154" s="68">
        <v>33.576700000000002</v>
      </c>
      <c r="J154" s="69">
        <v>79.852000000000004</v>
      </c>
      <c r="K154" s="68">
        <v>16.5457</v>
      </c>
      <c r="L154" s="70">
        <v>27.42</v>
      </c>
    </row>
    <row r="155" spans="1:12" x14ac:dyDescent="0.25">
      <c r="A155"/>
      <c r="B155"/>
      <c r="C155" s="68">
        <v>16.622599999999998</v>
      </c>
      <c r="D155" s="69">
        <v>571.71</v>
      </c>
      <c r="E155" s="68">
        <v>23.588699999999999</v>
      </c>
      <c r="F155" s="69">
        <v>373.57</v>
      </c>
      <c r="G155" s="68">
        <v>23.588699999999999</v>
      </c>
      <c r="H155" s="69">
        <v>273.57</v>
      </c>
      <c r="I155" s="68">
        <v>35.564599999999999</v>
      </c>
      <c r="J155" s="69">
        <v>73.307000000000002</v>
      </c>
      <c r="K155" s="68">
        <v>17.5733</v>
      </c>
      <c r="L155" s="70">
        <v>27.952000000000002</v>
      </c>
    </row>
    <row r="156" spans="1:12" x14ac:dyDescent="0.25">
      <c r="A156"/>
      <c r="B156"/>
      <c r="C156" s="68">
        <v>17.346499999999999</v>
      </c>
      <c r="D156" s="69">
        <v>537.97</v>
      </c>
      <c r="E156" s="68">
        <v>24.971599999999999</v>
      </c>
      <c r="F156" s="69">
        <v>357.3</v>
      </c>
      <c r="G156" s="68">
        <v>24.971599999999999</v>
      </c>
      <c r="H156" s="69">
        <v>257.3</v>
      </c>
      <c r="I156" s="68">
        <v>37.463500000000003</v>
      </c>
      <c r="J156" s="69">
        <v>65.546999999999997</v>
      </c>
      <c r="K156" s="68">
        <v>18.643999999999998</v>
      </c>
      <c r="L156" s="70">
        <v>28.315999999999999</v>
      </c>
    </row>
    <row r="157" spans="1:12" ht="16.5" thickBot="1" x14ac:dyDescent="0.3">
      <c r="A157"/>
      <c r="B157"/>
      <c r="C157" s="71">
        <v>18.033799999999999</v>
      </c>
      <c r="D157" s="72">
        <v>499.05</v>
      </c>
      <c r="E157" s="68">
        <v>26.231200000000001</v>
      </c>
      <c r="F157" s="69">
        <v>335.02</v>
      </c>
      <c r="G157" s="68">
        <v>26.231200000000001</v>
      </c>
      <c r="H157" s="69">
        <v>235.01999999999998</v>
      </c>
      <c r="I157" s="68">
        <v>39.183300000000003</v>
      </c>
      <c r="J157" s="69">
        <v>56.567999999999998</v>
      </c>
      <c r="K157" s="68">
        <v>19.7151</v>
      </c>
      <c r="L157" s="70">
        <v>28.344999999999999</v>
      </c>
    </row>
    <row r="158" spans="1:12" x14ac:dyDescent="0.25">
      <c r="A158"/>
      <c r="B158"/>
      <c r="C158"/>
      <c r="D158"/>
      <c r="E158" s="68">
        <v>27.366</v>
      </c>
      <c r="F158" s="69">
        <v>311.22000000000003</v>
      </c>
      <c r="G158" s="68">
        <v>27.366</v>
      </c>
      <c r="H158" s="69">
        <v>211.22000000000003</v>
      </c>
      <c r="I158" s="68">
        <v>40.903100000000002</v>
      </c>
      <c r="J158" s="69">
        <v>47.588999999999999</v>
      </c>
      <c r="K158" s="68">
        <v>20.7013</v>
      </c>
      <c r="L158" s="70">
        <v>27.7</v>
      </c>
    </row>
    <row r="159" spans="1:12" x14ac:dyDescent="0.25">
      <c r="A159"/>
      <c r="B159"/>
      <c r="C159"/>
      <c r="D159"/>
      <c r="E159" s="68">
        <v>28.4391</v>
      </c>
      <c r="F159" s="69">
        <v>284.41000000000003</v>
      </c>
      <c r="G159" s="68">
        <v>28.4391</v>
      </c>
      <c r="H159" s="69">
        <v>184.41000000000003</v>
      </c>
      <c r="I159" s="68">
        <v>42.533900000000003</v>
      </c>
      <c r="J159" s="69">
        <v>37.396000000000001</v>
      </c>
      <c r="K159" s="68">
        <v>21.730399999999999</v>
      </c>
      <c r="L159" s="70">
        <v>27.055</v>
      </c>
    </row>
    <row r="160" spans="1:12" ht="16.5" thickBot="1" x14ac:dyDescent="0.3">
      <c r="A160"/>
      <c r="B160"/>
      <c r="C160"/>
      <c r="D160"/>
      <c r="E160" s="68">
        <v>29.387899999999998</v>
      </c>
      <c r="F160" s="69">
        <v>254.59</v>
      </c>
      <c r="G160" s="68">
        <v>29.387899999999998</v>
      </c>
      <c r="H160" s="69">
        <v>154.59</v>
      </c>
      <c r="I160" s="71">
        <v>44.164700000000003</v>
      </c>
      <c r="J160" s="72">
        <v>27.202999999999999</v>
      </c>
      <c r="K160" s="68">
        <v>22.716699999999999</v>
      </c>
      <c r="L160" s="70">
        <v>26.408999999999999</v>
      </c>
    </row>
    <row r="161" spans="1:12" x14ac:dyDescent="0.25">
      <c r="A161"/>
      <c r="B161"/>
      <c r="C161"/>
      <c r="D161"/>
      <c r="E161" s="68">
        <v>30.338100000000001</v>
      </c>
      <c r="F161" s="69">
        <v>220.28</v>
      </c>
      <c r="G161" s="68">
        <v>30.338100000000001</v>
      </c>
      <c r="H161" s="70">
        <v>120.28</v>
      </c>
      <c r="I161"/>
      <c r="J161"/>
      <c r="K161" s="68">
        <v>23.745799999999999</v>
      </c>
      <c r="L161" s="70">
        <v>25.765000000000001</v>
      </c>
    </row>
    <row r="162" spans="1:12" ht="16.5" thickBot="1" x14ac:dyDescent="0.3">
      <c r="A162"/>
      <c r="B162"/>
      <c r="C162"/>
      <c r="D162"/>
      <c r="E162" s="68">
        <v>31.1</v>
      </c>
      <c r="F162" s="69">
        <v>187.43</v>
      </c>
      <c r="G162" s="68">
        <v>31.1</v>
      </c>
      <c r="H162" s="70">
        <v>87.43</v>
      </c>
      <c r="I162"/>
      <c r="J162"/>
      <c r="K162" s="71">
        <v>24.7319</v>
      </c>
      <c r="L162" s="73">
        <v>25.286999999999999</v>
      </c>
    </row>
    <row r="163" spans="1:12" ht="16.5" thickBot="1" x14ac:dyDescent="0.3">
      <c r="A163"/>
      <c r="B163"/>
      <c r="C163"/>
      <c r="D163"/>
      <c r="E163" s="71">
        <v>31.799199999999999</v>
      </c>
      <c r="F163" s="72">
        <v>154.58000000000001</v>
      </c>
      <c r="G163" s="71">
        <v>31.799199999999999</v>
      </c>
      <c r="H163" s="73">
        <v>54.580000000000013</v>
      </c>
      <c r="I163"/>
      <c r="J163"/>
      <c r="K163"/>
      <c r="L163"/>
    </row>
    <row r="164" spans="1:12" x14ac:dyDescent="0.25">
      <c r="A164" s="64"/>
      <c r="B164" s="64"/>
      <c r="C164" s="64"/>
      <c r="D164" s="64"/>
      <c r="E164" s="64"/>
      <c r="F164" s="64"/>
      <c r="G164" s="64"/>
    </row>
    <row r="166" spans="1:12" x14ac:dyDescent="0.25">
      <c r="A166" s="47" t="s">
        <v>52</v>
      </c>
      <c r="B166" s="48"/>
      <c r="C166" s="48"/>
      <c r="D166" s="48"/>
      <c r="E166" s="48"/>
      <c r="F166" s="48"/>
      <c r="G166" s="48"/>
    </row>
  </sheetData>
  <mergeCells count="252">
    <mergeCell ref="K132:L132"/>
    <mergeCell ref="A132:B132"/>
    <mergeCell ref="C132:D132"/>
    <mergeCell ref="E132:F132"/>
    <mergeCell ref="G132:H132"/>
    <mergeCell ref="I132:J132"/>
    <mergeCell ref="D87:E87"/>
    <mergeCell ref="F87:G87"/>
    <mergeCell ref="D88:E88"/>
    <mergeCell ref="F88:G88"/>
    <mergeCell ref="D89:E89"/>
    <mergeCell ref="F89:G89"/>
    <mergeCell ref="D84:E84"/>
    <mergeCell ref="F84:G84"/>
    <mergeCell ref="D85:E85"/>
    <mergeCell ref="F85:G85"/>
    <mergeCell ref="D86:E86"/>
    <mergeCell ref="F86:G86"/>
    <mergeCell ref="D81:E81"/>
    <mergeCell ref="F81:G81"/>
    <mergeCell ref="D82:E82"/>
    <mergeCell ref="F82:G82"/>
    <mergeCell ref="D83:E83"/>
    <mergeCell ref="F83:G83"/>
    <mergeCell ref="D78:E78"/>
    <mergeCell ref="F78:G78"/>
    <mergeCell ref="D79:E79"/>
    <mergeCell ref="F79:G79"/>
    <mergeCell ref="D80:E80"/>
    <mergeCell ref="F80:G80"/>
    <mergeCell ref="D75:E75"/>
    <mergeCell ref="F75:G75"/>
    <mergeCell ref="D76:E76"/>
    <mergeCell ref="F76:G76"/>
    <mergeCell ref="D77:E77"/>
    <mergeCell ref="F77:G77"/>
    <mergeCell ref="D72:E72"/>
    <mergeCell ref="F72:G72"/>
    <mergeCell ref="D73:E73"/>
    <mergeCell ref="F73:G73"/>
    <mergeCell ref="D74:E74"/>
    <mergeCell ref="F74:G74"/>
    <mergeCell ref="D69:E69"/>
    <mergeCell ref="F69:G69"/>
    <mergeCell ref="D70:E70"/>
    <mergeCell ref="F70:G70"/>
    <mergeCell ref="D71:E71"/>
    <mergeCell ref="F71:G71"/>
    <mergeCell ref="D66:E66"/>
    <mergeCell ref="F66:G66"/>
    <mergeCell ref="D67:E67"/>
    <mergeCell ref="F67:G67"/>
    <mergeCell ref="D68:E68"/>
    <mergeCell ref="F68:G68"/>
    <mergeCell ref="D63:E63"/>
    <mergeCell ref="F63:G63"/>
    <mergeCell ref="D64:E64"/>
    <mergeCell ref="F64:G64"/>
    <mergeCell ref="D65:E65"/>
    <mergeCell ref="F65:G65"/>
    <mergeCell ref="D60:E60"/>
    <mergeCell ref="F60:G60"/>
    <mergeCell ref="D61:E61"/>
    <mergeCell ref="F61:G61"/>
    <mergeCell ref="D62:E62"/>
    <mergeCell ref="F62:G62"/>
    <mergeCell ref="D57:E57"/>
    <mergeCell ref="F57:G57"/>
    <mergeCell ref="D58:E58"/>
    <mergeCell ref="F58:G58"/>
    <mergeCell ref="D59:E59"/>
    <mergeCell ref="F59:G59"/>
    <mergeCell ref="D54:E54"/>
    <mergeCell ref="F54:G54"/>
    <mergeCell ref="D55:E55"/>
    <mergeCell ref="F55:G55"/>
    <mergeCell ref="D56:E56"/>
    <mergeCell ref="F56:G56"/>
    <mergeCell ref="D51:E51"/>
    <mergeCell ref="F51:G51"/>
    <mergeCell ref="D52:E52"/>
    <mergeCell ref="F52:G52"/>
    <mergeCell ref="D53:E53"/>
    <mergeCell ref="F53:G53"/>
    <mergeCell ref="D48:E48"/>
    <mergeCell ref="F48:G48"/>
    <mergeCell ref="D49:E49"/>
    <mergeCell ref="F49:G49"/>
    <mergeCell ref="D50:E50"/>
    <mergeCell ref="F50:G50"/>
    <mergeCell ref="D45:E45"/>
    <mergeCell ref="F45:G45"/>
    <mergeCell ref="D46:E46"/>
    <mergeCell ref="F46:G46"/>
    <mergeCell ref="D47:E47"/>
    <mergeCell ref="F47:G47"/>
    <mergeCell ref="D42:E42"/>
    <mergeCell ref="F42:G42"/>
    <mergeCell ref="D43:E43"/>
    <mergeCell ref="F43:G43"/>
    <mergeCell ref="D44:E44"/>
    <mergeCell ref="F44:G44"/>
    <mergeCell ref="D39:E39"/>
    <mergeCell ref="F39:G39"/>
    <mergeCell ref="D40:E40"/>
    <mergeCell ref="F40:G40"/>
    <mergeCell ref="D41:E41"/>
    <mergeCell ref="F41:G41"/>
    <mergeCell ref="D36:E36"/>
    <mergeCell ref="F36:G36"/>
    <mergeCell ref="D37:E37"/>
    <mergeCell ref="F37:G37"/>
    <mergeCell ref="D38:E38"/>
    <mergeCell ref="F38:G38"/>
    <mergeCell ref="D33:E33"/>
    <mergeCell ref="F33:G33"/>
    <mergeCell ref="D34:E34"/>
    <mergeCell ref="F34:G34"/>
    <mergeCell ref="D35:E35"/>
    <mergeCell ref="F35:G35"/>
    <mergeCell ref="D30:E30"/>
    <mergeCell ref="F30:G30"/>
    <mergeCell ref="D31:E31"/>
    <mergeCell ref="F31:G31"/>
    <mergeCell ref="D32:E32"/>
    <mergeCell ref="F32:G32"/>
    <mergeCell ref="D27:E27"/>
    <mergeCell ref="F27:G27"/>
    <mergeCell ref="D28:E28"/>
    <mergeCell ref="F28:G28"/>
    <mergeCell ref="D29:E29"/>
    <mergeCell ref="F29:G29"/>
    <mergeCell ref="D24:E24"/>
    <mergeCell ref="F24:G24"/>
    <mergeCell ref="D25:E25"/>
    <mergeCell ref="F25:G25"/>
    <mergeCell ref="D26:E26"/>
    <mergeCell ref="F26:G26"/>
    <mergeCell ref="D21:E21"/>
    <mergeCell ref="F21:G21"/>
    <mergeCell ref="D22:E22"/>
    <mergeCell ref="F22:G22"/>
    <mergeCell ref="D23:E23"/>
    <mergeCell ref="F23:G23"/>
    <mergeCell ref="D18:E18"/>
    <mergeCell ref="F18:G18"/>
    <mergeCell ref="D19:E19"/>
    <mergeCell ref="F19:G19"/>
    <mergeCell ref="D20:E20"/>
    <mergeCell ref="F20:G20"/>
    <mergeCell ref="D15:E15"/>
    <mergeCell ref="F15:G15"/>
    <mergeCell ref="D16:E16"/>
    <mergeCell ref="F16:G16"/>
    <mergeCell ref="D17:E17"/>
    <mergeCell ref="F17:G17"/>
    <mergeCell ref="D12:E12"/>
    <mergeCell ref="F12:G12"/>
    <mergeCell ref="D13:E13"/>
    <mergeCell ref="F13:G13"/>
    <mergeCell ref="D14:E14"/>
    <mergeCell ref="F14:G14"/>
    <mergeCell ref="D126:E126"/>
    <mergeCell ref="F126:G126"/>
    <mergeCell ref="D127:E127"/>
    <mergeCell ref="F127:G127"/>
    <mergeCell ref="D128:E128"/>
    <mergeCell ref="F128:G128"/>
    <mergeCell ref="D123:E123"/>
    <mergeCell ref="F123:G123"/>
    <mergeCell ref="D124:E124"/>
    <mergeCell ref="F124:G124"/>
    <mergeCell ref="D125:E125"/>
    <mergeCell ref="F125:G125"/>
    <mergeCell ref="D120:E120"/>
    <mergeCell ref="F120:G120"/>
    <mergeCell ref="D121:E121"/>
    <mergeCell ref="F121:G121"/>
    <mergeCell ref="D122:E122"/>
    <mergeCell ref="F122:G122"/>
    <mergeCell ref="D117:E117"/>
    <mergeCell ref="F117:G117"/>
    <mergeCell ref="D118:E118"/>
    <mergeCell ref="F118:G118"/>
    <mergeCell ref="D119:E119"/>
    <mergeCell ref="F119:G119"/>
    <mergeCell ref="D114:E114"/>
    <mergeCell ref="F114:G114"/>
    <mergeCell ref="D115:E115"/>
    <mergeCell ref="F115:G115"/>
    <mergeCell ref="D116:E116"/>
    <mergeCell ref="F116:G116"/>
    <mergeCell ref="D111:E111"/>
    <mergeCell ref="F111:G111"/>
    <mergeCell ref="D112:E112"/>
    <mergeCell ref="F112:G112"/>
    <mergeCell ref="D113:E113"/>
    <mergeCell ref="F113:G113"/>
    <mergeCell ref="D108:E108"/>
    <mergeCell ref="F108:G108"/>
    <mergeCell ref="D109:E109"/>
    <mergeCell ref="F109:G109"/>
    <mergeCell ref="D110:E110"/>
    <mergeCell ref="F110:G110"/>
    <mergeCell ref="D105:E105"/>
    <mergeCell ref="F105:G105"/>
    <mergeCell ref="D106:E106"/>
    <mergeCell ref="F106:G106"/>
    <mergeCell ref="D107:E107"/>
    <mergeCell ref="F107:G107"/>
    <mergeCell ref="D102:E102"/>
    <mergeCell ref="F102:G102"/>
    <mergeCell ref="D103:E103"/>
    <mergeCell ref="F103:G103"/>
    <mergeCell ref="D104:E104"/>
    <mergeCell ref="F104:G104"/>
    <mergeCell ref="D99:E99"/>
    <mergeCell ref="F99:G99"/>
    <mergeCell ref="D100:E100"/>
    <mergeCell ref="F100:G100"/>
    <mergeCell ref="D101:E101"/>
    <mergeCell ref="F101:G101"/>
    <mergeCell ref="D96:E96"/>
    <mergeCell ref="F96:G96"/>
    <mergeCell ref="D97:E97"/>
    <mergeCell ref="F97:G97"/>
    <mergeCell ref="D98:E98"/>
    <mergeCell ref="F98:G98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129:E129"/>
    <mergeCell ref="F129:G129"/>
    <mergeCell ref="D130:E130"/>
    <mergeCell ref="F130:G130"/>
    <mergeCell ref="A2:G2"/>
    <mergeCell ref="A8:G8"/>
    <mergeCell ref="F10:G10"/>
    <mergeCell ref="F11:G11"/>
    <mergeCell ref="D10:E10"/>
    <mergeCell ref="D11:E11"/>
    <mergeCell ref="A131:G131"/>
    <mergeCell ref="A166:G166"/>
  </mergeCells>
  <phoneticPr fontId="16" type="noConversion"/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1Base Properties</vt:lpstr>
      <vt:lpstr>2Thermal Properties</vt:lpstr>
      <vt:lpstr>'1Base Properties'!Область_печати</vt:lpstr>
      <vt:lpstr>'2Thermal Properties'!Область_печати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2021-02-20T07:40:00Z</dcterms:created>
  <dcterms:modified xsi:type="dcterms:W3CDTF">2025-12-22T08:48:53Z</dcterms:modified>
  <cp:category/>
  <cp:contentStatus/>
</cp:coreProperties>
</file>